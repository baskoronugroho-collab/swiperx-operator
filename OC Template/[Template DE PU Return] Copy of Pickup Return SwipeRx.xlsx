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 ( Tarik barang retur )" sheetId="1" r:id="rId5"/>
    <sheet state="visible" name="Pivot Table 1" sheetId="2" r:id="rId6"/>
    <sheet state="visible" name="Pending Pickup" sheetId="3" r:id="rId7"/>
    <sheet state="visible" name="Mapping L2" sheetId="4" r:id="rId8"/>
    <sheet state="visible" name="POD Return" sheetId="5" r:id="rId9"/>
    <sheet state="visible" name="Mapping Area" sheetId="6" r:id="rId10"/>
  </sheets>
  <definedNames/>
  <calcPr/>
  <pivotCaches>
    <pivotCache cacheId="0" r:id="rId11"/>
  </pivotCaches>
</workbook>
</file>

<file path=xl/sharedStrings.xml><?xml version="1.0" encoding="utf-8"?>
<sst xmlns="http://schemas.openxmlformats.org/spreadsheetml/2006/main" count="20317" uniqueCount="5723">
  <si>
    <t>requested_tracking_number</t>
  </si>
  <si>
    <t>global_shipper_id</t>
  </si>
  <si>
    <t>service_type</t>
  </si>
  <si>
    <t>reference.merchant_order_number</t>
  </si>
  <si>
    <t>service_level</t>
  </si>
  <si>
    <r>
      <rPr>
        <rFont val="Calibri"/>
        <color rgb="FFFFFFFF"/>
        <sz val="10.0"/>
        <u/>
      </rPr>
      <t>from.name</t>
    </r>
  </si>
  <si>
    <t>from.phone_number</t>
  </si>
  <si>
    <t>from.address.address1</t>
  </si>
  <si>
    <t>from.address.country</t>
  </si>
  <si>
    <r>
      <rPr>
        <rFont val="Calibri"/>
        <color rgb="FFFFFFFF"/>
        <sz val="10.0"/>
        <u/>
      </rPr>
      <t>to.name</t>
    </r>
  </si>
  <si>
    <t>to.phone_number</t>
  </si>
  <si>
    <t>to.address.address1</t>
  </si>
  <si>
    <t>to.address.country</t>
  </si>
  <si>
    <t>to.address.kecamatan</t>
  </si>
  <si>
    <t>to.address.city</t>
  </si>
  <si>
    <t>to.address.province</t>
  </si>
  <si>
    <t>to.address.postcode</t>
  </si>
  <si>
    <t>parcel_job.delivery_instructions</t>
  </si>
  <si>
    <t>parcel_job.delivery_start_date</t>
  </si>
  <si>
    <t>parcel_job.delivery_timeslot.start_time</t>
  </si>
  <si>
    <t>parcel_job.delivery_timeslot.end_time</t>
  </si>
  <si>
    <t>parcel_job.delivery_timeslot.timezone</t>
  </si>
  <si>
    <t>parcel_job.dimensions.weight</t>
  </si>
  <si>
    <t>parcel_job.is_pickup_required</t>
  </si>
  <si>
    <t>parcel_job.items.0.item_description</t>
  </si>
  <si>
    <t>parcel_job.items.0.is_dangerous_good</t>
  </si>
  <si>
    <t>b2b.documents_required</t>
  </si>
  <si>
    <t>bundle_information.total_quantity</t>
  </si>
  <si>
    <t>bundle_information.requested_piece_tracking_numbers</t>
  </si>
  <si>
    <t>parcel_job.insured_value</t>
  </si>
  <si>
    <t>corporate.branch_id</t>
  </si>
  <si>
    <t>parcel_job.pickup_date</t>
  </si>
  <si>
    <t>parcel_job.pickup_timeslot.start_time</t>
  </si>
  <si>
    <t>parcel_job.pickup_timeslot.end_time</t>
  </si>
  <si>
    <t>parcel_job.pickup_timeslot.timezone</t>
  </si>
  <si>
    <t>parcel_job.pickup_instructions</t>
  </si>
  <si>
    <t>AWBR-10859-2026-4-17</t>
  </si>
  <si>
    <t>Corporate B2B Bundle</t>
  </si>
  <si>
    <t>26033013582985PgyfIVBK</t>
  </si>
  <si>
    <t>STANDARD</t>
  </si>
  <si>
    <t>Apotek Citayam Farma Bojong Pondok Terong Cipayung</t>
  </si>
  <si>
    <t>Jl. Raya Cipayung No.1, RT.03/RW10, Desa/Kel. Bojong Pondok Terong, Kec. Cipayung, Kota Depok 16436</t>
  </si>
  <si>
    <t>ID</t>
  </si>
  <si>
    <t>PT Teknologi Medika Pratama (SwipeRx) (B2BR)</t>
  </si>
  <si>
    <t>Jl. Tugu Raya, Tugu, Kec. Cimanggis, Kota Depok, Jawa Barat 16451,KUBIK LOGISTICS - Kompleks Pergudangan,Gudang E1</t>
  </si>
  <si>
    <t>Cimanggis</t>
  </si>
  <si>
    <t>Depok</t>
  </si>
  <si>
    <t>Jawa barat</t>
  </si>
  <si>
    <t>TMP-INV-2026/03/31/ 2586421SGM EKSPLOR GAIN OPTIGROW Sarihusada DUS, ALUMUNIUM FOIL @ 400 GTarik Barang Retur &amp; Wajib bawa BA retur</t>
  </si>
  <si>
    <t>Asia/Jakarta</t>
  </si>
  <si>
    <t>OBAT</t>
  </si>
  <si>
    <t>AWBR-10859-2026-4-17-01</t>
  </si>
  <si>
    <t>Pickup Return, wajib bawa form BA Return. Bilang ke Apotek “mau tarik barang”. Jika tidak ada barang, tulis keterangan “tidak ada barang retur” di form BA</t>
  </si>
  <si>
    <t>AWBR-4606-2026-5-11-1</t>
  </si>
  <si>
    <t>25012410200620NHRbykaYKC</t>
  </si>
  <si>
    <t>Apotek Singojuruh</t>
  </si>
  <si>
    <t>Jl Aruji Kartawinata 02/02 Kel.Singojuruh Kec.Singojuruh Kab.Banyuwangi Jawa Timur 68464</t>
  </si>
  <si>
    <t>Jl. Rungkut Industri III No.12, Kutisari, Kec. Tenggilis Mejoyo, Surabaya, Jawa Timur 60291</t>
  </si>
  <si>
    <t>Tenggilis Mejoyo</t>
  </si>
  <si>
    <t>Surabaya</t>
  </si>
  <si>
    <t>Jawa Timur</t>
  </si>
  <si>
    <t>TMP-INV-2025/01/25/ 1305668 - CURVIT Soho SIRUP - Tarik Barang Retur</t>
  </si>
  <si>
    <t>AWBR-4606-2026-5-11-1-01</t>
  </si>
  <si>
    <t>AWBR-12411-2026-5-16</t>
  </si>
  <si>
    <t>26042802052677jEINi46Brs</t>
  </si>
  <si>
    <t>Apotek Bintang Sehat 1 Jayamulya Serang Baru</t>
  </si>
  <si>
    <t>Perum Grand Vista Blok D1 RT 003 RW 009 Desa Jayamulya Kec. Serang Baru Kab. Bekasi</t>
  </si>
  <si>
    <t>TMP-INV-2026/04/28/ 2685534HERBORIST MINYAK ZAITUN Victoria Care BOTOL @ 75 MLTarik Barang Retur</t>
  </si>
  <si>
    <t>AWBR-12411-2026-5-16-01</t>
  </si>
  <si>
    <t>AWBR-12377-2026-5-16</t>
  </si>
  <si>
    <t>26042002141604sR64H1lq</t>
  </si>
  <si>
    <t>Apotek Bintang Sehat Sukaragam Serang Baru</t>
  </si>
  <si>
    <t>Perum Mega Regency Blok H1 No. 30 Desa Sukaragam Kec. Serang Baru Kab. Bekasi</t>
  </si>
  <si>
    <t>TMP-INV-2026/04/20/ 2655815Tarik Barang Retur</t>
  </si>
  <si>
    <t>AWBR-12377-2026-5-16-01</t>
  </si>
  <si>
    <t>AWBR-10720-2026-5-16</t>
  </si>
  <si>
    <t>26040605461503nMH7TsTY9j</t>
  </si>
  <si>
    <t>Apotek K24 Sukasari Sukasari Serang Baru</t>
  </si>
  <si>
    <t>Ruko Serang-Cibarusah No. 3 Jl. Raya Serang Cibarusah Kp. Pasar Randu, Kel. Sukasari Kec. Serang Baru Kab. Bekasi 17330</t>
  </si>
  <si>
    <t>TMP-INV-2026/04/07/ 2610048INTERLAC Interbat DROPS DUS, BOTOL KACA 5 MLTarik Barang Retur</t>
  </si>
  <si>
    <t>AWBR-10720-2026-5-16-01</t>
  </si>
  <si>
    <t>AWBR-16863-2026-5-16</t>
  </si>
  <si>
    <t>26042707183212wZ262nubF</t>
  </si>
  <si>
    <t>Apotek Enggal Waras Tiga Bojongpicung Bojongpicung</t>
  </si>
  <si>
    <t>Kp. Bojongpicung RT. 001 RW. 003 Desa. Bojongpicung Kecamatan. Bojongpicung Kabupaten Cianjur</t>
  </si>
  <si>
    <t>TMP-INV-2026/04/28/ 2687857SGM LLM+ DUS, KARTON 400 GTarik Barang Retur</t>
  </si>
  <si>
    <t>AWBR-16863-2026-5-16-01</t>
  </si>
  <si>
    <t>AWBR-8604-2026-5-16</t>
  </si>
  <si>
    <t>26042314484910WriHfjQo</t>
  </si>
  <si>
    <t>Apotek Rahayu Farma Cinangka Bungursari</t>
  </si>
  <si>
    <t>Jl. Cinangka No.23 RT.05 RW.03, Kel. Cinangka, Kec. Bungursari, Kab. Purwakarta, 41181</t>
  </si>
  <si>
    <t>TMP-INV-2026/04/24/ 2674250Semua Barang di Faktur TMP-INV-2026/04/24/ 2674250Tarik Barang Damaged</t>
  </si>
  <si>
    <t>AWBR-8604-2026-5-16-01</t>
  </si>
  <si>
    <t>AWBR-10615-2026-5-16</t>
  </si>
  <si>
    <t>26042003281955evVhe58S</t>
  </si>
  <si>
    <t>Apotek Cahaya Pratama Nagrak Gunung Putri</t>
  </si>
  <si>
    <t>Perumahan Legenda Wisata Cibubur Blok U12 No. 12 Desa Nagrak Kecamatan Gunung Putri Kabupaten Bogor</t>
  </si>
  <si>
    <t>TMP-INV-2026/04/20/ 2657865 &amp; ALERZIN 10 Sampharindo TABLET 10 MG DUS, 10 AMPLOP @ 1 STRIP @ 10 TABLET SALUT SELAPUT &amp; ZITANID Novell TABLET 2 MG DUS, 3 STRIP @ 10 TABLETTarik Barang Retur</t>
  </si>
  <si>
    <t>AWBR-10615-2026-5-16-01</t>
  </si>
  <si>
    <t>AWBR-16765-2026-5-16</t>
  </si>
  <si>
    <t>26042812441924lNfuzKSQr</t>
  </si>
  <si>
    <t>Apotek Madison Sehat Ciangsana Gunung Putri</t>
  </si>
  <si>
    <t>Ruko Downtown Madison Blok SHC 8/2, Desa/Kelurahan Ciangsana, Kec. Gunung Putri, Kab. Bogor</t>
  </si>
  <si>
    <t>TMP-INV-2026/04/29/ 2689820ROSUVASTATIN CALCIUM Novell TABLET 20 MG DUS, 2 STRIP @ 10 TABLET SALUT SELAPUTTarik Barang Retur</t>
  </si>
  <si>
    <t>AWBR-16765-2026-5-16-01</t>
  </si>
  <si>
    <t>AWBR-1288-2026-5-16</t>
  </si>
  <si>
    <t>26050410225303b1fZxbejo</t>
  </si>
  <si>
    <t>Apotek Sehat Utama</t>
  </si>
  <si>
    <t>Jalan Raya Narogong KM. 22 No. 62 RT 007 RW 005 Desa Cileungsi Kecamatan Cileungsi Kabupaten Bogor 16820</t>
  </si>
  <si>
    <t>TMP-INV-2026/05/05/ 2711278GABAPENTIN Hexpharm KAPSUL 100 MG DUS, 10 STRIP @ 10 KAPSULTarik Barang Retur</t>
  </si>
  <si>
    <t>AWBR-1288-2026-5-16-01</t>
  </si>
  <si>
    <t>AWBR-3040-2026-5-16</t>
  </si>
  <si>
    <t>260501001157611qk7q9kxV</t>
  </si>
  <si>
    <t>Apotek Tasha Sehat</t>
  </si>
  <si>
    <t>Ruko Sentra Eropa Blok D No. 16 Desa Ciangsana Kecamatan Gunung Putri Kabupaten Bogor Provinsi Jawa Barat</t>
  </si>
  <si>
    <t>TMP-INV-2026/05/01/ 2697754 &amp; TMP-INV-2026/05/01/ 2697911 HANSAPLAST FUN KAIN ELASTIS Beiersdorf DUS, 100 LEMBAR &amp; L-BIO CAP Lapi KAPSUL DUS, 2 BOTOL PLASTIK @ 15 KAPSULTarik Barang Retur</t>
  </si>
  <si>
    <t>AWBR-3040-2026-5-16-01</t>
  </si>
  <si>
    <t>AWBR-11570-2026-5-16</t>
  </si>
  <si>
    <t>260411030107043MpJcBo2H</t>
  </si>
  <si>
    <t>Apotek Arjuna Pondok Benda Pamulang</t>
  </si>
  <si>
    <t>Jl. Arjuna RT/RW 002/008 NO. 20, Desa/Kelurahan Pondok Benda, Kec. Pamulang, Kota Tangerang Selatan, Provinsi Banten</t>
  </si>
  <si>
    <t>TMP-INV-2026/04/11/ 2626726Semua Barang di Faktur TMP-INV-2026/04/11/ 2626726Tarik Barang Retur</t>
  </si>
  <si>
    <t>AWBR-11570-2026-5-16-01</t>
  </si>
  <si>
    <t>AWBR-10909-2026-5-16</t>
  </si>
  <si>
    <t>26050402003612Mjr72olp</t>
  </si>
  <si>
    <t>Apotek Mili Sudimara Jaya Ciledug</t>
  </si>
  <si>
    <t>Jalan Tanah Seratus No. 32 RT 005 RW 001, Desa/Kel. Sudimara Jaya, Kec. Ciledug, Kota Tangerang 15152</t>
  </si>
  <si>
    <t>TMP-INV-2026/05/04/ 2706484AMOXSAN Capri KAPSUL 250 MG DUS, 10 STRIP @ 10 KAPSULTarik Barang Retur</t>
  </si>
  <si>
    <t>AWBR-10909-2026-5-16-01</t>
  </si>
  <si>
    <t>AWBR-1240-2026-5-16</t>
  </si>
  <si>
    <t>26042811223320GPDCXVdGT</t>
  </si>
  <si>
    <t>Apotek Satrio Intermoda BSD</t>
  </si>
  <si>
    <t>Ruko Pasar Modern Blok A No.6 Kelurahan Sampora Kecamatan Cisauk Kabupaten Tangerang 15345</t>
  </si>
  <si>
    <t>TMP-INV-2026/04/29/ 2688234SANBE-HAIR CAIRAN DUS, 1 BOTOL @ 60 MLTarik Barang Retur</t>
  </si>
  <si>
    <t>AWBR-1240-2026-5-16-01</t>
  </si>
  <si>
    <t>AWBR-16186-2026-5-16</t>
  </si>
  <si>
    <t>26050105082751dszzgrZkHt</t>
  </si>
  <si>
    <t>Apotek Ghaniy 2 Grogol Limo</t>
  </si>
  <si>
    <t>Jalan Pramuka Raya RT.003 RW.007, Desa/Kelurahan Grogol, Kec. Limo, Kota Depok</t>
  </si>
  <si>
    <t>TMP-INV-2026/05/02/ 2701193TROLIP 100 Dexa Medica KAPSUL DUS, 3 BLISTER @ 10 KAPSULTarik Barang Retur</t>
  </si>
  <si>
    <t>AWBR-16186-2026-5-16-01</t>
  </si>
  <si>
    <t>AWBR-12487-2026-5-16</t>
  </si>
  <si>
    <t>26042503482941amcsOuUHt</t>
  </si>
  <si>
    <t>Apotek Heka Mekarsari Cimanggis</t>
  </si>
  <si>
    <t>Jalan Raya Jakarta Bogor no 10, Desa/Kel. Mekarsari, Kec. Cimanggis, Kota Depok</t>
  </si>
  <si>
    <t>TMP-INV-2026/04/25/ 2677505LECOZINC FORTE Ifars SIRUP DUS, 1 BOTOL @ 60 MLTarik Barang Retur</t>
  </si>
  <si>
    <t>AWBR-12487-2026-5-16-01</t>
  </si>
  <si>
    <t>AWBR-13059-2026-5-16</t>
  </si>
  <si>
    <t>26050403041926cDZnpO1L0</t>
  </si>
  <si>
    <t>Apotek K24 Jatirahayu Jatirahayu Pondok Melati</t>
  </si>
  <si>
    <t>Jl Raya Hankam No. 114 Kel. Jatirahayu Kec. Pondok Melati Kota Bekasi</t>
  </si>
  <si>
    <t>TMP-INV-2026/05/04/ 2707482HANSAPLAST SENSITIVE STERIL Beiersdorf 3XL KOTAK, 5 LEMBAR ( 10 x 15 cm )Tarik Barang Retur</t>
  </si>
  <si>
    <t>AWBR-13059-2026-5-16-01</t>
  </si>
  <si>
    <t>AWBR-13426-2026-5-16</t>
  </si>
  <si>
    <t>26021902034241LHwCPEV2sp</t>
  </si>
  <si>
    <t>Apotek Kalimulya Kalimulya Cilodong</t>
  </si>
  <si>
    <t>Jl. Raya Kalimulya RT. 005 RW. 002, Desa/Kel. Kalimulya, Kec. Cilodong, Kota Depok</t>
  </si>
  <si>
    <t>TMP-INV-2026/02/19/ 2450242BACTODERM Ika KRIM DUS, TUBE @ 5 GTarik Barang Retur</t>
  </si>
  <si>
    <t>AWBR-13426-2026-5-16-01</t>
  </si>
  <si>
    <t>AWBR-10650-2026-5-16</t>
  </si>
  <si>
    <t>26032502174258n3vetaq2lL</t>
  </si>
  <si>
    <t>Apotek Medpharm GDC Tirtajaya Sukmajaya</t>
  </si>
  <si>
    <t>Ruko Gardenia, Grand Depok City, Grand Depok City, Jalan KSU Parung Serab, Kelurahan Tirtajaya, Kecamatan Sukmajaya, Kota Depok, Jawa Barat 16412</t>
  </si>
  <si>
    <t>TMP-INV-2026/03/25/ 2564429BACTODERM Ika KRIM DUS, TUBE @ 5 GTarik Barang Retur</t>
  </si>
  <si>
    <t>AWBR-10650-2026-5-16-01</t>
  </si>
  <si>
    <t>AWBR-12159-2026-5-16</t>
  </si>
  <si>
    <t>26043013072795Fk4HKbMaC</t>
  </si>
  <si>
    <t>Apotek Pharmasena Cinere Cinere</t>
  </si>
  <si>
    <t>Jl. Bukit Cinere No.5E RT/RW.001/008, Desa/Kel. Cinere, Kec. Cinere, Kota Depok</t>
  </si>
  <si>
    <t>TMP-INV-2026/05/01/ 2698112ATORVASTATIN CALCIUM Hexpharm TABLET 20 MG DUS, 5 BLISTER @ 10 TABLET SALUT SELAPUTTarik Barang Retur</t>
  </si>
  <si>
    <t>AWBR-12159-2026-5-16-01</t>
  </si>
  <si>
    <t>AWBR-47-2026-5-16</t>
  </si>
  <si>
    <t>26042703081781u8IO2ONwOj</t>
  </si>
  <si>
    <t>Apotek Raudha Farma</t>
  </si>
  <si>
    <t>Jl. Raya Ceger No. 99, Ceger, Cipayung</t>
  </si>
  <si>
    <t>TMP-INV-2026/04/27/ 2682932SAFE CARE REFRESHING OIL DUS, BOTOL KACA ROLL ON @ 30 MLTarik Barang Retur</t>
  </si>
  <si>
    <t>AWBR-47-2026-5-16-01</t>
  </si>
  <si>
    <t>AWBR-15096-2026-5-16</t>
  </si>
  <si>
    <t>26042701421278xNKUengCqf</t>
  </si>
  <si>
    <t>Apotek Thara Jatibening Baru Pondok Gede</t>
  </si>
  <si>
    <t>Jalan Lampiri Raya, Rt.004 Rw.002 no. 12C, Desa/Kelurahan Jatibening Baru, Kec. Pondokgede, Kota Bekasi</t>
  </si>
  <si>
    <t>TMP-INV-2026/04/27/ 2683024DECOLGEN PE Darya-Varia TABLET DUS, 25 CATCH COVER @ 1 STRIP @ 4 TABLETTarik Barang Retur</t>
  </si>
  <si>
    <t>AWBR-15096-2026-5-16-01</t>
  </si>
  <si>
    <t>AWBR-1139-2026-5-19</t>
  </si>
  <si>
    <t>260413020323907FRyJhbHX0</t>
  </si>
  <si>
    <t>Apotek Via</t>
  </si>
  <si>
    <t>Jalan Krukut Raya RT 006 RW 001 Kelurahan Krukut Kecamatan Limo Kota Depok 16512</t>
  </si>
  <si>
    <t>Jawa Barat</t>
  </si>
  <si>
    <t>TMP-INV-2026/04/13/ 2632836 / SANGOBION VITA-TONIK Merck CAIRAN ORAL DUS, BOTOL PLASTIK @ 250 ML- Tarik barang retur &amp; wajib bawa BA retur</t>
  </si>
  <si>
    <t>obat</t>
  </si>
  <si>
    <t>AWBR-1139-2026-5-19-01</t>
  </si>
  <si>
    <t>AWBR-667-15-05-26</t>
  </si>
  <si>
    <t>TMP-667-15-05-2026</t>
  </si>
  <si>
    <t>Apotek Berlian Farma</t>
  </si>
  <si>
    <t>Komplek Permata Jasindo Lestari Blok A6/14 RT.007 RW.004 Kelurahan Mekarsari, Kecamatan Cimanggis, Kota Depok 16452</t>
  </si>
  <si>
    <t>TMP-667-15/05/2026Tarik Faktur/Total invoices =69</t>
  </si>
  <si>
    <t>AWBR-667-15-05-26-C01</t>
  </si>
  <si>
    <t>Pickup Return Tarik Faktur. Wajib bawa form BA Tarik Faktur. Bilang ke Apotek “mau tarik faktur”. Jika tidak ada faktur yg ditarik, tulis keterangan “tidak ada faktur” di form BA</t>
  </si>
  <si>
    <t>AWBR-1446-15-05-26</t>
  </si>
  <si>
    <t>TMP-1446-15-05-2026</t>
  </si>
  <si>
    <t>Apotek Yessa Farma</t>
  </si>
  <si>
    <t>Jalan Jatijajar I RT 03 RW 02 Kelurahan Jatijajar Kecamatan Tapos Kota Depok 16454</t>
  </si>
  <si>
    <t>TMP-1446-15/05/2026Tarik Faktur/Total invoices =43</t>
  </si>
  <si>
    <t>AWBR-1446-15-05-26-C01</t>
  </si>
  <si>
    <t>AWBR-1455-15-05-26</t>
  </si>
  <si>
    <t>TMP-1455-15-05-2026</t>
  </si>
  <si>
    <t>Apotek Sahabat Sehat 1455</t>
  </si>
  <si>
    <t>Jl. Masjid Raya No. 30 RT 001 RW 012 Kelurahan - Jaticempaka Kecamatan - Pondok Gede Kota Bekasi</t>
  </si>
  <si>
    <t>TMP-1455-15/05/2026Tarik Faktur/Total invoices =34</t>
  </si>
  <si>
    <t>AWBR-1455-15-05-26-C01</t>
  </si>
  <si>
    <t>AWBR-13278-15-05-26</t>
  </si>
  <si>
    <t>TMP-13278-15-05-2026</t>
  </si>
  <si>
    <t>Apotek Sahabat Sehat 2 Jatibening Baru Pondok Gede</t>
  </si>
  <si>
    <t>Jl. Pangrango Terusan No. 34 RT. 01 RW. 04,Desa/Kelurahan Jatibening Baru,Kecamatan Pondok Gede,Kota Bekasi,Jawa Barat,17412</t>
  </si>
  <si>
    <t>TMP-13278-15/05/2026Tarik Faktur/Total invoices =25</t>
  </si>
  <si>
    <t>AWBR-13278-15-05-26-C01</t>
  </si>
  <si>
    <t>AWBR-11120-15-05-26</t>
  </si>
  <si>
    <t>TMP-11120-15-05-2026</t>
  </si>
  <si>
    <t>Apotek Gemintang Farma Jatimelati Pondok Melati</t>
  </si>
  <si>
    <t>Jalan Raya Kampung Sawah No 50, Desa/Kelurahan Jatimelati, Kecamatan Pondokmelati, Kota Bekasi,Jawa Barat,17414</t>
  </si>
  <si>
    <t>TMP-11120-15/05/2026Tarik Faktur/Total invoices =25</t>
  </si>
  <si>
    <t>AWBR-11120-15-05-26-C01</t>
  </si>
  <si>
    <t>AWBR-16209-15-05-26</t>
  </si>
  <si>
    <t>TMP-16209-15-05-2026</t>
  </si>
  <si>
    <t>Apotek Manjur Pondok Cina Beji</t>
  </si>
  <si>
    <t>Jl. Margonda Raya No. 514 RT. 001 RW. 005 Jl. Raya Pondok Duta Kel. Pondok Cina Kec. Beji Kota Depok</t>
  </si>
  <si>
    <t>TMP-16209-15/05/2026Tarik Faktur/Total invoices =24</t>
  </si>
  <si>
    <t>AWBR-16209-15-05-26-C01</t>
  </si>
  <si>
    <t>AWBR-982-15-05-26</t>
  </si>
  <si>
    <t>TMP-982-15-05-2026</t>
  </si>
  <si>
    <t>Apotek Pondok Gede Farma</t>
  </si>
  <si>
    <t>Jalan Raya Jatiwaringin 232 B Kelurahan Jaticempaka Kecamatan Pondokgede Kota Bekasi Jawa Barat 17411</t>
  </si>
  <si>
    <t>TMP-982-15/05/2026Tarik Faktur/Total invoices =24</t>
  </si>
  <si>
    <t>AWBR-982-15-05-26-C01</t>
  </si>
  <si>
    <t>AWBR-10650-15-05-26</t>
  </si>
  <si>
    <t>TMP-10650-15-05-2026</t>
  </si>
  <si>
    <t>TMP-10650-15/05/2026Tarik Faktur/Total invoices =22</t>
  </si>
  <si>
    <t>AWBR-10650-15-05-26-C01</t>
  </si>
  <si>
    <t>AWBR-916-15-05-26</t>
  </si>
  <si>
    <t>TMP-916-15-05-2026</t>
  </si>
  <si>
    <t>Apotek Danez Farma Jatibening</t>
  </si>
  <si>
    <t>Jalan Jatibening Estate Kav.2 Kelurahan Jatibening Kecamatan Pondok Gede Kota Bekasi 17412</t>
  </si>
  <si>
    <t>TMP-916-15/05/2026Tarik Faktur/Total invoices =16</t>
  </si>
  <si>
    <t>AWBR-916-15-05-26-C01</t>
  </si>
  <si>
    <t>AWBR-11952-15-05-26</t>
  </si>
  <si>
    <t>TMP-11952-15-05-2026</t>
  </si>
  <si>
    <t>Apotek Sahabat Galenika 1 Jatiwaringin Pondok Gede</t>
  </si>
  <si>
    <t>Jl. Jatiwaringin No. 130 Kel. Jatiwaringin Kec. Pondok Gede Kota Bekasi</t>
  </si>
  <si>
    <t>TMP-11952-15/05/2026Tarik Faktur/Total invoices =16</t>
  </si>
  <si>
    <t>AWBR-11952-15-05-26-C01</t>
  </si>
  <si>
    <t>AWBR-16587-15-05-26</t>
  </si>
  <si>
    <t>TMP-16587-15-05-2026</t>
  </si>
  <si>
    <t>Apotek Fatih Jatibening Baru Pondok Gede</t>
  </si>
  <si>
    <t>Jl. Lampiri Raya No.108 B Desa/Kelurahan Jatibening Baru,Kecamatan Pondok Gede, Kota Bekasi, Jawa Barat, 17412</t>
  </si>
  <si>
    <t>TMP-16587-15/05/2026Tarik Faktur/Total invoices =15</t>
  </si>
  <si>
    <t>AWBR-16587-15-05-26-C01</t>
  </si>
  <si>
    <t>AWBR-836-15-05-26</t>
  </si>
  <si>
    <t>TMP-836-15-05-2026</t>
  </si>
  <si>
    <t>Apotek Alam Sehat Farma</t>
  </si>
  <si>
    <t>Jalan Anggrek Raya No. 27-28 RT 002/004 Kelurahan Depok Jaya Kecamatan Pancoran Mas 16432</t>
  </si>
  <si>
    <t>TMP-836-15/05/2026Tarik Faktur/Total invoices =13</t>
  </si>
  <si>
    <t>AWBR-836-15-05-26-C01</t>
  </si>
  <si>
    <t>AWBR-552-15-05-26</t>
  </si>
  <si>
    <t>TMP-552-15-05-2026</t>
  </si>
  <si>
    <t>Apotek G Farma Kranggan</t>
  </si>
  <si>
    <t>Ruko Kranggan Permai Blok RT 2 No. 4, RT 015 RW 015, Kelurahan Jatisampurna, Kecamatan Jatisampurna, Kota Bekasi, Jawa Barat 17433</t>
  </si>
  <si>
    <t>TMP-552-15/05/2026Tarik Faktur/Total invoices =13</t>
  </si>
  <si>
    <t>AWBR-552-15-05-26-C01</t>
  </si>
  <si>
    <t>AWBR-8787-15-05-26</t>
  </si>
  <si>
    <t>TMP-8787-15-05-2026</t>
  </si>
  <si>
    <t>Apotek Hazira Farma Jaticempaka Pd Gede</t>
  </si>
  <si>
    <t>Ruko Blok II No. 12 A Jl. Raya Curug RT 007 RW 002 Kel. Jaticempaka, Kec. Pondok Gede, Kota Bekasi 17411</t>
  </si>
  <si>
    <t>TMP-8787-15/05/2026Tarik Faktur/Total invoices =13</t>
  </si>
  <si>
    <t>AWBR-8787-15-05-26-C01</t>
  </si>
  <si>
    <t>AWBR-15259-15-05-26</t>
  </si>
  <si>
    <t>TMP-15259-15-05-2026</t>
  </si>
  <si>
    <t>Apotek Pasfarma Cipayung Lubang Buaya Cipayung</t>
  </si>
  <si>
    <t>Jl. Pd. Gede Raya No.18 P 1, RT.1/RW.8, Lubang Buaya, Kec. Cipayung, Kota Jakarta Timur</t>
  </si>
  <si>
    <t>TMP-15259-15/05/2026Tarik Faktur/Total invoices =12</t>
  </si>
  <si>
    <t>AWBR-15259-15-05-26-C01</t>
  </si>
  <si>
    <t>AWBR-3894-15-05-26</t>
  </si>
  <si>
    <t>TMP-3894-15-05-2026</t>
  </si>
  <si>
    <t>Apotek Ihsan Farma</t>
  </si>
  <si>
    <t>Jalan Cilangkap Kp. Cilangkap RT 006 RW 012 Kelurahan Cilangkap Kecamatan Tapos Kota Depok 16411</t>
  </si>
  <si>
    <t>TMP-3894-15/05/2026Tarik Faktur/Total invoices =11</t>
  </si>
  <si>
    <t>AWBR-3894-15-05-26-C01</t>
  </si>
  <si>
    <t>AWBR-1113-15-05-26</t>
  </si>
  <si>
    <t>TMP-1113-15-05-2026</t>
  </si>
  <si>
    <t>Apotek K24 Grand Depok City</t>
  </si>
  <si>
    <t>Perumahan Grand Depok City Sektor Caspia Blok B12 RT 002/006 Kelurahan Kalibaru Kecamatan Cilodong Depok 16414</t>
  </si>
  <si>
    <t>TMP-1113-15/05/2026Tarik Faktur/Total invoices =10</t>
  </si>
  <si>
    <t>AWBR-1113-15-05-26-C01</t>
  </si>
  <si>
    <t>AWBR-724-15-05-26</t>
  </si>
  <si>
    <t>TMP-724-15-05-2026</t>
  </si>
  <si>
    <t>Apotek Dewi Farma</t>
  </si>
  <si>
    <t>Jalan Mess AL Kranggan Wetan RT.001/RW.012, Kelurahan Jatirangga, Kecamatan Jatisampurna, Kota Bekasi 17434</t>
  </si>
  <si>
    <t>TMP-724-15/05/2026Tarik Faktur/Total invoices =10</t>
  </si>
  <si>
    <t>AWBR-724-15-05-26-C01</t>
  </si>
  <si>
    <t>AWBR-11914-15-05-26</t>
  </si>
  <si>
    <t>TMP-11914-15-05-2026</t>
  </si>
  <si>
    <t>Apotek dr Anne Harjamukti Cimanggis</t>
  </si>
  <si>
    <t>Kav Pertamina No. 94-96, Jl Tumaritis 1 Kel. Harjamukti Kec. Cimanggis Kota Depok</t>
  </si>
  <si>
    <t>TMP-11914-15/05/2026Tarik Faktur/Total invoices =10</t>
  </si>
  <si>
    <t>AWBR-11914-15-05-26-C01</t>
  </si>
  <si>
    <t>AWBR-11873-15-05-26</t>
  </si>
  <si>
    <t>TMP-11873-15-05-2026</t>
  </si>
  <si>
    <t>Apotek K24 Jatimakmur Jatimakmur Pondok Gede</t>
  </si>
  <si>
    <t>Komplek Ruko Jatimakmur Residence Blok A No. 9 Rt/Rw : 001/RW 20, Desa/Kel. Jatimakmur, Kec. Pondokgede, Kota Bekasi</t>
  </si>
  <si>
    <t>TMP-11873-15/05/2026Tarik Faktur/Total invoices =10</t>
  </si>
  <si>
    <t>AWBR-11873-15-05-26-C01</t>
  </si>
  <si>
    <t>AWBR-2333-15-05-26</t>
  </si>
  <si>
    <t>TMP-2333-15-05-2026</t>
  </si>
  <si>
    <t>Apotek Kita 2</t>
  </si>
  <si>
    <t>Jalan Cipayung Jaya RT 04 RW 05 Kelurahan Cipayung Jaya Kecamatan Cipayung Kota Depok 16437</t>
  </si>
  <si>
    <t>TMP-2333-15/05/2026Tarik Faktur/Total invoices =10</t>
  </si>
  <si>
    <t>AWBR-2333-15-05-26-C01</t>
  </si>
  <si>
    <t>AWBR-642-15-05-26</t>
  </si>
  <si>
    <t>TMP-642-15-05-2026</t>
  </si>
  <si>
    <t>Apotek Seruni</t>
  </si>
  <si>
    <t>Jalan Radar Auri No. 87, Kelurahan Mekarsari, Kecamatan Cimanggis, Kota Depok 16452</t>
  </si>
  <si>
    <t>TMP-642-15/05/2026Tarik Faktur/Total invoices =10</t>
  </si>
  <si>
    <t>AWBR-642-15-05-26-C01</t>
  </si>
  <si>
    <t>AWBR-10793-15-05-26</t>
  </si>
  <si>
    <t>TMP-10793-15-05-2026</t>
  </si>
  <si>
    <t>Apotek Al Kahfi Tanah Baru Beji</t>
  </si>
  <si>
    <t>Jl. Moh. Kahfi 1 Ruko Ario Bimo No.3, Desa/Kel. Tanah Baru, Kec. Beji, Kota Depok 12646</t>
  </si>
  <si>
    <t>TMP-10793-15/05/2026Tarik Faktur/Total invoices =8</t>
  </si>
  <si>
    <t>AWBR-10793-15-05-26-C01</t>
  </si>
  <si>
    <t>AWBR-12914-15-05-26</t>
  </si>
  <si>
    <t>TMP-12914-15-05-2026</t>
  </si>
  <si>
    <t>Apotek Caringin Rangkapan Jaya Pancoran Mas</t>
  </si>
  <si>
    <t>Jalan Caringin RT. 007 RW. 004 , Desa/Kelurahan Rangkapan Jaya,Kecamatan Pancoran Mas, Kota Depok,Jawa Barat,16435</t>
  </si>
  <si>
    <t>TMP-12914-15/05/2026Tarik Faktur/Total invoices =8</t>
  </si>
  <si>
    <t>AWBR-12914-15-05-26-C01</t>
  </si>
  <si>
    <t>AWBR-12208-15-05-26</t>
  </si>
  <si>
    <t>TMP-12208-15-05-2026</t>
  </si>
  <si>
    <t>Klinik Pratama Rawat Jalan Ihsan Medika Dua Cilangkap Tapos</t>
  </si>
  <si>
    <t>Kp Cilangkap RT 001/014 Kel. Cilangkap Kec. Tapos Kota Depok</t>
  </si>
  <si>
    <t>TMP-12208-15/05/2026Tarik Faktur/Total invoices =8</t>
  </si>
  <si>
    <t>AWBR-12208-15-05-26-C01</t>
  </si>
  <si>
    <t>AWBR-535-15-05-26</t>
  </si>
  <si>
    <t>TMP-535-15-05-2026</t>
  </si>
  <si>
    <t>Apotek Sehati 535</t>
  </si>
  <si>
    <t>Jalan Arief Rahman Hakim No. 39 RT 010 RW 006, Kelurahan Depok Jaya, Kecamatan Pancoran Mas, Kota Depok 16431</t>
  </si>
  <si>
    <t>TMP-535-15/05/2026Tarik Faktur/Total invoices =8</t>
  </si>
  <si>
    <t>AWBR-535-15-05-26-C01</t>
  </si>
  <si>
    <t>AWBR-905-15-05-26</t>
  </si>
  <si>
    <t>TMP-905-15-05-2026</t>
  </si>
  <si>
    <t>Apotek Jatimulya</t>
  </si>
  <si>
    <t>Jalan Raya Kalimulya, Kelurahan Jatimulya Kecamatan Cilodong, Kota Depok, Jawa Barat 16413</t>
  </si>
  <si>
    <t>TMP-905-15/05/2026Tarik Faktur/Total invoices =7</t>
  </si>
  <si>
    <t>AWBR-905-15-05-26-C01</t>
  </si>
  <si>
    <t>AWBR-10859-15-05-26</t>
  </si>
  <si>
    <t>TMP-10859-15-05-2026</t>
  </si>
  <si>
    <t>TMP-10859-15/05/2026Tarik Faktur/Total invoices =7</t>
  </si>
  <si>
    <t>AWBR-10859-15-05-26-C01</t>
  </si>
  <si>
    <t>AWBR-15137-15-05-26</t>
  </si>
  <si>
    <t>TMP-15137-15-05-2026</t>
  </si>
  <si>
    <t>Apotek Rakyat Sehat Kalimulya Cilodong</t>
  </si>
  <si>
    <t>Jl Raya Kalimulya No 80 Kel .Kalimulya Kec. Cilodong Kota Depok</t>
  </si>
  <si>
    <t>TMP-15137-15/05/2026Tarik Faktur/Total invoices =7</t>
  </si>
  <si>
    <t>AWBR-15137-15-05-26-C01</t>
  </si>
  <si>
    <t>AWBR-4-15-05-26</t>
  </si>
  <si>
    <t>TMP-4-15-05-2026</t>
  </si>
  <si>
    <t>Apotek K24 Bintang Farma</t>
  </si>
  <si>
    <t>Jl. Kincan raya No. 17C RT.001 RW.007 Kelurahan Jatibening,Kecamatan Pondok Gede,Kota Bekasi,Jawa Barat,17412</t>
  </si>
  <si>
    <t>TMP-4-15/05/2026Tarik Faktur/Total invoices =7</t>
  </si>
  <si>
    <t>AWBR-4-15-05-26-C01</t>
  </si>
  <si>
    <t>AWBR-334-15-05-26</t>
  </si>
  <si>
    <t>TMP-334-15-05-2026</t>
  </si>
  <si>
    <t>Apotek Merapi</t>
  </si>
  <si>
    <t>Jalan Kejayaan Blok X No. 9 RT 006/ RW 012 Kelurahan Abadijaya, Kecamatan Sukmajaya Kota Depok 16417</t>
  </si>
  <si>
    <t>TMP-334-15/05/2026Tarik Faktur/Total invoices =6</t>
  </si>
  <si>
    <t>AWBR-334-15-05-26-C01</t>
  </si>
  <si>
    <t>AWBR-734-15-05-26</t>
  </si>
  <si>
    <t>TMP-734-15-05-2026</t>
  </si>
  <si>
    <t>Apotek Amandara</t>
  </si>
  <si>
    <t>Jalan Siliwangi No.3 Kelurahan Depok, Kecamatan Pancoranmas, Kota Depok 16431</t>
  </si>
  <si>
    <t>TMP-734-15/05/2026Tarik Faktur/Total invoices =6</t>
  </si>
  <si>
    <t>AWBR-734-15-05-26-C01</t>
  </si>
  <si>
    <t>AWBR-13059-15-05-26</t>
  </si>
  <si>
    <t>TMP-13059-15-05-2026</t>
  </si>
  <si>
    <t>TMP-13059-15/05/2026Tarik Faktur/Total invoices =6</t>
  </si>
  <si>
    <t>AWBR-13059-15-05-26-C01</t>
  </si>
  <si>
    <t>AWBR-10722-15-05-26</t>
  </si>
  <si>
    <t>TMP-10722-15-05-2026</t>
  </si>
  <si>
    <t>Apotek Fikri Setu Cipayung</t>
  </si>
  <si>
    <t>Jalan Terusan Mabes Hankam RT 007 RW 004, Desa/Kelurahan Setu, Kecamatan Cipayung, Kota Administrasi Jakarta Timur, DKI Jakarta 13880</t>
  </si>
  <si>
    <t>TMP-10722-15/05/2026Tarik Faktur/Total invoices =6</t>
  </si>
  <si>
    <t>AWBR-10722-15-05-26-C01</t>
  </si>
  <si>
    <t>AWBR-1854-15-05-26</t>
  </si>
  <si>
    <t>TMP-1854-15-05-2026</t>
  </si>
  <si>
    <t>Apotek Hankam</t>
  </si>
  <si>
    <t>Jalan Raya Hankam No.65 RT 002 RW 007 Kelurahan Jatiwarna Kecamatan Pondok Melati Kota Bekasi 17415</t>
  </si>
  <si>
    <t>TMP-1854-15/05/2026Tarik Faktur/Total invoices =6</t>
  </si>
  <si>
    <t>AWBR-1854-15-05-26-C01</t>
  </si>
  <si>
    <t>AWBR-12876-15-05-26</t>
  </si>
  <si>
    <t>TMP-12876-15-05-2026</t>
  </si>
  <si>
    <t>Apotek Karunia Sejahtera Jatimurni Pondok Melati</t>
  </si>
  <si>
    <t>Jl. Raya Kampung Sawah No. 2 RT. 007 RW. 001 Desa/Kelurahan Jatimurni, Kec. Pondokmelati, Kota Bekasi</t>
  </si>
  <si>
    <t>TMP-12876-15/05/2026Tarik Faktur/Total invoices =6</t>
  </si>
  <si>
    <t>AWBR-12876-15-05-26-C01</t>
  </si>
  <si>
    <t>AWBR-11877-15-05-26</t>
  </si>
  <si>
    <t>TMP-11877-15-05-2026</t>
  </si>
  <si>
    <t>Apotek Fit 24 Sukatani Tapos</t>
  </si>
  <si>
    <t>Ruko Khireni green View, Jl Raya Ciherang RT 003 RW 006 Kel. Sukatani Kec. Tapos Kota Depok</t>
  </si>
  <si>
    <t>TMP-11877-15/05/2026Tarik Faktur/Total invoices =6</t>
  </si>
  <si>
    <t>AWBR-11877-15-05-26-C01</t>
  </si>
  <si>
    <t>AWBR-783-15-05-26</t>
  </si>
  <si>
    <t>TMP-783-15-05-2026</t>
  </si>
  <si>
    <t>Klinik Pratama Ihsan Medika</t>
  </si>
  <si>
    <t>Jalan Kapitan No. 22 RT. 003 RW. 004 Kelurahan Sukatani, Kecamatan Tapos, Kota Depok 16454</t>
  </si>
  <si>
    <t>TMP-783-15/05/2026Tarik Faktur/Total invoices =6</t>
  </si>
  <si>
    <t>AWBR-783-15-05-26-C01</t>
  </si>
  <si>
    <t>AWBR-1442-15-05-26</t>
  </si>
  <si>
    <t>TMP-1442-15-05-2026</t>
  </si>
  <si>
    <t>Apotek Faisal</t>
  </si>
  <si>
    <t>Jalan Tawangmangu Raya Blok C2 No. 4 RT 19 RW 07 Kelurahan Jati Cempaka Kecamatan Pondok Gede Kota Bekasi 17411</t>
  </si>
  <si>
    <t>TMP-1442-15/05/2026Tarik Faktur/Total invoices =6</t>
  </si>
  <si>
    <t>AWBR-1442-15-05-26-C01</t>
  </si>
  <si>
    <t>AWBR-1518-15-05-26</t>
  </si>
  <si>
    <t>TMP-1518-15-05-2026</t>
  </si>
  <si>
    <t>Apotek Kita Farma 1518</t>
  </si>
  <si>
    <t>Jalan Swakarsa Raya No. 22 RT.03 RW.04 Desa Jatibening Baru, Kecamatan Pondokgede, Kota Bekasi, Jawa Barat 17412</t>
  </si>
  <si>
    <t>TMP-1518-15/05/2026Tarik Faktur/Total invoices =6</t>
  </si>
  <si>
    <t>AWBR-1518-15-05-26-C01</t>
  </si>
  <si>
    <t>AWBR-12487-15-05-26</t>
  </si>
  <si>
    <t>TMP-12487-15-05-2026</t>
  </si>
  <si>
    <t>TMP-12487-15/05/2026Tarik Faktur/Total invoices =5</t>
  </si>
  <si>
    <t>AWBR-12487-15-05-26-C01</t>
  </si>
  <si>
    <t>AWBR-16212-15-05-26</t>
  </si>
  <si>
    <t>TMP-16212-15-05-2026</t>
  </si>
  <si>
    <t>Apotek Sentra Medika Jatirahayu Pondok Melati</t>
  </si>
  <si>
    <t>Jl. Raya Kecapi Kav. A-03, Kel. Jatirahayu Kec. Pondok Melati, Kota Bekasi</t>
  </si>
  <si>
    <t>TMP-16212-15/05/2026Tarik Faktur/Total invoices =5</t>
  </si>
  <si>
    <t>AWBR-16212-15-05-26-C01</t>
  </si>
  <si>
    <t>AWBR-15120-15-05-26</t>
  </si>
  <si>
    <t>TMP-15120-15-05-2026</t>
  </si>
  <si>
    <t>Apotek Bersama Plus Jatimulya Cilodong</t>
  </si>
  <si>
    <t>Jalan Pondok Rajeg RT 01 RW 01 NO 79, Desa/Kelurahan Jatimulya, Kec. Cilodong, Kota Depok, Provinsi Jawa Barat,</t>
  </si>
  <si>
    <t>TMP-15120-15/05/2026Tarik Faktur/Total invoices =5</t>
  </si>
  <si>
    <t>AWBR-15120-15-05-26-C01</t>
  </si>
  <si>
    <t>AWBR-1324-15-05-26</t>
  </si>
  <si>
    <t>TMP-1324-15-05-2026</t>
  </si>
  <si>
    <t>Apotek Zhafira</t>
  </si>
  <si>
    <t>Jalan Raya Keadilan RT 004 RW 009 Kelurahan Rangkapan Jaya Baru Kecamatan Pancoran Mas Depok 16431</t>
  </si>
  <si>
    <t>TMP-1324-15/05/2026Tarik Faktur/Total invoices =5</t>
  </si>
  <si>
    <t>AWBR-1324-15-05-26-C01</t>
  </si>
  <si>
    <t>AWBR-994-15-05-26</t>
  </si>
  <si>
    <t>TMP-994-15-05-2026</t>
  </si>
  <si>
    <t>Apotek Guna Sehat</t>
  </si>
  <si>
    <t>Jalan Raya Pondok Gede 50 A Kav 4-5 Kelurahan Jatirahayu Kecamatan Pondok Melati Bekasi Jawa Barat 17414</t>
  </si>
  <si>
    <t>TMP-994-15/05/2026Tarik Faktur/Total invoices =5</t>
  </si>
  <si>
    <t>AWBR-994-15-05-26-C01</t>
  </si>
  <si>
    <t>AWBR-721-15-05-26</t>
  </si>
  <si>
    <t>TMP-721-15-05-2026</t>
  </si>
  <si>
    <t>Apotek Pondok Melati</t>
  </si>
  <si>
    <t>Jalan Raya Hankam No.41 Kelurahan Jatimelati, Kecamatan Pondok Melati, Kota Bekasi 17414</t>
  </si>
  <si>
    <t>TMP-721-15/05/2026Tarik Faktur/Total invoices =5</t>
  </si>
  <si>
    <t>AWBR-721-15-05-26-C01</t>
  </si>
  <si>
    <t>AWBR-16836-15-05-26</t>
  </si>
  <si>
    <t>TMP-16836-15-05-2026</t>
  </si>
  <si>
    <t>Apotek Aura Jatibening Pondokgede</t>
  </si>
  <si>
    <t>Jl. Raya Jatibening Estate No. 34, Kel.Jatibening, Kec. Pondok Gede, Kota Bekasi</t>
  </si>
  <si>
    <t>TMP-16836-15/05/2026Tarik Faktur/Total invoices =5</t>
  </si>
  <si>
    <t>AWBR-16836-15-05-26-C01</t>
  </si>
  <si>
    <t>AWBR-1091-15-05-26</t>
  </si>
  <si>
    <t>TMP-1091-15-05-2026</t>
  </si>
  <si>
    <t>Apotek Harrison Pasir Angin</t>
  </si>
  <si>
    <t>Kampung Cinyosog RT 001 RW 001 Desa Pasir Angin Kecamatan Cileungsi Kaupaten Bogor 16820</t>
  </si>
  <si>
    <t>TMP-1091-15/05/2026Tarik Faktur/Total invoices =15</t>
  </si>
  <si>
    <t>AWBR-1091-15-05-26-C01</t>
  </si>
  <si>
    <t>AWBR-2288-15-05-26</t>
  </si>
  <si>
    <t>TMP-2288-15-05-2026</t>
  </si>
  <si>
    <t>Apotek Ainun</t>
  </si>
  <si>
    <t>Jalan Raya Parung Gunung Sindur No. 23 Desa Parung Kecamatan Parung Kabupaten Bogor 16330</t>
  </si>
  <si>
    <t>TMP-2288-15/05/2026Tarik Faktur/Total invoices =9</t>
  </si>
  <si>
    <t>AWBR-2288-15-05-26-C01</t>
  </si>
  <si>
    <t>AWBR-1370-15-05-26</t>
  </si>
  <si>
    <t>TMP-1370-15-05-2026</t>
  </si>
  <si>
    <t>Apotek Mutiara Farma 1370</t>
  </si>
  <si>
    <t>Ruko Bukit Cimanggu City Blok B1 No. 2a RT.007 RW.009 Kel. Cibadak, Kecamatan Tanah Sareal, Kota Bogor</t>
  </si>
  <si>
    <t>TMP-1370-15/05/2026Tarik Faktur/Total invoices =9</t>
  </si>
  <si>
    <t>AWBR-1370-15-05-26-C01</t>
  </si>
  <si>
    <t>AWBR-10767-15-05-26</t>
  </si>
  <si>
    <t>TMP-10767-15-05-2026</t>
  </si>
  <si>
    <t>Apotek Mecca Cicadas Gunung Putri</t>
  </si>
  <si>
    <t>Jl. Mercedes Benz RT 01 RW 03 Desa/Kel. Cicadas Kec. Gunung Putri Kab. Bogor 16964</t>
  </si>
  <si>
    <t>TMP-10767-15/05/2026Tarik Faktur/Total invoices =8</t>
  </si>
  <si>
    <t>AWBR-10767-15-05-26-C01</t>
  </si>
  <si>
    <t>AWBR-10700-15-05-26</t>
  </si>
  <si>
    <t>TMP-10700-15-05-2026</t>
  </si>
  <si>
    <t>Apotek K24 Citra Indah 2 Sukamaju Jonggol</t>
  </si>
  <si>
    <t>Ruko Citra Indah Jonggol Blok SS 05 No. 3, Perum Citra Indah Desa/Kelurahan Sukamaju, Kecamatan Jonggol, Kabupaten Bogor, Jawa Barat 16830</t>
  </si>
  <si>
    <t>TMP-10700-15/05/2026Tarik Faktur/Total invoices =7</t>
  </si>
  <si>
    <t>AWBR-10700-15-05-26-C01</t>
  </si>
  <si>
    <t>AWBR-2823-15-05-26</t>
  </si>
  <si>
    <t>TMP-2823-15-05-2026</t>
  </si>
  <si>
    <t>Apotek Al Fath 21</t>
  </si>
  <si>
    <t>Jalan KH. Abdullah Bin Nuh No. 99 RT. 05 RW. 04 Kelurahan Cibadak Kecamatan Tanah Sereal Kota Bogor 16166</t>
  </si>
  <si>
    <t>TMP-2823-15/05/2026Tarik Faktur/Total invoices =7</t>
  </si>
  <si>
    <t>AWBR-2823-15-05-26-C01</t>
  </si>
  <si>
    <t>AWBR-13514-15-05-26</t>
  </si>
  <si>
    <t>TMP-13514-15-05-2026</t>
  </si>
  <si>
    <t>Klinik Duta Medika Cileungsi Kidul Cileungsi</t>
  </si>
  <si>
    <t>Komplek Ruko Duta Mekar Asri Blok B1 No. 03 Desa Cileungsi Kidul Kecamatan Cileungsi Kabupaten Bogor</t>
  </si>
  <si>
    <t>TMP-13514-15/05/2026Tarik Faktur/Total invoices =7</t>
  </si>
  <si>
    <t>AWBR-13514-15-05-26-C01</t>
  </si>
  <si>
    <t>AWBR-11513-15-05-26</t>
  </si>
  <si>
    <t>TMP-11513-15-05-2026</t>
  </si>
  <si>
    <t>Apotek Permata Sehat Farma Parung Parung</t>
  </si>
  <si>
    <t>Jl. Gang Wira No. 8 RT.02 RW. 05 Desa/Kel. Parung Kec. Parung Kabupaten Bogor 16330</t>
  </si>
  <si>
    <t>TMP-11513-15/05/2026Tarik Faktur/Total invoices =7</t>
  </si>
  <si>
    <t>AWBR-11513-15-05-26-C01</t>
  </si>
  <si>
    <t>AWBR-13413-15-05-26</t>
  </si>
  <si>
    <t>TMP-13413-15-05-2026</t>
  </si>
  <si>
    <t>Apotek Anugerah Pasir Mukti Citeureup</t>
  </si>
  <si>
    <t>Ruko Perumahan Puri Harmoni Pasir Mukti Blok H No. 40, Desa/Kelurahan Pasirmukti, Kec. Citeureup, Kab. Bogor</t>
  </si>
  <si>
    <t>TMP-13413-15/05/2026Tarik Faktur/Total invoices =6</t>
  </si>
  <si>
    <t>AWBR-13413-15-05-26-C01</t>
  </si>
  <si>
    <t>AWBR-11944-15-05-26</t>
  </si>
  <si>
    <t>TMP-11944-15-05-2026</t>
  </si>
  <si>
    <t>Klinik Waspada Medika Karadenan Cibinong</t>
  </si>
  <si>
    <t>Jl. Raya Pemda Kp. Kaum Pandak No. 42 RT.002 Rw.004 Desa/Kel. Karadenan Kec. Cibinong,Kabupaten Bogor</t>
  </si>
  <si>
    <t>TMP-11944-15/05/2026Tarik Faktur/Total invoices =6</t>
  </si>
  <si>
    <t>AWBR-11944-15-05-26-C01</t>
  </si>
  <si>
    <t>AWBR-12162-15-05-26</t>
  </si>
  <si>
    <t>TMP-12162-15-05-2026</t>
  </si>
  <si>
    <t>Apotek Damara Cipayung Datar Megamendung</t>
  </si>
  <si>
    <t>Jl. Habib Umar Kp. Cipayung RT 005 RW 001 Cipayung Datar Kecamatan Megamendung Kabupaten Bogor</t>
  </si>
  <si>
    <t>TMP-12162-15/05/2026Tarik Faktur/Total invoices =6</t>
  </si>
  <si>
    <t>AWBR-12162-15-05-26-C01</t>
  </si>
  <si>
    <t>AWBR-1574-15-05-26</t>
  </si>
  <si>
    <t>TMP-1574-15-05-2026</t>
  </si>
  <si>
    <t>Apotek Bubulak</t>
  </si>
  <si>
    <t>Jl. BUBULAK No 85 RT 03 RW 01, Desa/Kelurahan Kebon Pedes, Kec. Tanah Sareal, Kota Bogor 16162</t>
  </si>
  <si>
    <t>TMP-1574-15/05/2026Tarik Faktur/Total invoices =6</t>
  </si>
  <si>
    <t>AWBR-1574-15-05-26-C01</t>
  </si>
  <si>
    <t>AWBR-1513-15-05-26</t>
  </si>
  <si>
    <t>TMP-1513-15-05-2026</t>
  </si>
  <si>
    <t>Apotek Bunda Lubna</t>
  </si>
  <si>
    <t>Bukit Cimanggu City Ruko Greenland Avenue Blok DD2 No. 18 RT. 001 RW. 014 Kelurahan Sukadamai Kecamatan Tanah Sereal Kota Bogor 16165</t>
  </si>
  <si>
    <t>TMP-1513-15/05/2026Tarik Faktur/Total invoices =6</t>
  </si>
  <si>
    <t>AWBR-1513-15-05-26-C01</t>
  </si>
  <si>
    <t>AWBR-1257-15-05-26</t>
  </si>
  <si>
    <t>TMP-1257-15-05-2026</t>
  </si>
  <si>
    <t>Apotek Kemang</t>
  </si>
  <si>
    <t>Jalan Raya Kemang No8 RT 002 RW 002 Desa Pondok Udik Kecamatan Kemang Kabupaten Bogor Jawa Barat 16310</t>
  </si>
  <si>
    <t>TMP-1257-15/05/2026Tarik Faktur/Total invoices =6</t>
  </si>
  <si>
    <t>AWBR-1257-15-05-26-C01</t>
  </si>
  <si>
    <t>AWBR-3423-15-05-26</t>
  </si>
  <si>
    <t>TMP-3423-15-05-2026</t>
  </si>
  <si>
    <t>Klinik Pratama Rawat Jalan Danez Medika Bojong Kulur Gunung Putri</t>
  </si>
  <si>
    <t>Villa Nusa Indah II HH 2/4 Desa Bojong Kulur Kecamatan Gunung Putri Kabupaten Bogor 17422</t>
  </si>
  <si>
    <t>TMP-3423-15/05/2026Tarik Faktur/Total invoices =5</t>
  </si>
  <si>
    <t>AWBR-3423-15-05-26-C01</t>
  </si>
  <si>
    <t>AWBR-7235-15-05-26</t>
  </si>
  <si>
    <t>TMP-7235-15-05-2026</t>
  </si>
  <si>
    <t>Apotek Mekarwangi 7235</t>
  </si>
  <si>
    <t>Perumahan Taman Tirta Cimanggu Ruko No. 20 RT 06 RW 012 Kel. Mekarwangi Kec. Tanah Sereal Kota Bogor 16167</t>
  </si>
  <si>
    <t>TMP-7235-15/05/2026Tarik Faktur/Total invoices =5</t>
  </si>
  <si>
    <t>AWBR-7235-15-05-26-C01</t>
  </si>
  <si>
    <t>AWBR-2117-15-05-26</t>
  </si>
  <si>
    <t>TMP-2117-15-05-2026</t>
  </si>
  <si>
    <t>Apotek Dharma Farma</t>
  </si>
  <si>
    <t>Jalan KH. Mansyur RT003 RW 003 Kelurahan Sudimara Kecamatan Pinang Kota Tangerang 15145</t>
  </si>
  <si>
    <t>TMP-2117-15/05/2026Tarik Faktur/Total invoices =35</t>
  </si>
  <si>
    <t>AWBR-2117-15-05-26-C01</t>
  </si>
  <si>
    <t>AWBR-7716-15-05-26</t>
  </si>
  <si>
    <t>TMP-7716-15-05-2026</t>
  </si>
  <si>
    <t>Apotek Kita Merdeka</t>
  </si>
  <si>
    <t>Ruko Dasana Indah PD 06 No.1 Kelurahan/Desa Bojong Nangka Kecamatan Kelapa Dua Kabupaten Tangerang,Banten,15810</t>
  </si>
  <si>
    <t>TMP-7716-15/05/2026Tarik Faktur/Total invoices =16</t>
  </si>
  <si>
    <t>AWBR-7716-15-05-26-C01</t>
  </si>
  <si>
    <t>AWBR-669-15-05-26</t>
  </si>
  <si>
    <t>TMP-669-15-05-2026</t>
  </si>
  <si>
    <t>Apotek Pelangi</t>
  </si>
  <si>
    <t>Komplek Ruko Pasar Segar Blok RB1 No.8 Graha Raya Bintaro, Kelurahan Pondok Jagung Timur, Kecamatan Serpong Utara, Kota Tangerang Selatan, Banten 15326</t>
  </si>
  <si>
    <t>TMP-669-15/05/2026Tarik Faktur/Total invoices =13</t>
  </si>
  <si>
    <t>AWBR-669-15-05-26-C01</t>
  </si>
  <si>
    <t>AWBR-10838-15-05-26</t>
  </si>
  <si>
    <t>TMP-10838-15-05-2026</t>
  </si>
  <si>
    <t>Apotek SS Pharmacia 5 Kunciran Indah Pinang</t>
  </si>
  <si>
    <t>Jl. Sultan Ageng Tirtayasa RT 04 RW 09 Kelurahan Kunciran Indah Kecamatan Pinang Kota Tangerang 15144</t>
  </si>
  <si>
    <t>TMP-10838-15/05/2026Tarik Faktur/Total invoices =12</t>
  </si>
  <si>
    <t>AWBR-10838-15-05-26-C01</t>
  </si>
  <si>
    <t>AWBR-1680-15-05-26</t>
  </si>
  <si>
    <t>TMP-1680-15-05-2026</t>
  </si>
  <si>
    <t>Apotek Binong Permai</t>
  </si>
  <si>
    <t>Perumahan Binong Permai Blok A1 No. 18 RT 01 RW 012 Kelurahan Binong Kecamatan Curug Kabupaten Tangerang 15810</t>
  </si>
  <si>
    <t>TMP-1680-15/05/2026Tarik Faktur/Total invoices =10</t>
  </si>
  <si>
    <t>AWBR-1680-15-05-26-C01</t>
  </si>
  <si>
    <t>AWBR-16745-15-05-26</t>
  </si>
  <si>
    <t>TMP-16745-15-05-2026</t>
  </si>
  <si>
    <t>Apotek GS Petir Cipondoh</t>
  </si>
  <si>
    <t>Jalan KH. Ahmad Dahlan Nomor 36A , Desa/Kelurahan Petir, Kec. Cipondoh, Kota Tangerang</t>
  </si>
  <si>
    <t>TMP-16745-15/05/2026Tarik Faktur/Total invoices =9</t>
  </si>
  <si>
    <t>AWBR-16745-15-05-26-C01</t>
  </si>
  <si>
    <t>AWBR-16035-15-05-26</t>
  </si>
  <si>
    <t>TMP-16035-15-05-2026</t>
  </si>
  <si>
    <t>Apotek Mandiri Pharma Emerald Perigi Lama Pondok Aren</t>
  </si>
  <si>
    <t>Ruko Emerald Boulevard AA1 Nomor 28 Bintaro Jaya 9, Jalan Jombang Raya, Desa/Kelurahan Parigi, Kec. Pondok Aren,Kota Tangerang Selatan,Banten,</t>
  </si>
  <si>
    <t>TMP-16035-15/05/2026Tarik Faktur/Total invoices =8</t>
  </si>
  <si>
    <t>AWBR-16035-15-05-26-C01</t>
  </si>
  <si>
    <t>AWBR-1971-15-05-26</t>
  </si>
  <si>
    <t>TMP-1971-15-05-2026</t>
  </si>
  <si>
    <t>Klinik Pratama Asa Medika</t>
  </si>
  <si>
    <t>Perumahan Dasana Indah, Ruko Dasana Xenter Blok AD 51-53 RT 007 RW 012 Desa Bojong Nangka Kecamatan Kelapa Dua Tangerang 15810</t>
  </si>
  <si>
    <t>TMP-1971-15/05/2026Tarik Faktur/Total invoices =8</t>
  </si>
  <si>
    <t>AWBR-1971-15-05-26-C01</t>
  </si>
  <si>
    <t>AWBR-5419-15-05-26</t>
  </si>
  <si>
    <t>TMP-5419-15-05-2026</t>
  </si>
  <si>
    <t>Apotek K24 Cimone</t>
  </si>
  <si>
    <t>Jalan Gatot Subroto No.11,Desa/Kelurahan Cimone,Kecamatan Karawaci,Kota Tangerang,15114</t>
  </si>
  <si>
    <t>TMP-5419-15/05/2026Tarik Faktur/Total invoices =7</t>
  </si>
  <si>
    <t>AWBR-5419-15-05-26-C01</t>
  </si>
  <si>
    <t>AWBR-2144-15-05-26</t>
  </si>
  <si>
    <t>TMP-2144-15-05-2026</t>
  </si>
  <si>
    <t>Apotek Kreator Kesehatan</t>
  </si>
  <si>
    <t>Ruko Azores Banjar Wijaya Blok B-17A No. 33 Kelurahan Porsi Plawad Indah Kecamatan Cipondoh Kota Tangerang 15141</t>
  </si>
  <si>
    <t>TMP-2144-15/05/2026Tarik Faktur/Total invoices =6</t>
  </si>
  <si>
    <t>AWBR-2144-15-05-26-C01</t>
  </si>
  <si>
    <t>AWBR-1250-15-05-26</t>
  </si>
  <si>
    <t>TMP-1250-15-05-2026</t>
  </si>
  <si>
    <t>Apotek Nabil Farma</t>
  </si>
  <si>
    <t>Jalan Iskandar Muda No.194 RT 001/003 Kelurahan Kedaung Baru Kecamatan Neglasari Kota Tangerang 15128</t>
  </si>
  <si>
    <t>TMP-1250-15/05/2026Tarik Faktur/Total invoices =6</t>
  </si>
  <si>
    <t>AWBR-1250-15-05-26-C01</t>
  </si>
  <si>
    <t>AWBR-11544-15-05-26</t>
  </si>
  <si>
    <t>TMP-11544-15-05-2026</t>
  </si>
  <si>
    <t>Apotek Gema Sehat Medang Pagedangan</t>
  </si>
  <si>
    <t>Ruko Blok C.6 No. D28,Medang Lestari Kel. Medang Kec. Pagedangan Kab. Tangerang 15334</t>
  </si>
  <si>
    <t>TMP-11544-15/05/2026Tarik Faktur/Total invoices =6</t>
  </si>
  <si>
    <t>AWBR-11544-15-05-26-C01</t>
  </si>
  <si>
    <t>AWBR-681-15-05-26</t>
  </si>
  <si>
    <t>TMP-681-15-05-2026</t>
  </si>
  <si>
    <t>Apotek Bri Farma</t>
  </si>
  <si>
    <t>Taman Royal I, Ruko Permata Niaga 3 No.2 Kelurahan Tanah Tinggi, Kecamatan Tangerang, Kota Tangerang 15119</t>
  </si>
  <si>
    <t>TMP-681-15/05/2026Tarik Faktur/Total invoices =5</t>
  </si>
  <si>
    <t>AWBR-681-15-05-26-C01</t>
  </si>
  <si>
    <t>AWBR-11941-15-05-26</t>
  </si>
  <si>
    <t>TMP-11941-15-05-2026</t>
  </si>
  <si>
    <t>Apotek Fortune Paku Jaya Serpong Utara</t>
  </si>
  <si>
    <t>Ruko Fortune 8 Blok Fb/ C No. 23, Desa/Kelurahan Pakujaya, Kec. Serpong Utara, Kota Tangerang Selatan,</t>
  </si>
  <si>
    <t>TMP-11941-15/05/2026Tarik Faktur/Total invoices =5</t>
  </si>
  <si>
    <t>AWBR-11941-15-05-26-C01</t>
  </si>
  <si>
    <t>AWBR-2222-15-05-26</t>
  </si>
  <si>
    <t>TMP-2222-15-05-2026</t>
  </si>
  <si>
    <t>Apotek Medika Arzafa</t>
  </si>
  <si>
    <t>Jalan Perum Griya Asri Raya Blok B8 No. 44 RT 053 RW 007 Kelurahan Jelupang Kecamatan Serpong Utara Tangerang Selatan 15323</t>
  </si>
  <si>
    <t>TMP-2222-15/05/2026Tarik Faktur/Total invoices =5</t>
  </si>
  <si>
    <t>AWBR-2222-15-05-26-C01</t>
  </si>
  <si>
    <t>AWBR-15907-15-05-26</t>
  </si>
  <si>
    <t>TMP-15907-15-05-2026</t>
  </si>
  <si>
    <t>Apotek El Shaddai 2 Cibodasari Cibodas</t>
  </si>
  <si>
    <t>Jln. Pandan Raya No.14 RT.005 RW.013 Perumnas I Kel. Cibodasari Kec. Cibodas - Kota Tangerang</t>
  </si>
  <si>
    <t>TMP-15907-15/05/2026Tarik Faktur/Total invoices =5</t>
  </si>
  <si>
    <t>AWBR-15907-15-05-26-C01</t>
  </si>
  <si>
    <t>AWBR-1249-15-05-26</t>
  </si>
  <si>
    <t>TMP-1249-15-05-2026</t>
  </si>
  <si>
    <t>Apotek K24 Anggrek Cikarang Baru</t>
  </si>
  <si>
    <t>Jalan Anggrek Kaviling B1 No.23 Kelurahan Mekarmukti Kecamatan Cikarang Utara Kabupaten Bekasi 17530</t>
  </si>
  <si>
    <t>TMP-1249-15/05/2026Tarik Faktur/Total invoices =42</t>
  </si>
  <si>
    <t>AWBR-1249-15-05-26-C01</t>
  </si>
  <si>
    <t>AWBR-9226-15-05-26</t>
  </si>
  <si>
    <t>TMP-9226-15-05-2026</t>
  </si>
  <si>
    <t>Apotek Adara Farma Ciledug Setu</t>
  </si>
  <si>
    <t>Jl. Tonggong Londok RT 006 RW 002 Desa Ciledug Kec. Setu Kab. Bekasi 17320</t>
  </si>
  <si>
    <t>TMP-9226-15/05/2026Tarik Faktur/Total invoices =20</t>
  </si>
  <si>
    <t>AWBR-9226-15-05-26-C01</t>
  </si>
  <si>
    <t>AWBR-13760-15-05-26</t>
  </si>
  <si>
    <t>TMP-13760-15-05-2026</t>
  </si>
  <si>
    <t>Apotek Mari Sehat Sukasejati Cikarang Selatan</t>
  </si>
  <si>
    <t>Perumahan Villa Mutiara Cikarang 2 Blok B2 No 29, Desa/Kelurahan Sukasejati, Kec. Cikarang Selatan, Kab. Bekasi</t>
  </si>
  <si>
    <t>TMP-13760-15/05/2026Tarik Faktur/Total invoices =20</t>
  </si>
  <si>
    <t>AWBR-13760-15-05-26-C01</t>
  </si>
  <si>
    <t>AWBR-13383-15-05-26</t>
  </si>
  <si>
    <t>TMP-13383-15-05-2026</t>
  </si>
  <si>
    <t>Apotek Ayesha Farma Pasirranji Cikarang Pusat</t>
  </si>
  <si>
    <t>Kp Pasirranji RT 006/ RW 002 Desa Pasirranji, Kec. Cikarang Pusat, Kabupaten Bekasi</t>
  </si>
  <si>
    <t>TMP-13383-15/05/2026Tarik Faktur/Total invoices =15</t>
  </si>
  <si>
    <t>AWBR-13383-15-05-26-C01</t>
  </si>
  <si>
    <t>AWBR-11388-15-05-26</t>
  </si>
  <si>
    <t>TMP-11388-15-05-2026</t>
  </si>
  <si>
    <t>Apotek Rahayu Medika BTR 3 Padurenan Mustika Jaya</t>
  </si>
  <si>
    <t>Perumahan Bekasi Timur Regency 3 Blok F1 No 8, Kel. Padurenan Kec. Mustika Jaya, Kota Bekasi, 17155</t>
  </si>
  <si>
    <t>TMP-11388-15/05/2026Tarik Faktur/Total invoices =13</t>
  </si>
  <si>
    <t>AWBR-11388-15-05-26-C01</t>
  </si>
  <si>
    <t>AWBR-12527-15-05-26</t>
  </si>
  <si>
    <t>TMP-12527-15-05-2026</t>
  </si>
  <si>
    <t>Apotek Kembar Jaya Farma Jayasampurna Serang Baru</t>
  </si>
  <si>
    <t>Kp Pagadungan RT 03 RW 04 Desa Jayasampurna Kec. Serang Baru Kab. Bekasi</t>
  </si>
  <si>
    <t>TMP-12527-15/05/2026Tarik Faktur/Total invoices =12</t>
  </si>
  <si>
    <t>AWBR-12527-15-05-26-C01</t>
  </si>
  <si>
    <t>AWBR-13216-15-05-26</t>
  </si>
  <si>
    <t>TMP-13216-15-05-2026</t>
  </si>
  <si>
    <t>Apotek Ambu Nara Cimuning Mustika Jaya</t>
  </si>
  <si>
    <t>Perumahan Bekasi Timur Regency I, Ruko Michella Blok. I09 No. 09, Jl. Raya Gelatik RT. 002 RW. 018 Kel. Cimuning Kec. Mustika Jaya, Kota Bekasi</t>
  </si>
  <si>
    <t>TMP-13216-15/05/2026Tarik Faktur/Total invoices =11</t>
  </si>
  <si>
    <t>AWBR-13216-15-05-26-C01</t>
  </si>
  <si>
    <t>AWBR-10958-15-05-26</t>
  </si>
  <si>
    <t>TMP-10958-15-05-2026</t>
  </si>
  <si>
    <t>Apotek Gold Sukamahi Cikarang Pusat</t>
  </si>
  <si>
    <t>Kp. Cimahi RT.006 RW.003 Desa Sukamahi, Kec. Cikarang Pusat, Kabupaten Bekasi 17531</t>
  </si>
  <si>
    <t>TMP-10958-15/05/2026Tarik Faktur/Total invoices =10</t>
  </si>
  <si>
    <t>AWBR-10958-15-05-26-C01</t>
  </si>
  <si>
    <t>AWBR-11206-15-05-26</t>
  </si>
  <si>
    <t>TMP-11206-15-05-2026</t>
  </si>
  <si>
    <t>Apotek Mangun Jaya Mustikasari Mustika Jaya</t>
  </si>
  <si>
    <t>Jalan Mandor Demong Kawasan Perumahan Familia Urban Ruko Blok DD 9-10, Desa/Kel. Mustikasari, Kec. Mustikajaya, Kota Bekasi 17157</t>
  </si>
  <si>
    <t>TMP-11206-15/05/2026Tarik Faktur/Total invoices =8</t>
  </si>
  <si>
    <t>AWBR-11206-15-05-26-C01</t>
  </si>
  <si>
    <t>AWBR-12258-15-05-26</t>
  </si>
  <si>
    <t>TMP-12258-15-05-2026</t>
  </si>
  <si>
    <t>Apotek Tabina Farma Sukaraya Karangbahagia</t>
  </si>
  <si>
    <t>Perum Sukaraya Indah Blok D1, Desa/Kelurahan Sukaraya, Kec. Karang Bahagia, Kab. Bekasi</t>
  </si>
  <si>
    <t>TMP-12258-15/05/2026Tarik Faktur/Total invoices =8</t>
  </si>
  <si>
    <t>AWBR-12258-15-05-26-C01</t>
  </si>
  <si>
    <t>AWBR-16909-15-05-26</t>
  </si>
  <si>
    <t>TMP-16909-15-05-2026</t>
  </si>
  <si>
    <t>Apotek Megah Farma TCI3 Sukadami Cikarang Selatan</t>
  </si>
  <si>
    <t>Jl. Serang-Setu No.23 Desa Sukadami, Kec. Cikarang Selatan, Kab. Bekasi</t>
  </si>
  <si>
    <t>TMP-16909-15/05/2026Tarik Faktur/Total invoices =8</t>
  </si>
  <si>
    <t>AWBR-16909-15-05-26-C01</t>
  </si>
  <si>
    <t>AWBR-1868-15-05-26</t>
  </si>
  <si>
    <t>TMP-1868-15-05-2026</t>
  </si>
  <si>
    <t>Apotek GP Pratama</t>
  </si>
  <si>
    <t>Perumahan Gramapuri Persada Blok K2/9 Kelurahan Sukajaya Kecamatan Cibitung Kabupaten Bekasi 17520</t>
  </si>
  <si>
    <t>TMP-1868-15/05/2026Tarik Faktur/Total invoices =8</t>
  </si>
  <si>
    <t>AWBR-1868-15-05-26-C01</t>
  </si>
  <si>
    <t>AWBR-4643-15-05-26</t>
  </si>
  <si>
    <t>TMP-4643-15-05-2026</t>
  </si>
  <si>
    <t>Apotek Elva Farma 2</t>
  </si>
  <si>
    <t>Perum Mutiara Bekasi Jaya Blok G1 No. 19A RT 005 RW 009 Desa/Kelurahan Sindangmulya Kecamatan Cibarusah Kabupaten Bekasi 17340</t>
  </si>
  <si>
    <t>TMP-4643-15/05/2026Tarik Faktur/Total invoices =7</t>
  </si>
  <si>
    <t>AWBR-4643-15-05-26-C01</t>
  </si>
  <si>
    <t>AWBR-936-15-05-26</t>
  </si>
  <si>
    <t>TMP-936-15-05-2026</t>
  </si>
  <si>
    <t>Apotek Serambi 1 Bantar Gebang</t>
  </si>
  <si>
    <t>Jalan Raya Narogong KM 11 RT 03 RW 07 Kelurahan Bantargebang Kecamatan Bantargebang Bekasi Jawa Barat 17151</t>
  </si>
  <si>
    <t>TMP-936-15/05/2026Tarik Faktur/Total invoices =7</t>
  </si>
  <si>
    <t>AWBR-936-15-05-26-C01</t>
  </si>
  <si>
    <t>AWBR-6702-15-05-26</t>
  </si>
  <si>
    <t>TMP-6702-15-05-2026</t>
  </si>
  <si>
    <t>Apotek Rejeki 6702</t>
  </si>
  <si>
    <t>Perum Ruko Perumahan Imanan Residence Blok A No.6 RT 005 RW 02 Desa Serang Kec. Cikarang Selatan Kab. Bekasi 17530</t>
  </si>
  <si>
    <t>TMP-6702-15/05/2026Tarik Faktur/Total invoices =6</t>
  </si>
  <si>
    <t>AWBR-6702-15-05-26-C01</t>
  </si>
  <si>
    <t>AWBR-11379-15-05-26</t>
  </si>
  <si>
    <t>TMP-11379-15-05-2026</t>
  </si>
  <si>
    <t>Apotek Hace Regamanunggal Setu</t>
  </si>
  <si>
    <t>Perum Harvest City, Ruko CBD Orchid Blok BVO 04 -19 Lantai 1 Desa Ragemanunggal, Kec. Setu Kab Bekasi 17320</t>
  </si>
  <si>
    <t>TMP-11379-15/05/2026Tarik Faktur/Total invoices =6</t>
  </si>
  <si>
    <t>AWBR-11379-15-05-26-C01</t>
  </si>
  <si>
    <t>AWBR-12022-15-05-26</t>
  </si>
  <si>
    <t>TMP-12022-15-05-2026</t>
  </si>
  <si>
    <t>Apotek Sehat Jatiwangi Cikarang Barat</t>
  </si>
  <si>
    <t>Kp Tegal Tangsi RT 003 RW 003 Desa Jatiwangi Kec. Cikarang Barat Kab. Bekasi</t>
  </si>
  <si>
    <t>TMP-12022-15/05/2026Tarik Faktur/Total invoices =5</t>
  </si>
  <si>
    <t>AWBR-12022-15-05-26-C01</t>
  </si>
  <si>
    <t>AWBR-15113-15-05-26</t>
  </si>
  <si>
    <t>TMP-15113-15-05-2026</t>
  </si>
  <si>
    <t>Apotek Cemerlang Simpangan Cikarang Utara</t>
  </si>
  <si>
    <t>Jl. Cisadane Raya Blok M9 No. 18 RT 01 RW 11, Desa/Kel. Simpangan, Kec. Cikarang Utara, Kab. Bekasi</t>
  </si>
  <si>
    <t>TMP-15113-15/05/2026Tarik Faktur/Total invoices =5</t>
  </si>
  <si>
    <t>AWBR-15113-15-05-26-C01</t>
  </si>
  <si>
    <t>AWBR-13178-15-05-26</t>
  </si>
  <si>
    <t>TMP-13178-15-05-2026</t>
  </si>
  <si>
    <t>Apotek Tegaldanas Jayamukti Cikarang Pusat</t>
  </si>
  <si>
    <t>Kp Tegaldanas RT 001 RW 001 Desa Jayamukti, Kec Cikarang Pusat Kabupaten Bekasi</t>
  </si>
  <si>
    <t>TMP-13178-15/05/2026Tarik Faktur/Total invoices =5</t>
  </si>
  <si>
    <t>AWBR-13178-15-05-26-C01</t>
  </si>
  <si>
    <t>AWBR-10745-15-05-26</t>
  </si>
  <si>
    <t>TMP-10745-15-05-2026</t>
  </si>
  <si>
    <t>Apotek Pebayuran Farma Kertasari Pebayuran</t>
  </si>
  <si>
    <t>Jl. Raya Pebayuran No.99 Kel. Kertasari Kec. Pebayuran Kab. Bekasi 17701</t>
  </si>
  <si>
    <t>TMP-10745-15/05/2026Tarik Faktur/Total invoices =5</t>
  </si>
  <si>
    <t>AWBR-10745-15-05-26-C01</t>
  </si>
  <si>
    <t>AWBR-4471-15-05-26</t>
  </si>
  <si>
    <t>TMP-4471-15-05-2026</t>
  </si>
  <si>
    <t>Apotek Rahayu Medika 4471</t>
  </si>
  <si>
    <t>Grand Residence City Blok RR No.73 Desa/Kelurahan Cijengkol Kecamatan Setu Kabupaten Bekasi 17320</t>
  </si>
  <si>
    <t>TMP-4471-15/05/2026Tarik Faktur/Total invoices =5</t>
  </si>
  <si>
    <t>AWBR-4471-15-05-26-C01</t>
  </si>
  <si>
    <t>AWBR-1515-15-05-26</t>
  </si>
  <si>
    <t>TMP-1515-15-05-2026</t>
  </si>
  <si>
    <t>Apotek Giri Jaya Farma</t>
  </si>
  <si>
    <t>Jalan Setiadarma I RT 01 RW 02 Desa Setiadarma Kecamatan Tambun Selatan Bekasi 17510</t>
  </si>
  <si>
    <t>TMP-1515-15/05/2026Tarik Faktur/Total invoices =5</t>
  </si>
  <si>
    <t>AWBR-1515-15-05-26-C01</t>
  </si>
  <si>
    <t>AWBR-11670-2026-5-19</t>
  </si>
  <si>
    <t>26051404220975SH4HwNiMaw</t>
  </si>
  <si>
    <t>Apotek Qiana Jatipunggur Lengkong</t>
  </si>
  <si>
    <t>Jl. Rimba Mulya RT. 04 RW.01,Desa/Kelurahan Jati Punggur, Kecamatan Lengkong, Kabupaten Nganjuk,Jawa Timur,64393</t>
  </si>
  <si>
    <t>TMP-INV-2026/05/15/ 2749119 / BABY HUKI PURE COTTON BUDS / Tarik Barang Retur</t>
  </si>
  <si>
    <t>AWBR-11670-2026-5-19-01</t>
  </si>
  <si>
    <t>AWBR-16966-2026-5-8-1</t>
  </si>
  <si>
    <t>26050302421026u5AFMCcD2k</t>
  </si>
  <si>
    <t>Apotek Zelmira Farma Babakan Tenjo</t>
  </si>
  <si>
    <t>Ruko Lavender Arcade Blok A No. 11 Kota Podomoro Tenjo Desa Babakan Kecamatan Tenjo Kabupaten Bogor</t>
  </si>
  <si>
    <t>TMP-INV-2026/05/03/ 2703470 - CELECOXIB Nulab KAPSUL 100 MG DUS, 5 STRIP @ 10 KAPSUL - Tarik Barang Retur</t>
  </si>
  <si>
    <t>AWBR-16966-2026-5-8-1-01</t>
  </si>
  <si>
    <t>AWBR-1043-2026-4-22</t>
  </si>
  <si>
    <t>26040108511968kPnAh8mMCb</t>
  </si>
  <si>
    <t>Apotek AgrataVia</t>
  </si>
  <si>
    <t>Kampung Ciakar RT 002 RW 004 Desa Cicalengka Kecamatan Pagedangan Kabupaten Tangerang 15336</t>
  </si>
  <si>
    <t>TMP-INV-2026/04/02/ 2593356 CURCUMA FORCE Soho TABLET DUS, 10 BLISTER @ 12 TABLET SALUT SELAPUT Tarik Barang Retur</t>
  </si>
  <si>
    <t>AWBR-1043-2026-4-22-01</t>
  </si>
  <si>
    <t>AWBR-6382-2026-5-22</t>
  </si>
  <si>
    <t>26032301562440pU0ytPDkHm</t>
  </si>
  <si>
    <t>Apotek Alodia Farma</t>
  </si>
  <si>
    <t>Jalan Pekapuran Raya No. 125 RT. 001 RW. 003 Kel. Sukatani Kec. Tapos Kota Depok 16454</t>
  </si>
  <si>
    <t>TMP-INV-2026/03/23/ 2557146 / DIONICOL Ifars SIRUP KERING DUS, 1 BOTOL @ 60 ML / PROMAG Kalbe TABLET DUS, 3 BLISTER @ 10 TABLET KUNYAH / Tarik Barang Retur</t>
  </si>
  <si>
    <t>AWBR-6382-2026-5-22-01</t>
  </si>
  <si>
    <t>AWBR-734-2026-5-22</t>
  </si>
  <si>
    <t>26042301571508gYBL2wXn44</t>
  </si>
  <si>
    <t>TMP-INV-2026/04/23/ 2670402 / MINYAK GANDAPURA Eagle Indo DUS, BOTOL KACA 30 ML / Tarik Barang Damaged</t>
  </si>
  <si>
    <t>AWBR-734-2026-5-22-01</t>
  </si>
  <si>
    <t>AWBR-1240-2026-5-22</t>
  </si>
  <si>
    <t>26050500324850rZID8zFNH</t>
  </si>
  <si>
    <t>TMP-INV-2026/05/05/ 2711095 / CURCUMA PLUS EMULSION GROW RASA ORANGE Soho EMULSI DUS, BOTOL PLASTIK @ 200 ML / IMBOOST KIDS Soho SIRUP DUS, BOTOL KACA @ 120 ML / Tarik Barang Damaged</t>
  </si>
  <si>
    <t>AWBR-1240-2026-5-22-01</t>
  </si>
  <si>
    <t>AWBR-667-2026-5-23</t>
  </si>
  <si>
    <t>26050200564487THrSVGlOB</t>
  </si>
  <si>
    <t>TMP-INV-2026/05/02/ 2701189SAGESTAM Sanbe SALEP MATA DUS, 1 TUBE @ 3,5 GRAMTarik Barang Retur</t>
  </si>
  <si>
    <t>AWBR-667-2026-5-23-01</t>
  </si>
  <si>
    <t>AWBR-2080-2026-5-23</t>
  </si>
  <si>
    <t>26050603325899cG0PCxzd6</t>
  </si>
  <si>
    <t>Apotek Imani</t>
  </si>
  <si>
    <t>Jalan KH. M. Usman No. 17 RT 004 RW 002 Kelurahan Kukusan Kecamatan Beji Kota Depok 16425</t>
  </si>
  <si>
    <t>TMP-INV-2026/05/06/ 2716401VITAQUIN Surya Dermato KRIM 5 % DUS, TUBE @ 15 GRAMTarik Barang Retur</t>
  </si>
  <si>
    <t>AWBR-2080-2026-5-23-01</t>
  </si>
  <si>
    <t>AWBR-13565-2026-5-23</t>
  </si>
  <si>
    <t>26050302261122j2mX24C2wI</t>
  </si>
  <si>
    <t>Apotek Sabi Pharma Cilangkap Cipayung</t>
  </si>
  <si>
    <t>Jl. Cilangkap Baru Blok R No. 3 RT 001 RW 001 Kel. Cilangkap Kec. Cipayung Kota Jakarta Timur</t>
  </si>
  <si>
    <t>TMP-INV-2026/05/03/ 2703576NEPHRISOL D Sanghiang RASA CAPPUCCINO DUS, 3 SACHET @ 70 GTarik Barang Retur</t>
  </si>
  <si>
    <t>AWBR-13565-2026-5-23-01</t>
  </si>
  <si>
    <t>AWBR-15096-2026-5-23</t>
  </si>
  <si>
    <t>26042701421278qlN4IzcBv</t>
  </si>
  <si>
    <t>TMP-INV-2026/04/27/ 2683019DECOLGEN FX Darya-Varia KAPLET DUS, 10 AMPLOP @ 1 BLISTER @ 10 KAPLETTarik Barang Retur</t>
  </si>
  <si>
    <t>AWBR-15096-2026-5-23-01</t>
  </si>
  <si>
    <t>AWBR-13457-2026-5-23</t>
  </si>
  <si>
    <t>26050310463717tGN3TkOhct</t>
  </si>
  <si>
    <t>Apotek Firas Ciater Serpong</t>
  </si>
  <si>
    <t>Jalan Kelurahan Ciater No. 57 RT 009 RW 007, Desa/Kel. Ciater, Kec. Serpong, Kota Tangerang Selatan</t>
  </si>
  <si>
    <t>TMP-INV-2026/05/04/ 2704365FLIMTY Anugrah Original BLACKCURRANT DUS, 240g / 16 SACHET @ 15 gTarik Barang Retur</t>
  </si>
  <si>
    <t>AWBR-13457-2026-5-23-01</t>
  </si>
  <si>
    <t>AWBR-2288-2026-5-23</t>
  </si>
  <si>
    <t>260504023032326TpqaO3yQ1</t>
  </si>
  <si>
    <t>TMP-INV-2026/05/04/ 2706517 / TMP-INV-2026/05/04/ 2707209VENTOLIN NEBULES Gsk CAIRAN INHALASI 2.5 MG DUS, 4X5 AMPUL PLASTIK (NEBULES) @ 2.5 ML / BODREX MIGRA Tempo Scan KAPLET DUS, 25 BLISTER @ 4 KAPLETTarik Barang Retur</t>
  </si>
  <si>
    <t>AWBR-2288-2026-5-23-01</t>
  </si>
  <si>
    <t>AWBR-13036-2026-5-23</t>
  </si>
  <si>
    <t>26050404451985vPHE1QnHa</t>
  </si>
  <si>
    <t>Apotek Harrison Legenda Wisata Nagrak Gunung Putri</t>
  </si>
  <si>
    <t>Ruko Lumibiz Legenda Wisata Blok. U12 No. 20-21 , Desa/Kel. Nagrak, Kec. Gunung Putri, Kab. Bogor</t>
  </si>
  <si>
    <t>TMP-INV-2026/05/05/ 2711848ALERZIN 10 Sampharindo TABLET 10 MG DUS, 10 AMPLOP @ 1 STRIP @ 10 TABLET SALUT SELAPUT /ZITANID Novell TABLET 2 MG DUS, 3 STRIP @ 10 TABLETTarik Barang Retur</t>
  </si>
  <si>
    <t>AWBR-13036-2026-5-23-01</t>
  </si>
  <si>
    <t>AWBR-11847-2026-5-23</t>
  </si>
  <si>
    <t>26020702284482BypW1lEXVm</t>
  </si>
  <si>
    <t>Apotek K24 Metland Transyogi Limus Nunggal Cileungsi</t>
  </si>
  <si>
    <t>Ruko Perumahan Taman Metropolitan Blok PTM 2 No. 10 Desa Limusnunggal Kec. Cileungsi Kab. Bogor</t>
  </si>
  <si>
    <t>TMP-INV-2026/02/07/ 2407654OXYCAN GREEN Samator Gas KALENG, 500 CCTarik Barang Damaged</t>
  </si>
  <si>
    <t>AWBR-11847-2026-5-23-01</t>
  </si>
  <si>
    <t>AWBR-12655-2026-5-23</t>
  </si>
  <si>
    <t>26050408385277KTmpmVdzQ</t>
  </si>
  <si>
    <t>Apotek Azifa Jayamukti Cikarang Pusat</t>
  </si>
  <si>
    <t>Ruko Grand Pasadena Jl. Tarum Barat 1 No.2-3 Blok Q1 Desa Jaya Mukti Kecamatan Cikarang Pusat Kabupaten Bekasi</t>
  </si>
  <si>
    <t>TMP-INV-2026/05/05/ 2710195HEMOBION Merck KAPSUL DUS, 10 STRIP @ 10 KAPSULTarik Barang Retur</t>
  </si>
  <si>
    <t>AWBR-12655-2026-5-23-01</t>
  </si>
  <si>
    <t>AWBR-16730-2026-5-23</t>
  </si>
  <si>
    <t>26042806020771kPGuAZ701z</t>
  </si>
  <si>
    <t>Apotek Berkah Saadah Wanajaya Cibitung</t>
  </si>
  <si>
    <t>Kp. Selang Jati RT 002 RW 003 Desa Wanajaya Kec Cibitung Kab Bekasi</t>
  </si>
  <si>
    <t>TMP-INV-2026/04/29/ 2688271IMBOOST COUGH KIDS Soho RASA CHERRY DUS, BOTOL KACA @ 60 MLTarik Barang Retur</t>
  </si>
  <si>
    <t>AWBR-16730-2026-5-23-01</t>
  </si>
  <si>
    <t>AWBR-12377-2026-5-23</t>
  </si>
  <si>
    <t>26050402383270RbneRWMAoG</t>
  </si>
  <si>
    <t>TMP-INV-2026/05/04/ 2706090 &amp; TMP-INV-2026/05/06/ 2714705SALONPAS HOT Hisamitsu DUS, 10 KANTONG @ 10 LEMBAR (6.5 CM X 4.2 CM) / AMH JAHE MERAH Aneka Boga BUBUK KARTON, PLASTIK @ 5 SACHETTarik Barang Retur</t>
  </si>
  <si>
    <t>AWBR-12377-2026-5-23-01</t>
  </si>
  <si>
    <t>AWBR-12428-2026-5-23</t>
  </si>
  <si>
    <t>260519082712876jTLscrDE</t>
  </si>
  <si>
    <t>Apotek Agam Farma Pitu Pitu</t>
  </si>
  <si>
    <t>Ds. Ngambong,RT.002 RW 002,Desa/Kelurahan Pitu,Kecamatan Pitu,Kabupaten Ngawi,Jawa Timur,63252</t>
  </si>
  <si>
    <t>TMP-INV-2026/05/20/ 2767077 - ANTIMO ANAK (RASA JERUK) Phapros SIRUP
CALCIUM LACTATE Mersi TABLET
FLAMAR Sanbe EMULGEL
ANDALAN FE Harsen TABLET 0.15/0.03 MG
HERBORIST MINYAK ZAITUN Victoria Care / TARIK BARANG RETUR</t>
  </si>
  <si>
    <t>AWBR-12428-2026-5-23-01</t>
  </si>
  <si>
    <t>AWBR-2080-2026-5-24</t>
  </si>
  <si>
    <t>TMP-INV-2026/05/07/ 2720476SILADEX COUGH and FLU Konimex SIRUP DUS, 1 BOTOL PLASTIK @ 60 MLTarik Barang Retur</t>
  </si>
  <si>
    <t>AWBR-2080-2026-5-24-01</t>
  </si>
  <si>
    <t>AWBR-196-2026-5-24</t>
  </si>
  <si>
    <t>Apotek Sulthan Elidas</t>
  </si>
  <si>
    <t>Jl. Raya Centex No. 29, RT. 011 / RW. 003, Kelurahan Ciracas, Kecamatan Ciracas, Jakarta Timur, DKI Jakarta 13740</t>
  </si>
  <si>
    <t>TMP-INV-2026/05/06/ 2716493BURNAZIN Darya-Varia KRIM DUS, 1 TUBE @ 35 G
METCOVAZIN GREEN Bidara Medika KRIM DUS, TUBE 25 G
METCOVAZIN RED Bidara Medika KRIM DUS, TUBE 25 G
OTSU-NS Otsuka INFUS 0.9% SODIUM CHLORIDE BOTOL PLASTIK 100 ML
PRIMOLUT N Bayer TABLET 5 MG DUS, 2 BLISTER @ 15 TABLET
SULFADIAZINE SILVER Darya-Varia KRIM DUS, TUBE @ 35 GTarik Barang Retur</t>
  </si>
  <si>
    <t>AWBR-196-2026-5-24-01</t>
  </si>
  <si>
    <t>AWBR-11761-2026-5-24</t>
  </si>
  <si>
    <t>Klinik Pratama Kalya Lena Curug Gn Sindur</t>
  </si>
  <si>
    <t>Klinik Pratama Rawat Inap Kalya Lena, Jl. Intan 1, RT. 001 RW. 001, Desa/Kel. Curug, Kec. Gunung Sindur, Kab. Bogor</t>
  </si>
  <si>
    <t>TMP-INV-2026/05/08/ 2724295CITICOLINE SODIUM Hexpharm INJEKSI DUS, 1 BLISTER @ 5 AMPUL @ 4 MLTarik Barang Retur</t>
  </si>
  <si>
    <t>AWBR-11761-2026-5-24-01</t>
  </si>
  <si>
    <t>AWBR-3901-2026-5-25</t>
  </si>
  <si>
    <t>26052200495469Fj6vRwDZd</t>
  </si>
  <si>
    <t>Apotek Syafiya Sengon Jombang</t>
  </si>
  <si>
    <t>Jl. Pattimura No. 57, Desa/Kelurahan Sengon , Kec. Jombang, Kab. Jombang, Jawa Timur, 61418</t>
  </si>
  <si>
    <t>TMP-INV-2026/05/22/ 2774483 / BLACKMORES BIO D3 1000 IU Kalbe KAPSUL / Tarik barang retur</t>
  </si>
  <si>
    <t>AWBR-3901-2026-5-25-01</t>
  </si>
  <si>
    <t>AWBR-5547-2026-5-26</t>
  </si>
  <si>
    <t>25072903080956JVg4q99snO</t>
  </si>
  <si>
    <t>Apotek Asli</t>
  </si>
  <si>
    <t>Jalan Cipto Mangunkusumo No. 11 Temanggung 1 Kabupaten Temanggung, Jawa Tengah 56212</t>
  </si>
  <si>
    <t>TMP-INV-2025/07/29/ 1781386 / ANDALAN NUTRIFEMME FOLAMOM Hermed KAPLET / Tarik Barang Retur</t>
  </si>
  <si>
    <t>AWBR-5547-2026-5-26-01</t>
  </si>
  <si>
    <t>AWBR-12377-2026-5-26</t>
  </si>
  <si>
    <t>26051103405125kjdtr2v65x</t>
  </si>
  <si>
    <t>TMP-INV-2026/05/11/ 2733082 / TMP-INV-2026/05/11/ 2732929SUPERHOID Triman SUPPOSITORIA DUS, 1 BLISTER @ 6 SUPPOSITORIA / VITAMIN B12 Holi TABLET DUS, 10 BLISTER @ 10 TABLETTarik Barang Retur</t>
  </si>
  <si>
    <t>AWBR-12377-2026-5-26-01</t>
  </si>
  <si>
    <t>AWBR-11287-2026-5-26</t>
  </si>
  <si>
    <t>26042902473946TTTafzHiU7</t>
  </si>
  <si>
    <t>Apotek Cibarusah Farma Sukasari Serang Baru</t>
  </si>
  <si>
    <t>Kp. Pasirandu RT/RW 06/03, Desa/Kelurahan Sukasari, Kec. Serang Baru, Kab. Bekasi, 17330</t>
  </si>
  <si>
    <t>TMP-INV-2026/04/29/ 2689765MOISDERM 20% Interbat KRIM DUS, TUBE @ 20 GRAMTarik Barang Retur</t>
  </si>
  <si>
    <t>AWBR-11287-2026-5-26-01</t>
  </si>
  <si>
    <t>AWBR-10645-2026-5-26</t>
  </si>
  <si>
    <t>25072908423414K5fHejQYAG</t>
  </si>
  <si>
    <t>Apotek Habiby Muktiwari Cibitung</t>
  </si>
  <si>
    <t>Perumahan Permata Muktiwari Residence Blok A1 No. 05 Desa/Kelurahan Muktiwari, Kecamatan Cibitung, Kabupaten Bekasi, Jawa Barat 17519</t>
  </si>
  <si>
    <t>TMP-INV-2025/07/30/ 1784741FOROTIC Hexpharm TETES TELINGA 3 MG DUS, 1 BOTOL PLASTIK @ 5 MLTarik Barang Retur</t>
  </si>
  <si>
    <t>AWBR-10645-2026-5-26-01</t>
  </si>
  <si>
    <t>AWBR-1249-2026-5-26</t>
  </si>
  <si>
    <t>26051109185867lMoCGmPTb</t>
  </si>
  <si>
    <t>TMP-INV-2026/05/12/ 2736291THROMECON Etercon GEL 200 IU/g DUS @ TUBE 20 gTarik Barang Retur</t>
  </si>
  <si>
    <t>AWBR-1249-2026-5-26-01</t>
  </si>
  <si>
    <t>AWBR-1090-2026-5-26</t>
  </si>
  <si>
    <t>26030606335954uBALwLjNxA</t>
  </si>
  <si>
    <t>Apotek K24 Grand Permata City</t>
  </si>
  <si>
    <t>Ruko Grand Permata City Kav B1 No.10 Jalan Pilar Sukatani Kelurahan Karang Setia Kecamatan Karang Bahagia Cikarang Bekasi 17530</t>
  </si>
  <si>
    <t>TMP-INV-2026/03/06/ 2503942INLACTA GOLD DHA Interbat KAPSUL DUS, BOTOL PLASTIK @ 50 KAPSULTarik Barang Retur</t>
  </si>
  <si>
    <t>AWBR-1090-2026-5-26-01</t>
  </si>
  <si>
    <t>AWBR-12839-2026-5-26</t>
  </si>
  <si>
    <t>26050214021595f80sXSqcnx</t>
  </si>
  <si>
    <t>Apotek Ninda Farma Sirnajaya Serang Baru</t>
  </si>
  <si>
    <t>Kp Cilangkara RT/RW 007/004 Desa Sirnajaya Kec. Serang Baru Kabupaten Bekasi</t>
  </si>
  <si>
    <t>TMP-INV-2026/05/03/ 2702668ACICLOVIR Phapros TABLET 200 MG DUS, 5 STRIP @ 10 TABLETTarik Barang Retur</t>
  </si>
  <si>
    <t>AWBR-12839-2026-5-26-01</t>
  </si>
  <si>
    <t>AWBR-2043-2026-5-26</t>
  </si>
  <si>
    <t>25040510300001GNyirqUm</t>
  </si>
  <si>
    <t>Apotek Adzra</t>
  </si>
  <si>
    <t>Jalan Boulevard Raya Ruko Milan Avenue Blok CE No. 25 RT 004 RW 008 Kelurahan Sawangan Kecamatan Sawangan Depok 16511</t>
  </si>
  <si>
    <t>TMP-INV-2025/04/06/ 1476842 / TMP-INV-2025/09/10/ 1914104 LIPROLAC BABY Kalbe DROPS DUS, BOTOL KACA 8 ML / BLACKMORES PREGNANCY &amp; BREAST-FEEDING GOLD Kalbe KAPSUL BOTOL KACA @ 20 KAPSUL LUNAKTarik Barang Retur</t>
  </si>
  <si>
    <t>AWBR-2043-2026-5-26-01</t>
  </si>
  <si>
    <t>AWBR-16836-2026-5-26</t>
  </si>
  <si>
    <t>26051502300020aTqkGQS8AW</t>
  </si>
  <si>
    <t>TMP-INV-2026/05/15/ 2749210 / TMP-INV-2026/05/15/ 2749508 / MINYAK ANGIN CAP KAPAK Yahi Utama DUS, 12 BOTOL KACA @ 28 ML &amp; 5 MLTarik Barang Retur</t>
  </si>
  <si>
    <t>AWBR-16836-2026-5-26-01</t>
  </si>
  <si>
    <t>AWBR-11770-2026-5-26</t>
  </si>
  <si>
    <t>26051912345537knnZqNhld</t>
  </si>
  <si>
    <t>Apotek Ayesa Farma Sukmajaya Sukmajaya</t>
  </si>
  <si>
    <t>Jl. Kemang Raya No 5 Kel. Sukmajaya Kec. Sukmajaya Kota Depok</t>
  </si>
  <si>
    <t>TMP-INV-2026/05/20/ 2766924VENTOLIN NEBULES Gsk CAIRAN INHALASI 2.5 MG DUS, 4X5 AMPUL PLASTIK (NEBULES) @ 2.5 MLTarik Barang Retur</t>
  </si>
  <si>
    <t>AWBR-11770-2026-5-26-01</t>
  </si>
  <si>
    <t>AWBR-667-2026-5-26</t>
  </si>
  <si>
    <t>26052100114509I6yX698x8v</t>
  </si>
  <si>
    <t>TMP-INV-2026/05/21/ 2770768HOLISTICARE SUPER ESTER C Indocare TABLET DUS, BOTOL PLASTIK @ 90 TABLETTarik Barang Retur</t>
  </si>
  <si>
    <t>AWBR-667-2026-5-26-01</t>
  </si>
  <si>
    <t>AWBR-724-2026-5-26</t>
  </si>
  <si>
    <t>26051102481372bLFUaYo3p</t>
  </si>
  <si>
    <t>TMP-INV-2026/05/11/ 2734033DERMOVATE Gsk KRIM 0.05 % DUS, TUBE @ 10 GTarik Barang Retur</t>
  </si>
  <si>
    <t>AWBR-724-2026-5-26-01</t>
  </si>
  <si>
    <t>AWBR-15419-2026-5-26</t>
  </si>
  <si>
    <t>26050208022602iYJJ8R0Hy</t>
  </si>
  <si>
    <t>Apotek Farhana 2 Kelapa Dua Wetan Ciracas</t>
  </si>
  <si>
    <t>Jl. Kelapa Dua Wetan Raya No.22 RT01 RW07 Kel. Kepala Dua Wetan Kec. Ciracas Kota Jakarta Timur</t>
  </si>
  <si>
    <t>TMP-INV-2026/05/03/ 2703572HOTIN KOYO AROMATHERAPY Ultrasakti DUS, 12 SACHET @ 10 LEMBATarik Barang Retur</t>
  </si>
  <si>
    <t>AWBR-15419-2026-5-26-01</t>
  </si>
  <si>
    <t>AWBR-16587-2026-5-26</t>
  </si>
  <si>
    <t>260514023241033huVfzaOU</t>
  </si>
  <si>
    <t>TMP-INV-2026/05/14/ 2746025 / TMP-INV-2026/05/20/ 2767087 / MELOXICAM Novell TABLET 7.5 MG DUS, 5 STRIP @ 10 TABLET &amp; BLACKMORES BIO D3 1000 IU Kalbe KAPSUL BOTOL KACA @ 30 KAPSUL LUNAK &amp; BLACKMORES PREGNANCY &amp; BREAST-FEEDING GOLD Kalbe KAPSUL BOTOL KACA @ 20 KAPSUL LUNAKTarik Barang Retur</t>
  </si>
  <si>
    <t>AWBR-16587-2026-5-26-01</t>
  </si>
  <si>
    <t>AWBR-10722-2026-5-26</t>
  </si>
  <si>
    <t>26052003530699mkptDHrrW8</t>
  </si>
  <si>
    <t>TMP-INV-2026/05/20/ 2766977YUSIMOX FORTE Ifars SIRUP KERING DUS, 1 BOTOL @ 60 MLTarik Barang Retur</t>
  </si>
  <si>
    <t>AWBR-10722-2026-5-26-01</t>
  </si>
  <si>
    <t>AWBR-2080-2026-5-26</t>
  </si>
  <si>
    <t>26051309220780wnRM5nXtH</t>
  </si>
  <si>
    <t>TMP-INV-2026/05/14/ 2745966LAPIFED DM Lapi SIRUP DUS, 1 BOTOL @ 100 ML &amp; LAPIFED EXPECTORANT Lapi SIRUP DUS, BOTOL @ 60 MLTarik Barang Retur</t>
  </si>
  <si>
    <t>AWBR-2080-2026-5-26-01</t>
  </si>
  <si>
    <t>AWBR-2590-2026-5-26</t>
  </si>
  <si>
    <t>26051212365247L31mH6rS7Z</t>
  </si>
  <si>
    <t>Apotek Jaya Farma 2590</t>
  </si>
  <si>
    <t>Perumahan Cluster Puri Pesona Jalan Cipayung No. 1 RT 004 RW 009 Kelurahan Bojong Pondok Terong Kecamatan Cipayung Kota Depok 16436</t>
  </si>
  <si>
    <t>TMP-INV-2026/05/13/ 2742846ASEPSO FRESH SOAP Pan Pacific PADAT DUS, 80 gTarik Barang Retur</t>
  </si>
  <si>
    <t>AWBR-2590-2026-5-26-01</t>
  </si>
  <si>
    <t>AWBR-16017-2026-5-26</t>
  </si>
  <si>
    <t>26051203220476jJ62QDNh3</t>
  </si>
  <si>
    <t>Apotek Kiray Farma Cimpaeun Tapos</t>
  </si>
  <si>
    <t>Jalan Raya Tapos RT 003 RW 02, Desa/Kelurahan Cimpaeun, Kec.Tapos, Kota Depok</t>
  </si>
  <si>
    <t>TMP-INV-2026/05/12/ 2738959NEUROBION 5000 Darya-Varia CAIRAN INJEKSI DUS, 20 PASANG AMPUL @ 1 MLTarik Barang Retur</t>
  </si>
  <si>
    <t>AWBR-16017-2026-5-26-01</t>
  </si>
  <si>
    <t>AWBR-12667-2026-5-26</t>
  </si>
  <si>
    <t>26050817322958GpMahDFbG3</t>
  </si>
  <si>
    <t>Apotek Kopkar One Gedong Pasar Rebo</t>
  </si>
  <si>
    <t>Jalan Dana Karya No. 04 Rt. 003 Rw 008, Desa/Kel. Gedong, Kec. Pasar Rebo, Kota Adm. Jakarta Timur</t>
  </si>
  <si>
    <t>TMP-INV-2026/05/09/ 2728206MEDIFLEX PLUS Kalbe KRIM DUS, TUBE @ 75 GRAMTarik Barang Retur</t>
  </si>
  <si>
    <t>AWBR-12667-2026-5-26-01</t>
  </si>
  <si>
    <t>AWBR-1725-2026-5-26</t>
  </si>
  <si>
    <t>24120705353807JffVbbBDRU</t>
  </si>
  <si>
    <t>Apotek Makmur Sehat</t>
  </si>
  <si>
    <t>Jalan Raya Pondok Petir No. 38 RT. 004/005 Kelurahan Pondok Petir Kecamatan Bojongsari Kota Depok 16516</t>
  </si>
  <si>
    <t>TMP-INV-2024/12/07/ 1190248NASONEX Organon SEMPROT HIDUNG 50 MCG/DOSIS DUS, 1 BOTOL PLASTIK @ 60 DOSISTarik Barang Retur</t>
  </si>
  <si>
    <t>AWBR-1725-2026-5-26-01</t>
  </si>
  <si>
    <t>AWBR-11328-2026-5-26</t>
  </si>
  <si>
    <t>26042911000620erm6dT7F</t>
  </si>
  <si>
    <t>Apotek Marlasria 2 Jatirangga Jatisampurna</t>
  </si>
  <si>
    <t>Jl. Kranggan Permai Raya S6 No.13, RT.011/RW.015, Desa/Kel. Jatirangga, Kec. Jatisampurna, Kota Bekasi, 17433</t>
  </si>
  <si>
    <t>TMP-INV-2026/04/30/ 2695185 / TMP-INV-2026/05/15/ 2749110RHINOFED Dexa Medica SIRUP DUS, 1 BOTOL @ 60 ML / TRINORDIOL-28 Sunthi TABLET DUS, 2 BLISTER @ 28 TABLET SALUT GULATarik Barang Retur</t>
  </si>
  <si>
    <t>AWBR-11328-2026-5-26-01</t>
  </si>
  <si>
    <t>AWBR-10650-2026-5-26</t>
  </si>
  <si>
    <t>260506035933908uorbwWGLR</t>
  </si>
  <si>
    <t>TMP-INV-2026/05/06/ 2716260 &amp; TMP-INV-2026/05/15/ 2749418 &amp; TMP-INV-2026/05/16/ 2751779 &amp; TMP-INV-2026/05/18/ 2758749 &amp; TMP-INV-2026/05/19/ 2763115RITEZ Dexa Medica DROPS (ED DEKAT - EXTRA DISC) DUS, 1 BOTOL @ 10 ML + DROPPER
SIMVASTATIN Hexpharm TABLET 20 MG Dus, 10 BLISTER @ 10 TABLET SALUT SELAPUT
HANSAPLAST SALEP LUKA Beiersdorf TUBE @ 50 G
TRINORDIOL-28 Sunthi TABLET DUS, 2 BLISTER @ 28 TABLET SALUT GULA
Semua Barang di Faktur TMP-INV-2026/05/19/ 2763115
ACTOS 30 Takeda TABLET DUS, 2 BLISTER @ 7 TABLET
Tarik Barang Retur</t>
  </si>
  <si>
    <t>AWBR-10650-2026-5-26-01</t>
  </si>
  <si>
    <t>AWBR-334-2026-5-26</t>
  </si>
  <si>
    <t>26051306162691rOdEX4IEf</t>
  </si>
  <si>
    <t>TMP-INV-2026/05/14/ 2745960 / TMP-INV-2026/05/15/ 2749347 / TMP-INV-2026/05/16/ 2753116 ACTOS 30 Takeda TABLET DUS, 2 BLISTER @ 7 TABLET
CALADINE BABY Galenium LIQUID POWDER TUBE 100 GR
CALADINE BABY Galenium RASH CREAM TUBE 50 g
Tarik Barang Retur</t>
  </si>
  <si>
    <t>AWBR-334-2026-5-26-01</t>
  </si>
  <si>
    <t>AWBR-740-2026-5-26</t>
  </si>
  <si>
    <t>26050311432345Zip745GF</t>
  </si>
  <si>
    <t>Apotek Rasyifa</t>
  </si>
  <si>
    <t>Jl. Terusan H Nawi Malik No.25 RT.002 RW. 004, Desa/Kelurahan Pondok Petir, Kecamatan Bojongsari, Kota Depok,Jawa Barat,16517</t>
  </si>
  <si>
    <t>TMP-INV-2026/05/04/ 2707351MALTOFER Combiphar DROPS DUS, 1 BOTOL @ 30 MLTarik Barang Retur</t>
  </si>
  <si>
    <t>AWBR-740-2026-5-26-01</t>
  </si>
  <si>
    <t>AWBR-13565-2026-5-26</t>
  </si>
  <si>
    <t>26051101245018VKlrK6RZZA</t>
  </si>
  <si>
    <t>TMP-INV-2026/05/11/ 2733927OXOFERIN Pharos CAIRAN OBAT LUAR DUS, 1 BOTOL PLASTIK @ 30 MLTarik Barang Retur</t>
  </si>
  <si>
    <t>AWBR-13565-2026-5-26-01</t>
  </si>
  <si>
    <t>AWBR-13267-2026-5-26</t>
  </si>
  <si>
    <t>24122308145782vHkJ3GV5a</t>
  </si>
  <si>
    <t>Apotek Sehat Milenial Sukamaju Baru Tapos</t>
  </si>
  <si>
    <t>Ruko De���Khirani Village 2 T5, Kp. Sindangkarsa RT. 004 RW.006,Desa/Kelurahan Sukamaju Baru,Kecamatan Tapos,Kota Depok,Jawa Barat,</t>
  </si>
  <si>
    <t>TMP-INV-2024/12/24/ 1226730SUTRA LUBRICANT DKT TUBE, 120 MLTarik Barang Retur</t>
  </si>
  <si>
    <t>AWBR-13267-2026-5-26-01</t>
  </si>
  <si>
    <t>AWBR-12751-2026-5-26</t>
  </si>
  <si>
    <t>26051202082867WG0TVM8Yix</t>
  </si>
  <si>
    <t>Apotek Shila Bojongsari Lama Bojongsari</t>
  </si>
  <si>
    <t>Sinsa District Blok D6 No. 5, Desa/Kel. Bojongsari, Kec. Bojongsari, Kota Depok</t>
  </si>
  <si>
    <t>TMP-INV-2026/05/12/ 2738565MEDIXON Dexa Medica TABLET 4 MG DUS, 10 BLISTER @ 10 TABLETTarik Barang Retur</t>
  </si>
  <si>
    <t>AWBR-12751-2026-5-26-01</t>
  </si>
  <si>
    <t>AWBR-13413-2026-5-26</t>
  </si>
  <si>
    <t>24122804284949gEohSApr</t>
  </si>
  <si>
    <t>TMP-INV-2024/12/29/ 1239591 / TMP-INV-2026/05/20/ 2766658NELLCO SPESIAL OBH PE UNTUK ANAK-ANAK Nellco SIRUP RASA STRAWBERRY DUS, 1 BOTOL GELAS @ 55 ML / BISOLVON Aventis SOLUTION DUS, 1 BOTOL @ 50 MLTarik Barang Retur</t>
  </si>
  <si>
    <t>AWBR-13413-2026-5-26-01</t>
  </si>
  <si>
    <t>AWBR-2931-2026-5-26</t>
  </si>
  <si>
    <t>26051103332052ylGh7CxFRD</t>
  </si>
  <si>
    <t>Apotek Bilabong Farma</t>
  </si>
  <si>
    <t>Jalan Raya Tonjong Ruko Bilabong Permai B1 No. 65/66 Desa Cimanggis Kecamatan Bojonggede Kabupaten Bogor 16920</t>
  </si>
  <si>
    <t>TMP-INV-2026/05/11/ 2733634ALOCLAIR PLUS MOUTHWASH Enseval OBAT KUMUR BOTOL 60 MLTarik Barang Retur</t>
  </si>
  <si>
    <t>AWBR-2931-2026-5-26-01</t>
  </si>
  <si>
    <t>AWBR-1130-2026-5-26</t>
  </si>
  <si>
    <t>260516070021388nkP8eXLn</t>
  </si>
  <si>
    <t>Apotek Bukit Asri</t>
  </si>
  <si>
    <t>Ruko Perumahan Bukit Asri Baru Blok A No.6 Kelurahan Pabuaran Kecamatan Cibinong Bogor 16916</t>
  </si>
  <si>
    <t>TMP-INV-2026/05/16/ 2753345 / TMP-INV-2026/05/18/ 2759499CALADINE Galenium CAIRAN OBAT LUAR BOTOL PLASTIK @ 60 ML
CALCIUM LACTATE Mersi TABLET DUS, 10 BLISTER @ 10 TABLET
CAVIPLEX CDEZ Erela KAPLET DUS, 10 STRIP @ 10 KAPLET SALUT SELAPUT
DEGIROL Darya-Varia TABLET HISAP 0.25 MG DUS, 10 AMPLOP @ 1 STRIP @ 10 TABLET HISAP
ENKASARI HERBAL Kimia Farma CAIRAN KUMUR DUS, BOTOL @ 120 ML
ERLAMYCETIN PLUS Erela TETES MATA DUS, 1 BOTOL PLASTIK @ 5 ML
KETOCONAZOLE Dexa Medica TABLET 200 MG DUS, 5 STRIP @ 10 TABLET BETADINE ANTISEPTIC SOLUTION Mbf CAIRAN OBAT LUAR 10 % DUS, 6 BOTOL PLASTIK 5 ML
Tarik Barang Retur</t>
  </si>
  <si>
    <t>AWBR-1130-2026-5-26-01</t>
  </si>
  <si>
    <t>AWBR-13710-2026-5-26</t>
  </si>
  <si>
    <t>26051602333987KOVBGjIYa8</t>
  </si>
  <si>
    <t>Apotek Daata Farma Pakansari Cibinong</t>
  </si>
  <si>
    <t>Jl. Raya Jakarta-Bogor KM. 44 Kp. Curug RT 003 RW 012,Desa/Kelurahan Pakansari,Kecamatan Cibinong,Kabupaten Bogor,Jawa Barat,16915</t>
  </si>
  <si>
    <t>TMP-INV-2026/05/16/ 2752290IMBOOST FORCE ES Soho KAPLET DUS, 3 STRIP @ 10 KAPLET SALUT SELAPUTTarik Barang Retur</t>
  </si>
  <si>
    <t>AWBR-13710-2026-5-26-01</t>
  </si>
  <si>
    <t>AWBR-1133-2026-5-26</t>
  </si>
  <si>
    <t>240327074656411m9kfhsEb</t>
  </si>
  <si>
    <t>Apotek Detta Farma</t>
  </si>
  <si>
    <t>: Ruko ATC Blok A No.9 Desa Parung Kecamatan Parung Kabupaten Bogor 16330</t>
  </si>
  <si>
    <t>TMP-INV-2024/03/28/ 700689TRIAMINIC EKSPEKTORAN dan PILEK (RASA LEMON) Sterling SIRUP DUS, BOTOL PLASTIK @ 60 MLTarik Barang Retur</t>
  </si>
  <si>
    <t>AWBR-1133-2026-5-26-01</t>
  </si>
  <si>
    <t>AWBR-1148-2026-5-26</t>
  </si>
  <si>
    <t>250603033109475Nu9NEgv</t>
  </si>
  <si>
    <t>Apotek Harrison Jonggol</t>
  </si>
  <si>
    <t>Jalan Raya Letkol Murlin Kp Menan RT 001 RW 004 Desa Sukamaju Kecamatan Jonggol Kab Bogor 16830</t>
  </si>
  <si>
    <t>TMP-INV-2025/06/03/ 1628576NOROID Soho SOOTHING KRIM TUBE 80 MLTarik Barang Retur</t>
  </si>
  <si>
    <t>AWBR-1148-2026-5-26-01</t>
  </si>
  <si>
    <t>AWBR-1091-2026-5-26</t>
  </si>
  <si>
    <t>260508020035337Ht1yrTwZ</t>
  </si>
  <si>
    <t>TMP-INV-2026/05/08/ 2723849BIOCORE Interbat KAPSUL DUS, 3 BLISTER @ 10 KAPSULTarik Barang Retur</t>
  </si>
  <si>
    <t>AWBR-1091-2026-5-26-01</t>
  </si>
  <si>
    <t>AWBR-13494-2026-5-26</t>
  </si>
  <si>
    <t>26051204083697GPIBqyms</t>
  </si>
  <si>
    <t>Apotek Jes Farma Bojong Klapa Nunggal</t>
  </si>
  <si>
    <t>Perumahan Pesona Kahuripan Blok Toko B No. 6 Desa Bojong Kec. Klapa Nunggal Kab. Bogor</t>
  </si>
  <si>
    <t>TMP-INV-2026/05/13/ 2742297FENRIS Interbat SUSPENSI DUS, BOTOL 60 MLTarik Barang Retur</t>
  </si>
  <si>
    <t>AWBR-13494-2026-5-26-01</t>
  </si>
  <si>
    <t>AWBR-10700-2026-5-26</t>
  </si>
  <si>
    <t>26051803144680WiRuEZRxq4</t>
  </si>
  <si>
    <t>TMP-INV-2026/05/18/ 2758207DOPAMET Actavis TABLET 250 MG DUS, 10 STRIP @ 10 TABLET SALUT SELAPUT / TRINORDIOL-28 Sunthi TABLET DUS, 2 BLISTER @ 28 TABLET SALUT GULATarik Barang Retur</t>
  </si>
  <si>
    <t>AWBR-10700-2026-5-26-01</t>
  </si>
  <si>
    <t>AWBR-11847-2026-5-26</t>
  </si>
  <si>
    <t>260512014927717482j3Zb5</t>
  </si>
  <si>
    <t>TMP-INV-2026/05/12/ 2738452 &amp; TMP-INV-2026/05/12/ 2738273FENRIS Interbat SUSPENSI DUS, BOTOL 60 ML / TEMPRA (RASA ANGGUR) Taisho SIRUP 2-6 Tahun DUS, 1 BOTOL PLASTIK @ 60 MLTarik Barang Retur</t>
  </si>
  <si>
    <t>AWBR-11847-2026-5-26-01</t>
  </si>
  <si>
    <t>AWBR-12786-2026-5-26</t>
  </si>
  <si>
    <t>26051210483616VsCVu8zUT5</t>
  </si>
  <si>
    <t>Apotek Mulia Situsari Setu Sari Cileungsi</t>
  </si>
  <si>
    <t>Ruko Pesona Situsari Blok A1 RT 003 RW 007 Desa Situsari Kecamatan Cileungsi Kabupaten Bogor</t>
  </si>
  <si>
    <t>TMP-INV-2026/05/13/ 2742035CATAFLAM D Novartis TABLET DISPERSIBLE DUS, 5 BLISTER @ 10 TABLET DISPERSIBLETarik Barang Retur</t>
  </si>
  <si>
    <t>AWBR-12786-2026-5-26-01</t>
  </si>
  <si>
    <t>AWBR-3042-2026-5-26</t>
  </si>
  <si>
    <t>26051514172269lPZDyjPbBw</t>
  </si>
  <si>
    <t>Apotek Najah</t>
  </si>
  <si>
    <t>Jl. Ruko Little China JD 20, Legenda Wisata Desa/Kelurahan Nagrak, Kecamatan Gunung Putri, Kabupaten Bogor, Jawa Barat, 16967</t>
  </si>
  <si>
    <t>TMP-INV-2026/05/16/ 2752733ANTANGIN MINT Deltomed SIRUP DUS, 12 SACHET @ 15 MLTarik Barang Retur</t>
  </si>
  <si>
    <t>AWBR-3042-2026-5-26-01</t>
  </si>
  <si>
    <t>AWBR-15295-2026-5-26</t>
  </si>
  <si>
    <t>25080712051262AQoFTgm78</t>
  </si>
  <si>
    <t>Apotek Alvadent Cihuni Pagedangan</t>
  </si>
  <si>
    <t>Ruko Maggiore Grande Blok H No. 62 Desa/Kel. Cihuni Kec. Pagedangan Kabupaten Tangerang</t>
  </si>
  <si>
    <t>TMP-INV-2025/08/08/ 1811820STIMUNO RASA ANGGUR Dexa Medica SIRUP DUS, BOTOL @ 60 MLTarik Barang Retur</t>
  </si>
  <si>
    <t>AWBR-15295-2026-5-26-01</t>
  </si>
  <si>
    <t>AWBR-1233-2026-5-26</t>
  </si>
  <si>
    <t>26051908283424Yomwae6Eo</t>
  </si>
  <si>
    <t>Apotek Awal Sehat</t>
  </si>
  <si>
    <t>Jalan Swadaya Raya,Gang Anggrek I No.1 Kelurahan Larangan Indah Kecamatan Larang Kota Tangerang 15154</t>
  </si>
  <si>
    <t>TMP-INV-2026/05/20/ 2766055BENOSON Bernofarm KRIM DUS, 1 TUBE @ 15 GTarik Barang Retur</t>
  </si>
  <si>
    <t>AWBR-1233-2026-5-26-01</t>
  </si>
  <si>
    <t>AWBR-11641-2026-5-26</t>
  </si>
  <si>
    <t>25050301353430mO5GSDxAIT</t>
  </si>
  <si>
    <t>Apotek Delta Waras Sawah Baru Ciputat</t>
  </si>
  <si>
    <t>Jalan Raya Tegal Rotan No.81,Desa/Kel. Sawah Baru, Kec. Ciputat, Kota Tangerang Selatan</t>
  </si>
  <si>
    <t>TMP-INV-2025/05/03/ 1547004FINPRO Interbat TABLET 5 MG DUS, 3 STRIP @ 10 TABLETTarik Barang Retur</t>
  </si>
  <si>
    <t>AWBR-11641-2026-5-26-01</t>
  </si>
  <si>
    <t>AWBR-11830-2026-5-26</t>
  </si>
  <si>
    <t>25031113141629xpU8sFMQR9</t>
  </si>
  <si>
    <t>Apotek Kita Jurang Mangu Barat Pondok Aren</t>
  </si>
  <si>
    <t>Jl. PD Jati Raya RT 05/04 No 46B. Kel. Jurangmangu Barat, Kec. Pondok Aren. Kota Tangerang Selatan</t>
  </si>
  <si>
    <t>TMP-INV-2025/03/12/ 1418447CURVIT Soho SIRUP DUS, BOTOL KACA @ 60 MLTarik Barang Retur</t>
  </si>
  <si>
    <t>AWBR-11830-2026-5-26-01</t>
  </si>
  <si>
    <t>AWBR-6413-2026-5-27</t>
  </si>
  <si>
    <t>26050111550686UvX1W1uoh</t>
  </si>
  <si>
    <t>Apotek Kinanti</t>
  </si>
  <si>
    <t>Jl. Pasar Impres No.90 RT - RW - Kel/Desa Pamanukan Kec. Pamanukan Kabupaten Subang 41264</t>
  </si>
  <si>
    <t>TMP-INV-2026/05/02/ 2701630NECIBLOK Dankos SUSPENSI DUS, BOTOL 100 MLTarik Barang Retur</t>
  </si>
  <si>
    <t>AWBR-6413-2026-5-27-01</t>
  </si>
  <si>
    <t>AWBR-2144-2026-5-27</t>
  </si>
  <si>
    <t>25062509511145XA8upU48</t>
  </si>
  <si>
    <t>TMP-INV-2025/06/26/ 1688079 / TMP-INV-2025/08/28/ 1872810FIESTA INTIM COOL Dkt GEL DUS, TUBE 70 ML / VICKS BABYBALM DUS, POT 20 GTarik Barang Retur</t>
  </si>
  <si>
    <t>AWBR-2144-2026-5-27-01</t>
  </si>
  <si>
    <t>AWBR-1211-2026-5-27</t>
  </si>
  <si>
    <t>260504021906532i0GSDYsf</t>
  </si>
  <si>
    <t>Apotek Prisma Farma</t>
  </si>
  <si>
    <t>Jalan Raya Binong No. 55 Curug Kampung Galuga Kelurahan Binong Kecamatan Curug Kabupaten Tangerang 15810</t>
  </si>
  <si>
    <t>TMP-INV-2026/05/04/ 2706279RHINOFED Dexa Medica SIRUP DUS, 1 BOTOL @ 60 MLTarik Barang Retur</t>
  </si>
  <si>
    <t>AWBR-1211-2026-5-27-01</t>
  </si>
  <si>
    <t>AWBR-9086-2026-5-27</t>
  </si>
  <si>
    <t>26052104073407JJs3Nda7I</t>
  </si>
  <si>
    <t>Apotek Auliya Farma Banjar Sari Ciawi</t>
  </si>
  <si>
    <t>Jl. Veteran III RT. 13 RW. 03 Desa Banjar Sari Kec. Ciawi Kab. Bogor 16720</t>
  </si>
  <si>
    <t>TMP-INV-2026/05/22/ 2773481TRINORDIOL-28 Sunthi TABLET DUS, 2 BLISTER @ 28 TABLET SALUT GULATarik Barang Retur</t>
  </si>
  <si>
    <t>AWBR-9086-2026-5-27-01</t>
  </si>
  <si>
    <t>AWBR-12741-2026-5-27</t>
  </si>
  <si>
    <t>25112601392766r7wFUPmB7</t>
  </si>
  <si>
    <t>Apotek Dahlia Bojong Kulur Gn Putri</t>
  </si>
  <si>
    <t>Villa Nusa Indah blok U3 no 9, Desa/Kel. Bojong Kulur, Kec. Gunung Putri, Kab. Bogor</t>
  </si>
  <si>
    <t>TMP-INV-2025/11/26/ 2164639REDOXON FORTIMUN Bayer TABLET EFFERVESCENT DUS, TUBE @ 10 TABLET EFFERVESCENTTarik Barang Retur</t>
  </si>
  <si>
    <t>AWBR-12741-2026-5-27-01</t>
  </si>
  <si>
    <t>AWBR-13494-2026-5-27</t>
  </si>
  <si>
    <t>AWBR-13494-2026-5-27-01</t>
  </si>
  <si>
    <t>AWBR-1167-2026-5-27</t>
  </si>
  <si>
    <t>26052003491036UqJVay22QX</t>
  </si>
  <si>
    <t>Apotek Jovita</t>
  </si>
  <si>
    <t>Jalan Raya Pabuaran No.26 RT 007 RW 013 Kelurahan Pabuaran Kecamatan Bojonggede Kabupaten Bogor 16921</t>
  </si>
  <si>
    <t>TMP-INV-2026/05/20/ 2766640TRINORDIOL-28 Sunthi TABLET DUS, 2 BLISTER @ 28 TABLET SALUT GULATarik Barang Retur</t>
  </si>
  <si>
    <t>AWBR-1167-2026-5-27-01</t>
  </si>
  <si>
    <t>AWBR-15241-2026-5-27</t>
  </si>
  <si>
    <t>25032409113204mmLQdeYlxq</t>
  </si>
  <si>
    <t>Apotek Sehat Berkat Singajaya Jonggol</t>
  </si>
  <si>
    <t>Ruko Citra Indah Festival, Blok CIF 08/10, Desa Singajaya Kecamatan Jonggol Kabupaten Bogor</t>
  </si>
  <si>
    <t>TMP-INV-2025/03/25/ 1452172 / TMP-INV-2025/04/15/ 1500712CAVIT-D3 Merck TABLET DUS, 10 STRIP @ 10 TABLET / CURVIT Soho SIRUP DUS, BOTOL KACA @ 120 ML &amp; 60 MLTarik Barang Retur</t>
  </si>
  <si>
    <t>AWBR-15241-2026-5-27-01</t>
  </si>
  <si>
    <t>AWBR-11255-2026-5-27</t>
  </si>
  <si>
    <t>24120605574770c3RQfekgcW</t>
  </si>
  <si>
    <t>Apotek Diamond Wanasari Cibitung</t>
  </si>
  <si>
    <t>Jl Raya Telaga Asih Kp. Selang Tengah RT 04 RW 02 Kel. Wanasari Kec. Cibitung Kab. Bekasi 17520</t>
  </si>
  <si>
    <t>TMP-INV-2024/12/06/ 1188033IMBOOST EFFERVESCENT WITH VITAMIN C RASA ANGGUR Soho TABLET DUS, 1 TUBE PLASTIK @ 8 TABLET EFFERVESCENTTarik Barang Retur</t>
  </si>
  <si>
    <t>AWBR-11255-2026-5-27-01</t>
  </si>
  <si>
    <t>AWBR-11206-2026-5-27</t>
  </si>
  <si>
    <t>25041102381743RMN9Zcl4sd</t>
  </si>
  <si>
    <t>TMP-INV-2025/04/11/ 1491380 / TMP-INV-2025/02/01/ 1321756VEGETA HERBAL RASA ANGGUR Sari Enensis DUS, 6 SACHET @ 4,6 gTarik Barang Retur</t>
  </si>
  <si>
    <t>AWBR-11206-2026-5-27-01</t>
  </si>
  <si>
    <t>AWBR-16498-2026-5-27</t>
  </si>
  <si>
    <t>26050409320277iZlj2lGJW</t>
  </si>
  <si>
    <t>Apotek Arya Medika Sukatani Tapos</t>
  </si>
  <si>
    <t>Ruko Permata Arcadia Blok A-18, Desa/Kelurahan Sukatani, Kec. Tapos, Kota Depok</t>
  </si>
  <si>
    <t>TMP-INV-2026/05/05/ 2711997RHINOFED Dexa Medica SIRUP DUS, 1 BOTOL @ 60 MLTarik Barang Retur</t>
  </si>
  <si>
    <t>AWBR-16498-2026-5-27-01</t>
  </si>
  <si>
    <t>AWBR-13718-2026-5-27</t>
  </si>
  <si>
    <t>25070714035323GaJs3dmp7V</t>
  </si>
  <si>
    <t>Apotek Kejayaan Abadijaya Sukmajaya</t>
  </si>
  <si>
    <t>Jl. Kejayaan No. 1 RT. 001 RW. 008,Desa/Kelurahan Abadijaya,Kecamatan Sukmajaya,Kota Depok,Jawa Barat,16417</t>
  </si>
  <si>
    <t>TMP-INV-2025/07/08/ 1722545ARCOXIA Organon TABLET 90 MG DUS, 3 BLISTER @ 10 TABLET SALUT SELAPUTTarik Barang Retur</t>
  </si>
  <si>
    <t>AWBR-13718-2026-5-27-01</t>
  </si>
  <si>
    <t>AWBR-10650-2026-5-27</t>
  </si>
  <si>
    <t>26052102424351kcCG2HVDS</t>
  </si>
  <si>
    <t>TMP-INV-2026/05/21/ 2770732TRINORDIOL-28 Sunthi TABLET DUS, 2 BLISTER @ 28 TABLET SALUT GULATarik Barang Retur</t>
  </si>
  <si>
    <t>AWBR-10650-2026-5-27-01</t>
  </si>
  <si>
    <t>AWBR-12159-2026-5-27</t>
  </si>
  <si>
    <t>26051213141031dHUX3nTtfx</t>
  </si>
  <si>
    <t>TMP-INV-2026/05/13/ 2742890BABYDEX-A DIAPER RASH CREAM WITH NATURAL VITAMIN FOR BABY SKIN HEALTH Meiji DUS, TUBE 20 gTarik Barang Retur</t>
  </si>
  <si>
    <t>AWBR-12159-2026-5-27-01</t>
  </si>
  <si>
    <t>AWBR-13565-2026-5-27</t>
  </si>
  <si>
    <t>25072902095172bgh9nLUsZC</t>
  </si>
  <si>
    <t>TMP-INV-2025/07/29/ 1782893FUKRICIN 5% Sanbe TETES MATA DUS, BOTOL PLASTIK 5 MLTarik Barang Retur</t>
  </si>
  <si>
    <t>AWBR-13565-2026-5-27-01</t>
  </si>
  <si>
    <t>AWBR-2590-2026-4-24</t>
  </si>
  <si>
    <t>26042015511244FRGudBlf</t>
  </si>
  <si>
    <t>TMP-INV-2026/04/21/ 2662600 / TMP-INV-2026/04/21/ 2662632 / WOODS' PEPPERMINT ANTITUSSIVE Kalbe SIRUP DUS, BOTOL @ 100 ML / ENTROSTOP HERBAL ANAK Kalbe DUS, 6 SACHET @ 10 ML / Tarik Barang Retur</t>
  </si>
  <si>
    <t>AWBR-2590-2026-4-24-01</t>
  </si>
  <si>
    <t>AWBR-15417-2026-5-29</t>
  </si>
  <si>
    <t>26032911522405djjbC8o8Vi</t>
  </si>
  <si>
    <t>Apotek Amalia Medifarma Cimindi Cigugur</t>
  </si>
  <si>
    <t>Dusun Cibiru RT/RW 003/002 Desa Cimindi Kecamatan Cigugur Kabupaten Pangandaran</t>
  </si>
  <si>
    <t>TMP-INV-2026/03/30/ 2582706 TRINORDIOL-28 Sunthi TABLET DUS, 2 BLISTER @ 28 TABLET SALUT GULA</t>
  </si>
  <si>
    <t>AWBR-15417-2026-5-29-01</t>
  </si>
  <si>
    <t>AWBR-16212-2026-5-30</t>
  </si>
  <si>
    <t>26050406024623xRz4ySYwA0</t>
  </si>
  <si>
    <t>TMP-INV-2026/05/05/ 2712320 MINYAK ANGIN CAP KAPAK Yahi Utama DUS, 12 BOTOL KACA @ 28 ML</t>
  </si>
  <si>
    <t>AWBR-16212-2026-5-30-01</t>
  </si>
  <si>
    <t>AWBR-17335-2026-5-29</t>
  </si>
  <si>
    <t>Apotek Nav Farma Slerok Tegal Timur</t>
  </si>
  <si>
    <t>Jl. Arjuna No. 37 RT 007/002, Kelurahan Slerok, Kecamatan Tegal Timur, Kota Tegal, Jawa Tengah, 52125</t>
  </si>
  <si>
    <t>TMP-INV-2026/05/22/ 2774600 -LACTOGEN LACTOSE FREE Nestle - Tarik Barang Retur</t>
  </si>
  <si>
    <t>AWBR-17335-2026-5-29-01</t>
  </si>
  <si>
    <t>AWBR-11670-2026-5-29</t>
  </si>
  <si>
    <t>TMP-INV-2026/05/23/ 2778183 - BATUGIN ELIXIR Kimia Farma - Tarik Barang Retur</t>
  </si>
  <si>
    <t>AWBR-11670-2026-5-29-01</t>
  </si>
  <si>
    <t>AWBR-15738-2026-1-24-SR</t>
  </si>
  <si>
    <t>26012003572011YPC6Fgkw</t>
  </si>
  <si>
    <t>Apotek Barokah Plus Bojong Rawalumbu Rawalumbu</t>
  </si>
  <si>
    <t>Jl Caringin no 6A RT 003 RW 005 , Desa/Kelurahan Bojong Rawalumbu, Kec. Rawalumbu, Kota Bekasi</t>
  </si>
  <si>
    <t>TMP-INV-2026/01/20/ 2345899 WELMOVE Ultrasakti KAPLET Tarik Barang Retur</t>
  </si>
  <si>
    <t>AWBR-15738-2026-1-24-SR-01</t>
  </si>
  <si>
    <t>AWBR-850-2026-2-10-SR</t>
  </si>
  <si>
    <t>26020302051414sxLYcdPcD</t>
  </si>
  <si>
    <t>Apotek K24 Cipinang Jaya</t>
  </si>
  <si>
    <t>Jalan Cipinang Jaya Blok A No. 09 Suite 103 Kelurahan Cipinang Besar Selatan, Kecamatan Jatinegara, Kota Jakarta Timur 13410</t>
  </si>
  <si>
    <t>TMP-INV-2026/02/03/ 2393201 BODREX Tempo Scan TABLET 600/50 MG Tarik Barang Retur</t>
  </si>
  <si>
    <t>AWBR-850-2026-2-10-SR-01</t>
  </si>
  <si>
    <t>AWBR-12302-2026-2-25-SR</t>
  </si>
  <si>
    <t>26021920281683Kop9z9knI</t>
  </si>
  <si>
    <t>Apotek SBS Farma Pandu Raya Tegal Gundil Bogor Utara</t>
  </si>
  <si>
    <t>Jalan Pandu Raya 141, RT 003/016, Desa/Kelurahan Tegal Gundil,Kecamatan Bogor Utara,Kota Bogor,Jawa Barat,16152</t>
  </si>
  <si>
    <t>TMP-INV-2026/02/21/ 2455139 AMOXSAN Capri DROPS Tarik Barang Retur</t>
  </si>
  <si>
    <t>AWBR-12302-2026-2-25-SR-01</t>
  </si>
  <si>
    <t>AWBR-15215-2026-2-25-SR</t>
  </si>
  <si>
    <t>26022103102121TzwrCRZn</t>
  </si>
  <si>
    <t>Apotek Farih Pharma Wanajaya Cibitung</t>
  </si>
  <si>
    <t>Perumahan Alam Pesona Wanajaya Blok B No.2 Desa Wanajaya Kec. Cibitung Kab. Bekasi</t>
  </si>
  <si>
    <t>TMP-INV-2026/02/21/ 2456625 PI KANG SHUANG Sano Gratia KRIM Tarik Barang Retur</t>
  </si>
  <si>
    <t>AWBR-15215-2026-2-25-SR-01</t>
  </si>
  <si>
    <t>AWBR-14015-2026-3-14-SR</t>
  </si>
  <si>
    <t>26012304424147svyGW6fCR</t>
  </si>
  <si>
    <t>Apotek Inofarma Ampera</t>
  </si>
  <si>
    <t>Jl. Budi Mulia Raya No. 8-L, RT 000 RW 00, Kel. Pademangan Barat, Kec. Pademangan, Jakarta Utara</t>
  </si>
  <si>
    <t>TMP-INV-2026/01/24/ 2359880 PUREBB HAND and MOUTH BABY WIPES, ORANGE OIL &amp; EXTRACT CHAMOMILE Etercon Tarik Barang Retur</t>
  </si>
  <si>
    <t>AWBR-14015-2026-3-14-SR-01</t>
  </si>
  <si>
    <t>AWBR-13048-2026-3-7-SR</t>
  </si>
  <si>
    <t>25040309234572QAAh1ReSE</t>
  </si>
  <si>
    <t>Apotek Lagona Cijengkol Setu</t>
  </si>
  <si>
    <t>Jl. Raya Letjen Suprapto No 86 Desa Cijengkol, Kec. Setu Kabupaten Bekasi</t>
  </si>
  <si>
    <t>TMP-INV-2025/04/04/ 1471080 ISOPRINOSINE Darya-Varia SIRUP 250 MG/5 ML Tarik Barang Retur</t>
  </si>
  <si>
    <t>AWBR-13048-2026-3-7-SR-01</t>
  </si>
  <si>
    <t>AWBR-12058-2026-3-13-SR</t>
  </si>
  <si>
    <t>26030404412450x81kPPgA22</t>
  </si>
  <si>
    <t>Apotek Favo Karet Kuningan Setiabudi</t>
  </si>
  <si>
    <t>ITC Kuningan Lantai 4 Blok D1 No.1&amp;8, Jl. Prof. Dr. Satio No.18, RT 011 RW 004 , Desa/Kel. Karet Kuningan, Kec. Setiabudi, Kota Jakarta Selatan</t>
  </si>
  <si>
    <t>TMP-INV-2026/03/05/ 2497859 MADU MURNI TJ Ultrasakti Tarik Barang Retur</t>
  </si>
  <si>
    <t>AWBR-12058-2026-3-13-SR-01</t>
  </si>
  <si>
    <t>AWBR-14001-2026-3-17-SR</t>
  </si>
  <si>
    <t>26020502595222wJVSyu0CVW</t>
  </si>
  <si>
    <t>Apotek Inofarma Jengki</t>
  </si>
  <si>
    <t>Jl. Jengki No. 28 RT/RW : 008/004,Desa/Kelurahan Kebon Pala,Kecamatan Makasar,Kota Jakarta Timur,13650</t>
  </si>
  <si>
    <t>TMP-INV-2026/02/05/ 2400474 BLACKMORES PREGNANCY and BREAST-FEEDING GOLD Kalbe Tarik Barang Retur</t>
  </si>
  <si>
    <t>AWBR-14001-2026-3-17-SR-01</t>
  </si>
  <si>
    <t>AWBR-15738-2026-3-23-SR</t>
  </si>
  <si>
    <t>25071714235986fTZoLoedhg</t>
  </si>
  <si>
    <t>TMP-INV-2025/07/18/ 1751703 REDOXON CHEWABLE KIDS VITAMIN C Bayer TABLET KUNYAH Tarik Barang Retur</t>
  </si>
  <si>
    <t>AWBR-15738-2026-3-23-SR-01</t>
  </si>
  <si>
    <t>AWBR-15669-2026-3-23-SR</t>
  </si>
  <si>
    <t>26031002414204EEWt5g6mdc</t>
  </si>
  <si>
    <t>Apotek AK Farma Bojong Nangka Gunung Putri</t>
  </si>
  <si>
    <t>Podomoro Golf View Toko Block O3 No. 7, Jl. Mochamad Tohir, Desa Bojong Nangka Kec. Gunung Putri Kab. Bogor</t>
  </si>
  <si>
    <t>TMP-INV-2026/03/11/ 2520212 CETAPHIL ULTRA GENTLE BODY WASH Galderma Tarik Barang Retur</t>
  </si>
  <si>
    <t>AWBR-15669-2026-3-23-SR-01</t>
  </si>
  <si>
    <t>AWBR-11148-2026-3-26-SR</t>
  </si>
  <si>
    <t>26031609163690mfvukcaQ</t>
  </si>
  <si>
    <t>Apotek Celeste Citaringgul Babakan Madang</t>
  </si>
  <si>
    <t>Pasar Sentul City Blok J No.16 Desa Citanggul Kecamatan Babakan Madang Kabupaten Bogor 16810</t>
  </si>
  <si>
    <t>TMP-INV-2026/03/17/ 2543539 CONCOR AM Merck TABLET 5/10 MG Tarik Barang Retur</t>
  </si>
  <si>
    <t>AWBR-11148-2026-3-26-SR-01</t>
  </si>
  <si>
    <t>AWBR-15624-2026-3-23-SR</t>
  </si>
  <si>
    <t>26010707314689PQvJ0l4</t>
  </si>
  <si>
    <t>Apotek Harma 2 Waluya Cikarang Utara</t>
  </si>
  <si>
    <t>Jl. Arjuna Raya Perum bumi Citra Lestari Blok B 01/01 RT 00/RW 00 Desa Waluya, Kec. Cikarang Utara, Kabupaten Bekasi</t>
  </si>
  <si>
    <t>TMP-INV-2026/01/08/ 2305908 ANTIMO ANAK (RASA STRAWBERRY) Phapros SIRUP Tarik Barang Retur</t>
  </si>
  <si>
    <t>AWBR-15624-2026-3-23-SR-01</t>
  </si>
  <si>
    <t>AWBR-6887-2026-5-31</t>
  </si>
  <si>
    <t>26050801041257yiFsgTOdW</t>
  </si>
  <si>
    <t>Apotek Warjok</t>
  </si>
  <si>
    <t>Jalan Raya Ciwaru no 57, Warung Pojok, Kecamatan Serang, Kota Serang, Banten 42117</t>
  </si>
  <si>
    <t>TMP-INV-2026/05/08/ 2724958 / BECOM C Sanbe KAPLET DUS, 10 STRIP @ 10 KAPLET SALUT SELAPUT / Tarik Barang Damaged</t>
  </si>
  <si>
    <t>AWBR-6887-2026-5-31-01</t>
  </si>
  <si>
    <t>AWBR-10650-2026-5-31</t>
  </si>
  <si>
    <t>26050702080153zisCvRVxku</t>
  </si>
  <si>
    <t>TMP-INV-2026/05/07/ 2720496 / PROVE D3-5000 Kalbe TABLET DUS, 3 STRIP @ 10 TABLET KUNYAH / Tarik Barang Retur</t>
  </si>
  <si>
    <t>AWBR-10650-2026-5-31-01</t>
  </si>
  <si>
    <t>AWBR-16009-2026-6-2</t>
  </si>
  <si>
    <t>26051908511197XS5I8uezIy</t>
  </si>
  <si>
    <t>Apotek Jaya Medika Premiere Muara Ciujung Barat Rangkasbitung</t>
  </si>
  <si>
    <t>Jl. Multatuli No.62 RT/RW 001/002 Muara Ciujung Barat, Desa/Kelurahan Muara Ciujung Barat, Kec. Rangkasbitung, Kab. Lebak</t>
  </si>
  <si>
    <t>TMP-INV-2026/05/20/ 2767327IMBOOST EXTRA VIT C &amp; D3 EFFERVESCENT (RASA JERUK) Soho TABLET Dus, 1 TUBE PLASTIK @ 8 TABLET EFFERVESCENTTarik Barang Retur</t>
  </si>
  <si>
    <t>AWBR-16009-2026-6-2-01</t>
  </si>
  <si>
    <t>AWBR-13324-2026-6-2</t>
  </si>
  <si>
    <t>260312075620020hdYBfZYWF</t>
  </si>
  <si>
    <t>Apotek Lingga Buana Linggasari Ciamis</t>
  </si>
  <si>
    <t>Jl. Raden Otto Iskandardinata - Lingkar Selatan Ciamis Desa Linggasari Kec. Ciamis Kab. Ciamis</t>
  </si>
  <si>
    <t>TMP-INV-2026/03/13/ 2528909FUNGIDERM Konimex KRIM DUS, TUBE @ 10 GTarik Barang Retur</t>
  </si>
  <si>
    <t>AWBR-13324-2026-6-2-01</t>
  </si>
  <si>
    <t>AWBR-16836-2026-6-2</t>
  </si>
  <si>
    <t>26051502300020ZI38VPUN3Z</t>
  </si>
  <si>
    <t>TMP-INV-2026/05/15/ 2749508MINYAK ANGIN CAP KAPAK Yahi Utama DUS, 12 BOTOL KACA @ 5 MLTarik Barang Retur</t>
  </si>
  <si>
    <t>AWBR-16836-2026-6-2-01</t>
  </si>
  <si>
    <t>AWBR-10912-2026-6-2</t>
  </si>
  <si>
    <t>26052200191582aO9kW5HQ</t>
  </si>
  <si>
    <t>Apotek Dheva Farma Jatiasih Jatiasih</t>
  </si>
  <si>
    <t>Jl. Raya Jatiasih No.51, RT.004/RW.005, Jatiasih, Kec. Jatiasih, Kota Bekasi, Jawa Barat 17423</t>
  </si>
  <si>
    <t>TMP-INV-2026/05/22/ 2774290SCABIMITE Galenium KRIM 5 % DUS,1 TUBE @ 30 GTarik Barang Retur</t>
  </si>
  <si>
    <t>AWBR-10912-2026-6-2-01</t>
  </si>
  <si>
    <t>AWBR-334-2026-6-2</t>
  </si>
  <si>
    <t>26052207152834371imT1u2</t>
  </si>
  <si>
    <t>TMP-INV-2026/05/23/ 2777786 / TMP-INV-2026/05/23/ 2777925URDAFALK Darya-Varia KAPSUL 250 MG DUS, 6 STRIP @ 5 KAPSUL/ URDAFALK FORTE Darya-Varia TABLET DUS, 5 STRIP @ 10 TABLET SALUT SELAPUTTarik Barang Retur</t>
  </si>
  <si>
    <t>AWBR-334-2026-6-2-01</t>
  </si>
  <si>
    <t>AWBR-11645-2026-6-2</t>
  </si>
  <si>
    <t>260523015816445dWjGsqMUn</t>
  </si>
  <si>
    <t>Apotek Permata Sehat Sukamajaya Sukmajaya</t>
  </si>
  <si>
    <t>Jl. Raden Saleh No.45, Rt.003 Rw.005, Kel. Sukmajaya Kec. Sukmajaya Kota Depok</t>
  </si>
  <si>
    <t>TMP-INV-2026/05/23/ 2777850SPASMINAL Hexpharm KAPLET 10/500 MG DUS, 10 STRIP @ 10 KAPLET SALUT SELAPUTTarik Barang Retur</t>
  </si>
  <si>
    <t>AWBR-11645-2026-6-2-01</t>
  </si>
  <si>
    <t>AWBR-13565-2026-6-2</t>
  </si>
  <si>
    <t>26052202360544sHtbjoec0</t>
  </si>
  <si>
    <t>TMP-INV-2026/05/22/ 2774414HOLISTICARE ESTER C 1000 Indocare TABLET DUS, BOTOL PLASTIK @ 30 TABLET SALUT SELAPUTTarik Barang Retur</t>
  </si>
  <si>
    <t>AWBR-13565-2026-6-2-01</t>
  </si>
  <si>
    <t>AWBR-2823-2026-6-2</t>
  </si>
  <si>
    <t>26042706533364RkE9bawSW</t>
  </si>
  <si>
    <t>TMP-INV-2026/04/28/ 2686898RHINOFED Dexa Medica SIRUP DUS, 1 BOTOL @ 60 MLTarik Barang Damaged</t>
  </si>
  <si>
    <t>AWBR-2823-2026-6-2-01</t>
  </si>
  <si>
    <t>AWBR-10661-2026-6-2</t>
  </si>
  <si>
    <t>26051301483125TUEceqnud5</t>
  </si>
  <si>
    <t>Apotek Bunda Farma Sukaraya Karangbahagia</t>
  </si>
  <si>
    <t>Perum Puri Nirwarna Residence Blok KA No.11 RT 002 RW 009 Desa/Kel. Sukaraya Kec. Karang Bahagia Kab. Bekasi 17535</t>
  </si>
  <si>
    <t>TMP-INV-2026/05/13/ 2740799NATUR-E SKIN START NATURAL VITAMIN E 100 IU Darya-Varia KAPSUL DUS, 8 STRIP @ 4 KAPSUL LUNAKTarik Barang Retur</t>
  </si>
  <si>
    <t>AWBR-10661-2026-6-2-01</t>
  </si>
  <si>
    <t>AWBR-1249-2026-6-2</t>
  </si>
  <si>
    <t>26052201463397ApYsIENkb</t>
  </si>
  <si>
    <t>TMP-INV-2026/05/22/ 2772092APOLAR Actavis KRIM DUS, 1 TUBE @ 10 GTarik Barang Retur</t>
  </si>
  <si>
    <t>AWBR-1249-2026-6-2-01</t>
  </si>
  <si>
    <t>AWBR-17183-2026-6-2</t>
  </si>
  <si>
    <t>26052010463640T2Z3DBSdI</t>
  </si>
  <si>
    <t>Apotek Shaka Farma Kertamukti Cibitung</t>
  </si>
  <si>
    <t>Kp. Sasak Bakar, RT/RW : 001/001, Desa/Kelurahan Kertamukti, Kec. Cibitung, Kab. Bekasi</t>
  </si>
  <si>
    <t>TMP-INV-2026/05/21/ 2768465EGOJI RASA APPLE-BERRY Novell SIRUP DUS, BOTOL 100 MLTarik Barang Retur</t>
  </si>
  <si>
    <t>AWBR-17183-2026-6-2-01</t>
  </si>
  <si>
    <t>AWBR-15799-2026-6-2</t>
  </si>
  <si>
    <t>26052002300263c6bvcdslk</t>
  </si>
  <si>
    <t>Klinik Berkah Gramapuri Sukajaya Cibitung</t>
  </si>
  <si>
    <t>Perum Gramapuri Persada Ruko Blok L02/17B, Desa/Kelurahan Sukajaya, Kec. Cibitung, Kab. Bekasi</t>
  </si>
  <si>
    <t>TMP-INV-2026/05/20/ 2765461CANDESARTAN CILEXETIL Dexa Medica TABLET 8 MG DUS, 3 BLISTER @ 10 TABLETTarik Barang Retur</t>
  </si>
  <si>
    <t>AWBR-15799-2026-6-2-01</t>
  </si>
  <si>
    <t>AWBR-16053-2026-6-3</t>
  </si>
  <si>
    <t>26042902173885veMWrDzOM</t>
  </si>
  <si>
    <t>Apotek 678 Duren Jaya Bekasi Timur</t>
  </si>
  <si>
    <t>Jl. Prof. Yamin No. 3, Desa/Kelurahan Duren Jaya, Kecamatan Bekasi Timur,Kota Bekasi, Jawa Barat,</t>
  </si>
  <si>
    <t>TMP-INV-2026/04/29/ 2689914NIACEF Surya Dermato GEL DUS, TUBE 15 gTarik Barang Retur</t>
  </si>
  <si>
    <t>AWBR-16053-2026-6-3-01</t>
  </si>
  <si>
    <t>Pickup Return, wajib bawa form BA Return. Bilang ke Apotek “mau tarik barang”. Jika tidak ada barang, tulis keterangan “tidak ada barang retur” di form BATMP-INV-2026/04/29/ 2689914NIACEF Surya Dermato GEL DUS, TUBE 15 gTarik Barang Retur</t>
  </si>
  <si>
    <t>AWBR-13215-2026-6-3</t>
  </si>
  <si>
    <t>26042703370207F1fV54AjZh</t>
  </si>
  <si>
    <t>Apotek Bungur Sehat Rambutan Ciracas</t>
  </si>
  <si>
    <t>Jl. Bungur No. 16, Desa/Kelurahan Rambutan, Kec. Ciracas, Kota Adm. Jakarta Timur</t>
  </si>
  <si>
    <t>TMP-INV-2026/04/27/ 2682379DIAPET NR Soho KAPSUL DUS, 25 BLISTER @ 4 KAPSULTarik Barang Retur</t>
  </si>
  <si>
    <t>AWBR-13215-2026-6-3-01</t>
  </si>
  <si>
    <t>Pickup Return, wajib bawa form BA Return. Bilang ke Apotek “mau tarik barang”. Jika tidak ada barang, tulis keterangan “tidak ada barang retur” di form BATMP-INV-2026/04/27/ 2682379DIAPET NR Soho KAPSUL DUS, 25 BLISTER @ 4 KAPSULTarik Barang Retur</t>
  </si>
  <si>
    <t>AWBR-3209-2026-6-3</t>
  </si>
  <si>
    <t>26042215113298YImuaR8Z2</t>
  </si>
  <si>
    <t>Apotek Campaka</t>
  </si>
  <si>
    <t>Kp Sukamulya RT003 RW001 Kel.Campaka Kec. Kel.Campaka Purwakarta Jawa Barat 41181</t>
  </si>
  <si>
    <t>TMP-INV-2026/04/23/ 2670800TRINORDIOL-28 Sunthi TABLET DUS, 2 BLISTER @ 28 TABLET SALUT GULATarik Barang Retur</t>
  </si>
  <si>
    <t>AWBR-3209-2026-6-3-01</t>
  </si>
  <si>
    <t>Pickup Return, wajib bawa form BA Return. Bilang ke Apotek “mau tarik barang”. Jika tidak ada barang, tulis keterangan “tidak ada barang retur” di form BATMP-INV-2026/04/23/ 2670800TRINORDIOL-28 Sunthi TABLET DUS, 2 BLISTER @ 28 TABLET SALUT GULATarik Barang Retur</t>
  </si>
  <si>
    <t>AWBR-13679-2026-6-3</t>
  </si>
  <si>
    <t>26042004521430QMvi5bim4Z</t>
  </si>
  <si>
    <t>Apotek Faresha Farma Jagakarsa Jagakarsa</t>
  </si>
  <si>
    <t>Jalan Mohammad Kahfi I RW 04, Desa/Kelurahan Ciganjur, Kec. Jagakarsa, Kota Jakarta Selatan</t>
  </si>
  <si>
    <t>TMP-INV-2026/04/21/ 2662111FIESTA INTIM WARM GEL Dkt DUS, TUBE 70 MLTarik Barang Retur</t>
  </si>
  <si>
    <t>AWBR-13679-2026-6-3-01</t>
  </si>
  <si>
    <t>Pickup Return, wajib bawa form BA Return. Bilang ke Apotek “mau tarik barang”. Jika tidak ada barang, tulis keterangan “tidak ada barang retur” di form BATMP-INV-2026/04/21/ 2662111FIESTA INTIM WARM GEL Dkt DUS, TUBE 70 MLTarik Barang Retur</t>
  </si>
  <si>
    <t>AWBR-13036-2026-6-3</t>
  </si>
  <si>
    <t>26033000065870dnircsHoF</t>
  </si>
  <si>
    <t>TMP-INV-2026/03/30/ 2579692CURLIV PLUS Soho SIRUP DUS, BOTOL KACA @ 120 MLTarik Barang Damaged</t>
  </si>
  <si>
    <t>AWBR-13036-2026-6-3-01</t>
  </si>
  <si>
    <t>Pickup Return, wajib bawa form BA Return. Bilang ke Apotek “mau tarik barang”. Jika tidak ada barang, tulis keterangan “tidak ada barang retur” di form BATMP-INV-2026/03/30/ 2579692CURLIV PLUS Soho SIRUP DUS, BOTOL KACA @ 120 MLTarik Barang Damaged</t>
  </si>
  <si>
    <t>AWBR-7686-2026-6-3</t>
  </si>
  <si>
    <t>26040104154887xu6E5lMOQ7</t>
  </si>
  <si>
    <t>Apotek Hidayah 7686</t>
  </si>
  <si>
    <t>Jl. DR. Husein Kartasasmita No. 43 RT. 004 RW. 002 Kel. Banjar Kec. Banjar Kota Banjar 46321</t>
  </si>
  <si>
    <t>TMP-INV-2026/04/02/ 2594949SAKATONIK ACTIV MULTIVITAMIN ZAT BESI Saka Farma SIRUP DUS, BOTOL KACA @ 100 MLTarik Barang Damaged</t>
  </si>
  <si>
    <t>AWBR-7686-2026-6-3-01</t>
  </si>
  <si>
    <t>Pickup Return, wajib bawa form BA Return. Bilang ke Apotek “mau tarik barang”. Jika tidak ada barang, tulis keterangan “tidak ada barang retur” di form BATMP-INV-2026/04/02/ 2594949SAKATONIK ACTIV MULTIVITAMIN ZAT BESI Saka Farma SIRUP DUS, BOTOL KACA @ 100 MLTarik Barang Damaged</t>
  </si>
  <si>
    <t>AWBR-1750-2026-6-3</t>
  </si>
  <si>
    <t>26042305291046iFuuIQ9mS</t>
  </si>
  <si>
    <t>Apotek JS 1</t>
  </si>
  <si>
    <t>Jalan Pertigaan Malaka RT 002 RW 005 Kelurahan Cilangkap Kecamatan Cipayung Jakarta Timur 13870</t>
  </si>
  <si>
    <t>TMP-INV-2026/04/24/ 2673940HUFAGRIPP PILEK Gratia SIRUP DUS, 1 BOTOL @ 60 MLTarik Barang Damaged</t>
  </si>
  <si>
    <t>AWBR-1750-2026-6-3-01</t>
  </si>
  <si>
    <t>Pickup Return, wajib bawa form BA Return. Bilang ke Apotek “mau tarik barang”. Jika tidak ada barang, tulis keterangan “tidak ada barang retur” di form BATMP-INV-2026/04/24/ 2673940HUFAGRIPP PILEK Gratia SIRUP DUS, 1 BOTOL @ 60 MLTarik Barang Damaged</t>
  </si>
  <si>
    <t>AWBR-1249-2026-6-3</t>
  </si>
  <si>
    <t>26042004341302f9S8EoteL</t>
  </si>
  <si>
    <t>TMP-INV-2026/04/21/ 2659700 / TMP-INV-2026/04/21/ 2660224/ TMP-INV-2026/04/21/ 2660224 / TMP-INV-2026/04/21/ 2659970 / TMP-INV-2026/04/21/TMP-INV-2026/04/25/ 2678300 2661014 HUFAGRIPP BP BATUK KERING DAN PILEK ANAK Gratia SIRUP DUS, 1 BOTOL @ 60 ML Tarik Barang Damaged &amp; Retur 
MICROGYNON (LIBI) Bayer TABLET DUS, 1 BLISTER @ 28 TABLET SALUT GULA
OTILON Sanbe TETES TELINGA DUS, BOTOL 8 ML
PEPTISOL Sanghiang Perkasa FRENCH VANILLA DUS, ALUMINIUM FOIL 180 G (3 Sachet @ 60 g)</t>
  </si>
  <si>
    <t>AWBR-1249-2026-6-3-01</t>
  </si>
  <si>
    <t>Pickup Return, wajib bawa form BA Return. Bilang ke Apotek “mau tarik barang”. Jika tidak ada barang, tulis keterangan “tidak ada barang retur” di form BATMP-INV-2026/04/21/ 2659700 / TMP-INV-2026/04/21/ 2660224/ TMP-INV-2026/04/21/ 2660224 / TMP-INV-2026/04/21/ 2659970 / TMP-INV-2026/04/21/TMP-INV-2026/04/25/ 2678300 2661014 HUFAGRIPP BP BATUK KERING DAN PILEK ANAK Gratia SIRUP DUS, 1 BOTOL @ 60 ML Tarik Barang Damaged &amp; Retur 
MICROGYNON (LIBI) Bayer TABLET DUS, 1 BLISTER @ 28 TABLET SALUT GULA
OTILON Sanbe TETES TELINGA DUS, BOTOL 8 ML
PEPTISOL Sanghiang Perkasa FRENCH VANILLA DUS, ALUMINIUM FOIL 180 G (3 Sachet @ 60 g)</t>
  </si>
  <si>
    <t>AWBR-13059-2026-6-3</t>
  </si>
  <si>
    <t>26042501345744swRGgRUAf</t>
  </si>
  <si>
    <t>TMP-INV-2026/04/25/ 2677611STREPSILS WITH HONEY and LEMON Reckitt Benckiser TABLET HISAP DUS, 2 ALUMINIUM FOIL @ 6 TABLET HISAPTarik Barang Retur</t>
  </si>
  <si>
    <t>AWBR-13059-2026-6-3-01</t>
  </si>
  <si>
    <t>Pickup Return, wajib bawa form BA Return. Bilang ke Apotek “mau tarik barang”. Jika tidak ada barang, tulis keterangan “tidak ada barang retur” di form BATMP-INV-2026/04/25/ 2677611STREPSILS WITH HONEY and LEMON Reckitt Benckiser TABLET HISAP DUS, 2 ALUMINIUM FOIL @ 6 TABLET HISAPTarik Barang Retur</t>
  </si>
  <si>
    <t>AWBR-11847-2026-6-3</t>
  </si>
  <si>
    <t>26040302301621VFeuNYr1EJ</t>
  </si>
  <si>
    <t>TMP-INV-2026/04/03/ 2596343PEPTIBREN Sanghiang RASA KACANG HIJAU DUS, 3 SACHET @ 65 GTarik Barang Retur</t>
  </si>
  <si>
    <t>AWBR-11847-2026-6-3-01</t>
  </si>
  <si>
    <t>Pickup Return, wajib bawa form BA Return. Bilang ke Apotek “mau tarik barang”. Jika tidak ada barang, tulis keterangan “tidak ada barang retur” di form BATMP-INV-2026/04/03/ 2596343PEPTIBREN Sanghiang RASA KACANG HIJAU DUS, 3 SACHET @ 65 GTarik Barang Retur</t>
  </si>
  <si>
    <t>AWBR-13771-2026-6-3</t>
  </si>
  <si>
    <t>26040703573913aN2zuKC4i</t>
  </si>
  <si>
    <t>Apotek K24 Tajur Sindangsari Bogor Timur</t>
  </si>
  <si>
    <t>Jl. Raya Wangun No. 242, Desa/Kelurahan Sindangsari, Kec. Bogor Timur, Kota Bogor</t>
  </si>
  <si>
    <t>TMP-INV-2026/04/07/ 2611703AMLODIPINE BESILATE Hexpharm TABLET 10 MG DUS, 10 STRIP @10 TABLETTarik Barang Retur</t>
  </si>
  <si>
    <t>AWBR-13771-2026-6-3-01</t>
  </si>
  <si>
    <t>Pickup Return, wajib bawa form BA Return. Bilang ke Apotek “mau tarik barang”. Jika tidak ada barang, tulis keterangan “tidak ada barang retur” di form BATMP-INV-2026/04/07/ 2611703AMLODIPINE BESILATE Hexpharm TABLET 10 MG DUS, 10 STRIP @10 TABLETTarik Barang Retur</t>
  </si>
  <si>
    <t>AWBR-4138-2026-6-3</t>
  </si>
  <si>
    <t>260324222833038SAHEkvl2</t>
  </si>
  <si>
    <t>Apotek Naf Sya Farma</t>
  </si>
  <si>
    <t>Jl.Hanjawar-Pacet Kp.Pasir Tingkik RT002 RW005 Desa Sukanagalih Kec.Pacet Kab.Cianjur Jawa Barat 43253</t>
  </si>
  <si>
    <t>TMP-INV-2026/03/25/ 2564798BIO-OIL Radiant Sentral Nutrindo CAIR DUS, BOTOL 25 ML / JOHNSON`S BABY BEDTIME 2-IN-1 HAIR &amp; BODY BATH Johnson BOTOL, 200 MLTarik Barang Damaged</t>
  </si>
  <si>
    <t>AWBR-4138-2026-6-3-01</t>
  </si>
  <si>
    <t>Pickup Return, wajib bawa form BA Return. Bilang ke Apotek “mau tarik barang”. Jika tidak ada barang, tulis keterangan “tidak ada barang retur” di form BATMP-INV-2026/03/25/ 2564798BIO-OIL Radiant Sentral Nutrindo CAIR DUS, BOTOL 25 ML / JOHNSON`S BABY BEDTIME 2-IN-1 HAIR &amp; BODY BATH Johnson BOTOL, 200 MLTarik Barang Damaged</t>
  </si>
  <si>
    <t>AWBR-2278-2026-6-3</t>
  </si>
  <si>
    <t>260519033721717O6raluZb</t>
  </si>
  <si>
    <t>Apotek Nurul Cireundeu</t>
  </si>
  <si>
    <t>Jalan Gunung Raya No. 27A RT 001 RW 011 Kelurahan Cireundeu Kecamatan Ciputat Timur Tangerang Selatan 15419</t>
  </si>
  <si>
    <t>TMP-INV-2026/05/19/ 2762450STIMUNO RASA ANGGUR Dexa Medica SIRUP DUS, BOTOL @ 100 MLTarik Barang Retur</t>
  </si>
  <si>
    <t>AWBR-2278-2026-6-3-01</t>
  </si>
  <si>
    <t>Pickup Return, wajib bawa form BA Return. Bilang ke Apotek “mau tarik barang”. Jika tidak ada barang, tulis keterangan “tidak ada barang retur” di form BATMP-INV-2026/05/19/ 2762450STIMUNO RASA ANGGUR Dexa Medica SIRUP DUS, BOTOL @ 100 MLTarik Barang Retur</t>
  </si>
  <si>
    <t>AWBR-9487-2026-6-3</t>
  </si>
  <si>
    <t>25031701544526DUETzdhNH1</t>
  </si>
  <si>
    <t>Apotek Pharmart Bendungan Hilir Tanah Abang</t>
  </si>
  <si>
    <t>Jalan Danau Poso No. 156, RT/RW 008/004, Kel. Bendungan Hilir, Kec. Tanah Abang, Jakarta Pusat, 10210</t>
  </si>
  <si>
    <t>TMP-INV-2025/03/17/ 1430969AMOXICILLIN Hexpharm SIRUP KERING 125 MG/5 mL BOTOL 60 MLTarik Barang Retur</t>
  </si>
  <si>
    <t>AWBR-9487-2026-6-3-01</t>
  </si>
  <si>
    <t>Pickup Return, wajib bawa form BA Return. Bilang ke Apotek “mau tarik barang”. Jika tidak ada barang, tulis keterangan “tidak ada barang retur” di form BATMP-INV-2025/03/17/ 1430969AMOXICILLIN Hexpharm SIRUP KERING 125 MG/5 mL BOTOL 60 MLTarik Barang Retur</t>
  </si>
  <si>
    <t>AWBR-10773-2026-6-3</t>
  </si>
  <si>
    <t>25062203011469UxjPzHyJ80</t>
  </si>
  <si>
    <t>Apotek Prohexa Farma Kemang Kemang</t>
  </si>
  <si>
    <t>Ruko Kemang D, Jl. Baru Kemang RT 002 RW 009, Desa/Kel. Kemang, Kec. Kemang, Kab. Bogor 16310</t>
  </si>
  <si>
    <t>TMP-INV-2025/06/22/ 1677892NAPREX Darya-Varia DROPS DUS, BOTOL PLASTIK 15 MLTarik Barang Retur</t>
  </si>
  <si>
    <t>AWBR-10773-2026-6-3-01</t>
  </si>
  <si>
    <t>Pickup Return, wajib bawa form BA Return. Bilang ke Apotek “mau tarik barang”. Jika tidak ada barang, tulis keterangan “tidak ada barang retur” di form BATMP-INV-2025/06/22/ 1677892NAPREX Darya-Varia DROPS DUS, BOTOL PLASTIK 15 MLTarik Barang Retur</t>
  </si>
  <si>
    <t>AWBR-13565-2026-6-3</t>
  </si>
  <si>
    <t>260420013405228l4aLrj5E</t>
  </si>
  <si>
    <t>TMP-INV-2026/04/20/ 2658246Semua Barang di Faktur TMP-INV-2026/04/20/ 2658246Tarik Barang Damaged</t>
  </si>
  <si>
    <t>AWBR-13565-2026-6-3-01</t>
  </si>
  <si>
    <t>Pickup Return, wajib bawa form BA Return. Bilang ke Apotek “mau tarik barang”. Jika tidak ada barang, tulis keterangan “tidak ada barang retur” di form BATMP-INV-2026/04/20/ 2658246Semua Barang di Faktur TMP-INV-2026/04/20/ 2658246Tarik Barang Damaged</t>
  </si>
  <si>
    <t>AWBR-15199-2026-6-3</t>
  </si>
  <si>
    <t>2604211024327919db9aB1ua</t>
  </si>
  <si>
    <t>Apotek Sarasehat Jagakarsa Jagakarsa</t>
  </si>
  <si>
    <t>Jalan Mohamad Kahfi II No. 69 RT06 RW05, Desa/Kelurahan Srengseng Sawah, Kec. Jagakarsa, Kota Adm. Jakarta Selatan</t>
  </si>
  <si>
    <t>TMP-INV-2026/04/22/ 2666589THROMBOPHOB Tunggal Idaman GEL DUS, 1 TUBE @ 20 GTarik Barang Retur</t>
  </si>
  <si>
    <t>AWBR-15199-2026-6-3-01</t>
  </si>
  <si>
    <t>Pickup Return, wajib bawa form BA Return. Bilang ke Apotek “mau tarik barang”. Jika tidak ada barang, tulis keterangan “tidak ada barang retur” di form BATMP-INV-2026/04/22/ 2666589THROMBOPHOB Tunggal Idaman GEL DUS, 1 TUBE @ 20 GTarik Barang Retur</t>
  </si>
  <si>
    <t>AWBR-11155-2026-6-3</t>
  </si>
  <si>
    <t>240413010454708KjH6viGrx</t>
  </si>
  <si>
    <t>Apotek Tumbuh Sehat Mekar Jaya Sukmajaya</t>
  </si>
  <si>
    <t>Jl. Tole iskandar No 12A RT 001/001 Kel. Mekarjaya Kec. Sukmajaya Depok 16411</t>
  </si>
  <si>
    <t>TMP-INV-2024/04/13/ 726060DIPROGENTA Organon SALEP DUS, TUBE @ 10 GTarik Barang Retur</t>
  </si>
  <si>
    <t>AWBR-11155-2026-6-3-01</t>
  </si>
  <si>
    <t>Pickup Return, wajib bawa form BA Return. Bilang ke Apotek “mau tarik barang”. Jika tidak ada barang, tulis keterangan “tidak ada barang retur” di form BATMP-INV-2024/04/13/ 726060DIPROGENTA Organon SALEP DUS, TUBE @ 10 GTarik Barang Retur</t>
  </si>
  <si>
    <t>AWBR-12695-2026-6-3</t>
  </si>
  <si>
    <t>26040701291730gTqw5CCSMc</t>
  </si>
  <si>
    <t>Klinik Pratama Ali Muchtar Sukapura Cilincing</t>
  </si>
  <si>
    <t>Gg SMA 83 no 318 RT 3 RW 4 Kelurahan Sukapura, Kecamatan Cilincing,Kota Administrasi Jakarta Utara</t>
  </si>
  <si>
    <t>TMP-INV-2026/04/07/ 2610675BIOPLACENTON Kalbe GEL DUS, 1 TUBE @ 15 GTarik Barang Retur</t>
  </si>
  <si>
    <t>AWBR-12695-2026-6-3-01</t>
  </si>
  <si>
    <t>Pickup Return, wajib bawa form BA Return. Bilang ke Apotek “mau tarik barang”. Jika tidak ada barang, tulis keterangan “tidak ada barang retur” di form BATMP-INV-2026/04/07/ 2610675BIOPLACENTON Kalbe GEL DUS, 1 TUBE @ 15 GTarik Barang Retur</t>
  </si>
  <si>
    <t>AWBR-2288-2026-6-4</t>
  </si>
  <si>
    <t>26052902550601EoPuRVczA</t>
  </si>
  <si>
    <t>TMP-INV-2026/05/29/ 2796206 / TMP-INV-2026/05/29/ 2796204 HANSAPLAST KAIN ELASTIS JUMBO Beiersdorf DUS, 50 LEMBAR (32 x 65 mm) / BALSEM LANG Eagle Indo DUS, POT KACA @ 40 G Tarik Barang Retur</t>
  </si>
  <si>
    <t>AWBR-2288-2026-6-4-01</t>
  </si>
  <si>
    <t>Pickup Return, wajib bawa form BA Return. Bilang ke Apotek “mau tarik barang”. Jika tidak ada barang, tulis keterangan “tidak ada barang retur” di form TMP-INV-2026/05/29/ 2796206 / TMP-INV-2026/05/29/ 2796204 HANSAPLAST KAIN ELASTIS JUMBO Beiersdorf DUS, 50 LEMBAR (32 x 65 mm) / BALSEM LANG Eagle Indo DUS, POT KACA @ 40 G Tarik Barang Retur</t>
  </si>
  <si>
    <t>AWBR-12411-2026-6-4</t>
  </si>
  <si>
    <t>26052902313631VAGhCAZfU</t>
  </si>
  <si>
    <t>TMP-INV-2026/05/29/ 2795610 RHINOFED Dexa Medica SIRUP DUS, 1 BOTOL @ 60 ML / RHINOFED Dexa Medica TABLET DUS, 5 STRIP @ 10 TABLET Tarik Barang Retur</t>
  </si>
  <si>
    <t>AWBR-12411-2026-6-4-01</t>
  </si>
  <si>
    <t>Pickup Return, wajib bawa form BA Return. Bilang ke Apotek “mau tarik barang”. Jika tidak ada barang, tulis keterangan “tidak ada barang retur” di form TMP-INV-2026/05/29/ 2795610 RHINOFED Dexa Medica SIRUP DUS, 1 BOTOL @ 60 ML / RHINOFED Dexa Medica TABLET DUS, 5 STRIP @ 10 TABLET Tarik Barang Retur</t>
  </si>
  <si>
    <t>AWBR-2649-2026-6-4</t>
  </si>
  <si>
    <t>26052903465053o3OgTv3eP</t>
  </si>
  <si>
    <t>Apotek Clara Jaya</t>
  </si>
  <si>
    <t>Jalan Monumen Pancasila Sakti RT 007 RW 002 Kelurahan Lubang Buaya Kecamatan Cipayung Jakarta Timur 13810</t>
  </si>
  <si>
    <t>TMP-INV-2026/05/29/ 2796242 SOPROS Erlimpex TABLET DUS, 3 STRIP @ 10 TABLET Tarik Barang Retur</t>
  </si>
  <si>
    <t>AWBR-2649-2026-6-4-01</t>
  </si>
  <si>
    <t>Pickup Return, wajib bawa form BA Return. Bilang ke Apotek “mau tarik barang”. Jika tidak ada barang, tulis keterangan “tidak ada barang retur” di form TMP-INV-2026/05/29/ 2796242 SOPROS Erlimpex TABLET DUS, 3 STRIP @ 10 TABLET Tarik Barang Retur</t>
  </si>
  <si>
    <t>AWBR-16587-2026-6-4</t>
  </si>
  <si>
    <t>260531004734358vfPNEXzm</t>
  </si>
  <si>
    <t>TMP-INV-2026/06/01/ 2804717 BECOM C Sanbe KAPLET DUS, 10 STRIP @ 10 KAPLET SALUT SELAPUT Tarik Barang Retur</t>
  </si>
  <si>
    <t>AWBR-16587-2026-6-4-01</t>
  </si>
  <si>
    <t>Pickup Return, wajib bawa form BA Return. Bilang ke Apotek “mau tarik barang”. Jika tidak ada barang, tulis keterangan “tidak ada barang retur” di form TMP-INV-2026/06/01/ 2804717 BECOM C Sanbe KAPLET DUS, 10 STRIP @ 10 KAPLET SALUT SELAPUT Tarik Barang Retur</t>
  </si>
  <si>
    <t>AWBR-10958-2026-6-4</t>
  </si>
  <si>
    <t>260413064541601pWbJxdkun</t>
  </si>
  <si>
    <t>TMP-INV-2026/04/14/ 2635275 BREATHY NASAL DROPS Novell TETES HIDUNG DUS, 1 BOTOL PLASTIK @ 30 ML Tarik Barang Damaged</t>
  </si>
  <si>
    <t>AWBR-10958-2026-6-4-01</t>
  </si>
  <si>
    <t>Pickup Return, wajib bawa form BA Return. Bilang ke Apotek “mau tarik barang”. Jika tidak ada barang, tulis keterangan “tidak ada barang retur” di form TMP-INV-2026/04/14/ 2635275 BREATHY NASAL DROPS Novell TETES HIDUNG DUS, 1 BOTOL PLASTIK @ 30 ML Tarik Barang Damaged</t>
  </si>
  <si>
    <t>AWBR-1148-2026-6-4</t>
  </si>
  <si>
    <t>260415022710165KmNwTs5gs</t>
  </si>
  <si>
    <t>TMP-INV-2026/04/15/ 2641112 PRORIS Pharos SUSPENSI DUS, 1 BOTOL @ 60 ML / SAN-B-PLEX PEDIATRIK Sanbe DROPS DUS, BOTOL KACA 15 ML Tarik Barang Damaged</t>
  </si>
  <si>
    <t>AWBR-1148-2026-6-4-01</t>
  </si>
  <si>
    <t>Pickup Return, wajib bawa form BA Return. Bilang ke Apotek “mau tarik barang”. Jika tidak ada barang, tulis keterangan “tidak ada barang retur” di form TMP-INV-2026/04/15/ 2641112 PRORIS Pharos SUSPENSI DUS, 1 BOTOL @ 60 ML / SAN-B-PLEX PEDIATRIK Sanbe DROPS DUS, BOTOL KACA 15 ML Tarik Barang Damaged</t>
  </si>
  <si>
    <t>AWBR-13036-2026-6-4</t>
  </si>
  <si>
    <t>260416072440598XGAgLNKy</t>
  </si>
  <si>
    <t>TMP-INV-2026/04/17/ 2646314 TELFAST PLUS Kalventis TABLET DUS, 10 BLISTER @ 10 TABLET PELEPASAN LAMBAT Tarik Barang Damaged</t>
  </si>
  <si>
    <t>AWBR-13036-2026-6-4-01</t>
  </si>
  <si>
    <t>Pickup Return, wajib bawa form BA Return. Bilang ke Apotek “mau tarik barang”. Jika tidak ada barang, tulis keterangan “tidak ada barang retur” di form TMP-INV-2026/04/17/ 2646314 TELFAST PLUS Kalventis TABLET DUS, 10 BLISTER @ 10 TABLET PELEPASAN LAMBAT Tarik Barang Damaged</t>
  </si>
  <si>
    <t>AWBR-1249-2026-6-4</t>
  </si>
  <si>
    <t>26041701520562jPjnNpSp2</t>
  </si>
  <si>
    <t>TMP-INV-2026/04/17/ 2647169 / TMP-INV-2026/04/17/ 2647388 INERSON Interbat SALEP DUS, TUBE @ 15 G /INPEPSA Pratapa Nirmala SUSPENSI 500 MG/5 ML DUS, 1 BOTOL @ 100 ML / MICROLAX Pharos ENEMA DUS, 1 / NATUR-E WHITE Darya-Varia Kapsul DUS, 8 STRIP @ 4 KAPSUL LUNAK TUBE @ 5 ML Tarik Barang Damaged</t>
  </si>
  <si>
    <t>AWBR-1249-2026-6-4-01</t>
  </si>
  <si>
    <t>Pickup Return, wajib bawa form BA Return. Bilang ke Apotek “mau tarik barang”. Jika tidak ada barang, tulis keterangan “tidak ada barang retur” di form TMP-INV-2026/04/17/ 2647169 / TMP-INV-2026/04/17/ 2647388 INERSON Interbat SALEP DUS, TUBE @ 15 G /INPEPSA Pratapa Nirmala SUSPENSI 500 MG/5 ML DUS, 1 BOTOL @ 100 ML / MICROLAX Pharos ENEMA DUS, 1 / NATUR-E WHITE Darya-Varia Kapsul DUS, 8 STRIP @ 4 KAPSUL LUNAK TUBE @ 5 ML Tarik Barang Damaged</t>
  </si>
  <si>
    <t>AWBR-11472-2026-6-4</t>
  </si>
  <si>
    <t>260409035604150v0V7yPbLo</t>
  </si>
  <si>
    <t>Apotek K24 Aniva Gading Serpong Medang Pagedangan</t>
  </si>
  <si>
    <t>Aniva Grande Blok G5 No 6, Desa/Kel. Medang, Kec. Pagedangan, Kab. Tangerang 15334</t>
  </si>
  <si>
    <t>TMP-INV-2026/04/09/ 2618796 HANSAPLAST SALEP LUKA Beiersdorf TUBE @ 50 G / STREPSILS WITH HONEY and LEMON Reckitt Benckiser TABLET HISAP DUS, 2 ALUMINIUM FOIL @ 6 TABLET HISAP Tarik Barang Retur</t>
  </si>
  <si>
    <t>AWBR-11472-2026-6-4-01</t>
  </si>
  <si>
    <t>Pickup Return, wajib bawa form BA Return. Bilang ke Apotek “mau tarik barang”. Jika tidak ada barang, tulis keterangan “tidak ada barang retur” di form TMP-INV-2026/04/09/ 2618796 HANSAPLAST SALEP LUKA Beiersdorf TUBE @ 50 G / STREPSILS WITH HONEY and LEMON Reckitt Benckiser TABLET HISAP DUS, 2 ALUMINIUM FOIL @ 6 TABLET HISAP Tarik Barang Retur</t>
  </si>
  <si>
    <t>AWBR-2144-2026-6-4</t>
  </si>
  <si>
    <t>26052909340236qLCP1dH7Aw</t>
  </si>
  <si>
    <t>TMP-INV-2026/05/30/ 2798723 ANTANGIN JRG + MADU Deltomed CAIRAN OBAT DALAM DUS, 5 SACHET@ 15 ML Tarik Barang Retur</t>
  </si>
  <si>
    <t>AWBR-2144-2026-6-4-01</t>
  </si>
  <si>
    <t>Pickup Return, wajib bawa form BA Return. Bilang ke Apotek “mau tarik barang”. Jika tidak ada barang, tulis keterangan “tidak ada barang retur” di form TMP-INV-2026/05/30/ 2798723 ANTANGIN JRG + MADU Deltomed CAIRAN OBAT DALAM DUS, 5 SACHET@ 15 ML Tarik Barang Retur</t>
  </si>
  <si>
    <t>AWBR-334-2026-6-4</t>
  </si>
  <si>
    <t>26052803311068rnUUcWlRMf</t>
  </si>
  <si>
    <t>TMP-INV-2026/05/28/ 2792484 TORAS Pharos TABLET 8 MG DUS,10 BLISTER @ 10 TABLET Tarik Barang Retur</t>
  </si>
  <si>
    <t>AWBR-334-2026-6-4-01</t>
  </si>
  <si>
    <t>Pickup Return, wajib bawa form BA Return. Bilang ke Apotek “mau tarik barang”. Jika tidak ada barang, tulis keterangan “tidak ada barang retur” di form TMP-INV-2026/05/28/ 2792484 TORAS Pharos TABLET 8 MG DUS,10 BLISTER @ 10 TABLET Tarik Barang Retur</t>
  </si>
  <si>
    <t>AWBR-28-2026-6-4</t>
  </si>
  <si>
    <t>26052807294085Lv6WZNU3je</t>
  </si>
  <si>
    <t>Apotek Mitra Diani</t>
  </si>
  <si>
    <t>Jl. Raya Pkp RT 13 RW 08 Kelapa Dua Wetan Ciracas Jakarta Timur</t>
  </si>
  <si>
    <t>TMP-INV-2026/05/29/ 2796832 MINYAK ANGIN CAP KAPAK Yahi Utama DUS, 12 BOTOL KACA @ 28 ML Tarik Barang Retur</t>
  </si>
  <si>
    <t>AWBR-28-2026-6-4-01</t>
  </si>
  <si>
    <t>Pickup Return, wajib bawa form BA Return. Bilang ke Apotek “mau tarik barang”. Jika tidak ada barang, tulis keterangan “tidak ada barang retur” di form TMP-INV-2026/05/29/ 2796832 MINYAK ANGIN CAP KAPAK Yahi Utama DUS, 12 BOTOL KACA @ 28 ML Tarik Barang Retur</t>
  </si>
  <si>
    <t>AWBR-10778-2026-6-4</t>
  </si>
  <si>
    <t>260523103630707K2UI952zW</t>
  </si>
  <si>
    <t>Apotek Rahmat Bojonggenteng Jampangkulon</t>
  </si>
  <si>
    <t>Jl. Cinagen RT 008 RW 003 Desa Bojonggenteng Kec Jampangkulon Kab. Sukabumi 43170</t>
  </si>
  <si>
    <t>TMP-INV-2026/05/24/ 2780098 VASELINE REPAIRING JELLY Unilever POT, 100 ML Tarik Barang Retur</t>
  </si>
  <si>
    <t>AWBR-10778-2026-6-4-01</t>
  </si>
  <si>
    <t>Pickup Return, wajib bawa form BA Return. Bilang ke Apotek “mau tarik barang”. Jika tidak ada barang, tulis keterangan “tidak ada barang retur” di form TMP-INV-2026/05/24/ 2780098 VASELINE REPAIRING JELLY Unilever POT, 100 ML Tarik Barang Retur</t>
  </si>
  <si>
    <t>AWBR-15006-2026-6-4</t>
  </si>
  <si>
    <t>26053014034097xsAxAS4JW</t>
  </si>
  <si>
    <t>Apotek Rifi Farma Wanajaya Cibitung</t>
  </si>
  <si>
    <t>Perum Villa Mutiara Jaya Blok M 66 No.20 Rt 002/ 010 , Desa/Kelurahan Wanajaya, Kec. Cibitung, Kab. Bekasi</t>
  </si>
  <si>
    <t>TMP-INV-2026/05/31/ 2801352 VICKS FORMULA 44 ANAK-ANAK (RASA STRAWBERRY) Darya-Varia SIRUP DUS, BOTOL PLASTIK 54 ML Tarik Barang Retur</t>
  </si>
  <si>
    <t>AWBR-15006-2026-6-4-01</t>
  </si>
  <si>
    <t>Pickup Return, wajib bawa form BA Return. Bilang ke Apotek “mau tarik barang”. Jika tidak ada barang, tulis keterangan “tidak ada barang retur” di form TMP-INV-2026/05/31/ 2801352 VICKS FORMULA 44 ANAK-ANAK (RASA STRAWBERRY) Darya-Varia SIRUP DUS, BOTOL PLASTIK 54 ML Tarik Barang Retur</t>
  </si>
  <si>
    <t>AWBR-2281-2026-6-4</t>
  </si>
  <si>
    <t>26052409551252RlffEbqJ</t>
  </si>
  <si>
    <t>Apotek Wynetta</t>
  </si>
  <si>
    <t>Villa Bogor Indah 6 Blok B1 No. 12 RT 002 RW 014 Desa Pasir Jambu Kecamatan Sukaraja Kabupaten Bogor 16711</t>
  </si>
  <si>
    <t>TMP-INV-2026/05/25/ 2780674 GENTAMICIN SULFATE Erela SALEP 0.1 % TUBE @ 5 GRAM Tarik Barang Retur</t>
  </si>
  <si>
    <t>AWBR-2281-2026-6-4-01</t>
  </si>
  <si>
    <t>Pickup Return, wajib bawa form BA Return. Bilang ke Apotek “mau tarik barang”. Jika tidak ada barang, tulis keterangan “tidak ada barang retur” di form TMP-INV-2026/05/25/ 2780674 GENTAMICIN SULFATE Erela SALEP 0.1 % TUBE @ 5 GRAM Tarik Barang Retur</t>
  </si>
  <si>
    <t>AWBR-11437-2026-6-5</t>
  </si>
  <si>
    <t>26060203232522g910lrsRl</t>
  </si>
  <si>
    <t>Apotek Berlian Farma Rasamala Bakti Jaya Sukmajaya</t>
  </si>
  <si>
    <t>Jl. Rasamala Raya No. 423 Kel. Baktijaya Kec. Sukmajaya Kota Depok 16418</t>
  </si>
  <si>
    <t>TMP-INV-2026/06/02/ 2809060 ANTANGIN PERMEN HERBAL RASA MADU MINT DUS, 15 SACHET @ 10 g Tarik Barang Retur</t>
  </si>
  <si>
    <t>AWBR-11437-2026-6-5-01</t>
  </si>
  <si>
    <t>Pickup Return, wajib bawa form BA Return. Bilang ke Apotek “mau tarik barang”. Jika tidak ada barang, tulis keterangan “tidak ada barang retur” di form BA TMP-INV-2026/06/02/ 2809060 ANTANGIN PERMEN HERBAL RASA MADU MINT DUS, 15 SACHET @ 10 g Tarik Barang Retur</t>
  </si>
  <si>
    <t>AWBR-5942-2026-6-5</t>
  </si>
  <si>
    <t>26060203172600oVdCQFmLE</t>
  </si>
  <si>
    <t>Apotek Cahaya 5942</t>
  </si>
  <si>
    <t>Jalan Ceger Raya No. 52 RT 002 RW 001 Kelurahan Jurangmangu Timur Kecamatan Pondok Aren Kota Tangerang Selatan 15222</t>
  </si>
  <si>
    <t>TMP-INV-2026/06/02/ 2808448 IBUPROFEN Bernofarm SUSPENSI 100 MG / 5 ML DUS, 10 BOTOL @ 60 ML Tarik Barang Retur</t>
  </si>
  <si>
    <t>AWBR-5942-2026-6-5-01</t>
  </si>
  <si>
    <t>Pickup Return, wajib bawa form BA Return. Bilang ke Apotek “mau tarik barang”. Jika tidak ada barang, tulis keterangan “tidak ada barang retur” di form BA TMP-INV-2026/06/02/ 2808448 IBUPROFEN Bernofarm SUSPENSI 100 MG / 5 ML DUS, 10 BOTOL @ 60 ML Tarik Barang Retur</t>
  </si>
  <si>
    <t>AWBR-916-2026-6-5</t>
  </si>
  <si>
    <t>26053114193571j6PirlywH</t>
  </si>
  <si>
    <t>TMP-INV-2026/06/01/ 2804943 IMBOOST FORCE FCT+ Soho KAPLET DUS, 3 STRIP @ 10 KAPLET SALUT SELAPUT Tarik Barang Retur</t>
  </si>
  <si>
    <t>AWBR-916-2026-6-5-01</t>
  </si>
  <si>
    <t>Pickup Return, wajib bawa form BA Return. Bilang ke Apotek “mau tarik barang”. Jika tidak ada barang, tulis keterangan “tidak ada barang retur” di form BA TMP-INV-2026/06/01/ 2804943 IMBOOST FORCE FCT+ Soho KAPLET DUS, 3 STRIP @ 10 KAPLET SALUT SELAPUT Tarik Barang Retur</t>
  </si>
  <si>
    <t>AWBR-724-2026-6-5</t>
  </si>
  <si>
    <t>26053005291715DJ1L80h7J</t>
  </si>
  <si>
    <t>TMP-INV-2026/05/31/ 2802082 SERETIDE 125 Gsk INHALER 25/125 MCG DUS, 1 CANISTER @ 120 DOSIS DENGAN DOSE COUNTER Tarik Barang Retur</t>
  </si>
  <si>
    <t>AWBR-724-2026-6-5-01</t>
  </si>
  <si>
    <t>Pickup Return, wajib bawa form BA Return. Bilang ke Apotek “mau tarik barang”. Jika tidak ada barang, tulis keterangan “tidak ada barang retur” di form BA TMP-INV-2026/05/31/ 2802082 SERETIDE 125 Gsk INHALER 25/125 MCG DUS, 1 CANISTER @ 120 DOSIS DENGAN DOSE COUNTER Tarik Barang Retur</t>
  </si>
  <si>
    <t>AWBR-581-2026-6-5</t>
  </si>
  <si>
    <t>26052604000422MPJ9ffTQ6n</t>
  </si>
  <si>
    <t>Apotek Eka Mitra Sehat</t>
  </si>
  <si>
    <t>Jalan Srengseng Sawah No. 23 RT 010 RW 00, Kelurahan Srengseng Sawah, Kecamatan Jagakarsa, Jakarta Selatan, DKI Jakarta 12640</t>
  </si>
  <si>
    <t>TMP-INV-2026/05/26/ 2787652 IMBOOST FORCE ES Soho KAPLET DUS, 3 STRIP @ 10 KAPLET SALUT SELAPUT Tarik Barang Retur</t>
  </si>
  <si>
    <t>AWBR-581-2026-6-5-01</t>
  </si>
  <si>
    <t>Pickup Return, wajib bawa form BA Return. Bilang ke Apotek “mau tarik barang”. Jika tidak ada barang, tulis keterangan “tidak ada barang retur” di form BA TMP-INV-2026/05/26/ 2787652 IMBOOST FORCE ES Soho KAPLET DUS, 3 STRIP @ 10 KAPLET SALUT SELAPUT Tarik Barang Retur</t>
  </si>
  <si>
    <t>AWBR-12089-2026-6-5</t>
  </si>
  <si>
    <t>26041505285656uKssvGWqF7</t>
  </si>
  <si>
    <t>Apotek Fegas Farma Aren Jaya Bekasi Timur</t>
  </si>
  <si>
    <t>Jl. Setiamekar Ruko No. 4 RT 003 RW 005 Kel. Aren Jaya Kec. Bekasi Timur Kota Bekasi</t>
  </si>
  <si>
    <t>TMP-INV-2026/04/16/ 2642836 P-PRED Cendo TETES MATA Minidose CATCH COVER, 5 BOTOL PLASTIK @ 0,6 ML Tarik Barang Damaged</t>
  </si>
  <si>
    <t>AWBR-12089-2026-6-5-01</t>
  </si>
  <si>
    <t>Pickup Return, wajib bawa form BA Return. Bilang ke Apotek “mau tarik barang”. Jika tidak ada barang, tulis keterangan “tidak ada barang retur” di form BA TMP-INV-2026/04/16/ 2642836 P-PRED Cendo TETES MATA Minidose CATCH COVER, 5 BOTOL PLASTIK @ 0,6 ML Tarik Barang Damaged</t>
  </si>
  <si>
    <t>AWBR-10722-2026-6-5</t>
  </si>
  <si>
    <t>26053103530968IyzmUiSvh</t>
  </si>
  <si>
    <t>TMP-INV-2026/06/01/ 2804894 DULCOLAX Boehringer SUPPOSITORIA 10 MG DUS, 1 STRIP @ 5 SUPPOSITORIA Tarik Barang Retur</t>
  </si>
  <si>
    <t>AWBR-10722-2026-6-5-01</t>
  </si>
  <si>
    <t>Pickup Return, wajib bawa form BA Return. Bilang ke Apotek “mau tarik barang”. Jika tidak ada barang, tulis keterangan “tidak ada barang retur” di form BA TMP-INV-2026/06/01/ 2804894 DULCOLAX Boehringer SUPPOSITORIA 10 MG DUS, 1 STRIP @ 5 SUPPOSITORIA Tarik Barang Retur</t>
  </si>
  <si>
    <t>AWBR-10645-2026-6-5</t>
  </si>
  <si>
    <t>25031202525677MxlO1sNq</t>
  </si>
  <si>
    <t>TMP-INV-2025/03/12/ 1419577 VOLTAREN Gsk EMULGEL 1 % DUS, TUBE @ 20 G Tarik Barang Retur</t>
  </si>
  <si>
    <t>AWBR-10645-2026-6-5-01</t>
  </si>
  <si>
    <t>Pickup Return, wajib bawa form BA Return. Bilang ke Apotek “mau tarik barang”. Jika tidak ada barang, tulis keterangan “tidak ada barang retur” di form BA TMP-INV-2025/03/12/ 1419577 VOLTAREN Gsk EMULGEL 1 % DUS, TUBE @ 20 G Tarik Barang Retur</t>
  </si>
  <si>
    <t>AWBR-12625-2026-6-5</t>
  </si>
  <si>
    <t>26031003275204UECQOm4KE</t>
  </si>
  <si>
    <t>Apotek Hugo Farma Cilebut Barat Sukaraja</t>
  </si>
  <si>
    <t>Ruko Komplek Permata Bogor Residence Blok A2 No.2, Desa/Kelurahan Cilebut Barat, Kec. Sukaraja, Kab. Bogor</t>
  </si>
  <si>
    <t>TMP-INV-2026/03/11/ 2520364 IMBOOST EXTRA VIT C dan D3 KIDS Soho TABLET HISAP DUS, BOTOL PLASTIK @ 21 TABLET HISAP Tarik Barang Damaged</t>
  </si>
  <si>
    <t>AWBR-12625-2026-6-5-01</t>
  </si>
  <si>
    <t>Pickup Return, wajib bawa form BA Return. Bilang ke Apotek “mau tarik barang”. Jika tidak ada barang, tulis keterangan “tidak ada barang retur” di form BA TMP-INV-2026/03/11/ 2520364 IMBOOST EXTRA VIT C dan D3 KIDS Soho TABLET HISAP DUS, BOTOL PLASTIK @ 21 TABLET HISAP Tarik Barang Damaged</t>
  </si>
  <si>
    <t>AWBR-14008-2026-6-5</t>
  </si>
  <si>
    <t>25100906541278p9RKswuHa</t>
  </si>
  <si>
    <t>Apotek Inofarma Tanah Pasir</t>
  </si>
  <si>
    <t>Jl. Tanah Pasir No. 1 RT 16 RW 11, Kel. Penjaringan, Kec. Penjaringan, Jakarta Utara</t>
  </si>
  <si>
    <t>TMP-INV-2025/10/10/ 2013024 / TMP-INV-2025/10/10/ 2013195 / TMP-INV-2025/10/10/ 2013195 / TMP-INV-2026/01/14/ 2327863 / TMP-INV-2026/01/20 / 2347820 ONEMED CRUTCH UKURAN M (KRUK) 2 PCS (SEPASANG)
ONEMED QUAD CANE (TONGKAT PYRAMID) 1 PCS
ONEMED WHEELCHAIR COMFORT ONE (KURSI RODA) 1 PCS
BLACKMORES ULTRA REFINED HABBATUSSAUDA OIL Kalbe KAPSUL BOTOL KACA @ 30 KAPSUL LUNAK
KRATINGDAENG SUPER Asia Health Energi Beverages BOTOL KACA @ 150 ML
KRATINGDAENG SUPER Asia Health Energi Beverages BOTOL KACA @ 150 ML
 Tarik Barang Retur</t>
  </si>
  <si>
    <t>AWBR-14008-2026-6-5-01</t>
  </si>
  <si>
    <t>Pickup Return, wajib bawa form BA Return. Bilang ke Apotek “mau tarik barang”. Jika tidak ada barang, tulis keterangan “tidak ada barang retur” di form BA TMP-INV-2025/10/10/ 2013024 / TMP-INV-2025/10/10/ 2013195 / TMP-INV-2025/10/10/ 2013195 / TMP-INV-2026/01/14/ 2327863 / TMP-INV-2026/01/20 / 2347820 ONEMED CRUTCH UKURAN M (KRUK) 2 PCS (SEPASANG)
ONEMED QUAD CANE (TONGKAT PYRAMID) 1 PCS
ONEMED WHEELCHAIR COMFORT ONE (KURSI RODA) 1 PCS
BLACKMORES ULTRA REFINED HABBATUSSAUDA OIL Kalbe KAPSUL BOTOL KACA @ 30 KAPSUL LUNAK
KRATINGDAENG SUPER Asia Health Energi Beverages BOTOL KACA @ 150 ML
KRATINGDAENG SUPER Asia Health Energi Beverages BOTOL KACA @ 150 ML
 Tarik Barang Retur</t>
  </si>
  <si>
    <t>AWBR-17055-2026-6-5</t>
  </si>
  <si>
    <t>260403234841121otPcM2e</t>
  </si>
  <si>
    <t>Apotek Isa Pondok Betung Pondok Aren</t>
  </si>
  <si>
    <t>Jl. Pondok Betung Raya, RT 01 RW 05 Kel. Pondok Betung Kec. Pondok Aren Kota Tangerang Selatan</t>
  </si>
  <si>
    <t>TMP-INV-2026/04/04/ 2601092 LIFREE POPOK PEREKAT UK. L PLASTIK @ 1 PCS UK. M PLASTIK @ 1 PCS UK. XL PLASTIK @ 1 PCS Tarik Barang Retur</t>
  </si>
  <si>
    <t>AWBR-17055-2026-6-5-01</t>
  </si>
  <si>
    <t>Pickup Return, wajib bawa form BA Return. Bilang ke Apotek “mau tarik barang”. Jika tidak ada barang, tulis keterangan “tidak ada barang retur” di form BA TMP-INV-2026/04/04/ 2601092 LIFREE POPOK PEREKAT UK. L PLASTIK @ 1 PCS UK. M PLASTIK @ 1 PCS UK. XL PLASTIK @ 1 PCS Tarik Barang Retur</t>
  </si>
  <si>
    <t>AWBR-8869-2026-6-5</t>
  </si>
  <si>
    <t>260525035818257eG1xBQbs</t>
  </si>
  <si>
    <t>Apotek Ishaura Sejahtera Medika Sukakarya Warudoyong</t>
  </si>
  <si>
    <t>Jalan KH. Ahmad Sanusi RT 001 RW 002 Desa Sukakarya Kec. Warudoyong Kota Sukabumi 43135</t>
  </si>
  <si>
    <t>TMP-INV-2026/05/25/ 2783543 OBAT SAKIT GIGI CAP BURUNG KAKAK TUA Samco Farma DUS, BOTOL KACA @ 2 ML Tarik Barang Retur</t>
  </si>
  <si>
    <t>AWBR-8869-2026-6-5-01</t>
  </si>
  <si>
    <t>Pickup Return, wajib bawa form BA Return. Bilang ke Apotek “mau tarik barang”. Jika tidak ada barang, tulis keterangan “tidak ada barang retur” di form BA TMP-INV-2026/05/25/ 2783543 OBAT SAKIT GIGI CAP BURUNG KAKAK TUA Samco Farma DUS, BOTOL KACA @ 2 ML Tarik Barang Retur</t>
  </si>
  <si>
    <t>AWBR-10908-2026-6-5</t>
  </si>
  <si>
    <t>260202151246266s9eydF</t>
  </si>
  <si>
    <t>Apotek K24 Ciracas Ciracas Ciracas</t>
  </si>
  <si>
    <t>Jl. Raya Ciracas No.66 Rt.003 Rw.05, Desa/Kelurahan Ciracas, Kec. Ciracas, Kota Adm. Jakarta Timur 13740</t>
  </si>
  <si>
    <t>TMP-INV-2026/02/03/ 2393745 BIO-OIL Radiant Body Lotion DUS, BOTOL 175 ML Tarik Barang Retur</t>
  </si>
  <si>
    <t>AWBR-10908-2026-6-5-01</t>
  </si>
  <si>
    <t>Pickup Return, wajib bawa form BA Return. Bilang ke Apotek “mau tarik barang”. Jika tidak ada barang, tulis keterangan “tidak ada barang retur” di form BA TMP-INV-2026/02/03/ 2393745 BIO-OIL Radiant Body Lotion DUS, BOTOL 175 ML Tarik Barang Retur</t>
  </si>
  <si>
    <t>AWBR-12490-2026-6-5</t>
  </si>
  <si>
    <t>260526014144117RDu6JYBw</t>
  </si>
  <si>
    <t>Apotek K24 Pilar Karangasih Cikarang Utara</t>
  </si>
  <si>
    <t>Jl. Ki Hajar Dewantara Kp. Pilar Barat No. 129, Desa/Kelurahan Karangasih, Kec. Cikarang Utara, Kab. Bekasi</t>
  </si>
  <si>
    <t>TMP-INV-2026/05/26/ 2786613 MEFINAL Sanbe KAPSUL 250 MG DUS, 10 STRIP @ 10 KAPSUL Tarik Barang Retur</t>
  </si>
  <si>
    <t>AWBR-12490-2026-6-5-01</t>
  </si>
  <si>
    <t>Pickup Return, wajib bawa form BA Return. Bilang ke Apotek “mau tarik barang”. Jika tidak ada barang, tulis keterangan “tidak ada barang retur” di form BA TMP-INV-2026/05/26/ 2786613 MEFINAL Sanbe KAPSUL 250 MG DUS, 10 STRIP @ 10 KAPSUL Tarik Barang Retur</t>
  </si>
  <si>
    <t>AWBR-12612-2026-6-5</t>
  </si>
  <si>
    <t>26053007352882N9E0IJzH4</t>
  </si>
  <si>
    <t>Apotek K24 Pitara Depok Pancoran Mas Pancoran Mas</t>
  </si>
  <si>
    <t>Jalan Pitara Raya No.16, Desa/Kelurahan Pancoran Mas, Kec. Pancoran Mas, Kota Depok,</t>
  </si>
  <si>
    <t>TMP-INV-2026/06/01/ 2804719 HANSAPLAST SALEP LUKA Beiersdorf TUBE @ 50 G Tarik Barang Retur</t>
  </si>
  <si>
    <t>AWBR-12612-2026-6-5-01</t>
  </si>
  <si>
    <t>Pickup Return, wajib bawa form BA Return. Bilang ke Apotek “mau tarik barang”. Jika tidak ada barang, tulis keterangan “tidak ada barang retur” di form BA TMP-INV-2026/06/01/ 2804719 HANSAPLAST SALEP LUKA Beiersdorf TUBE @ 50 G Tarik Barang Retur</t>
  </si>
  <si>
    <t>AWBR-13426-2026-6-5</t>
  </si>
  <si>
    <t>26060101203720ejXr9X8aKw</t>
  </si>
  <si>
    <t>TMP-INV-2026/06/01/ 2804832 ALOCLAIR PLUS MOUTHWASH Enseval OBAT KUMUR BOTOL 60 ML Tarik Barang Retur</t>
  </si>
  <si>
    <t>AWBR-13426-2026-6-5-01</t>
  </si>
  <si>
    <t>Pickup Return, wajib bawa form BA Return. Bilang ke Apotek “mau tarik barang”. Jika tidak ada barang, tulis keterangan “tidak ada barang retur” di form BA TMP-INV-2026/06/01/ 2804832 ALOCLAIR PLUS MOUTHWASH Enseval OBAT KUMUR BOTOL 60 ML Tarik Barang Retur</t>
  </si>
  <si>
    <t>AWBR-4174-2026-6-5</t>
  </si>
  <si>
    <t>26052514285751kfMEBSV0nX</t>
  </si>
  <si>
    <t>Apotek Karomah 4174</t>
  </si>
  <si>
    <t>Kp. Kedung Gede RT 013 RW 005 Desa/Kelurahan Kedung Waringin Kecamatan Kedung Waringin Kabupaten Bekasi 17540</t>
  </si>
  <si>
    <t>TMP-INV-2026/05/26/ 2784933 MINYAK ANGIN CAP KAPAK Yahi Utama DUS, 12 BOTOL KACA @ 5 ML Tarik Barang Retur</t>
  </si>
  <si>
    <t>AWBR-4174-2026-6-5-01</t>
  </si>
  <si>
    <t>Pickup Return, wajib bawa form BA Return. Bilang ke Apotek “mau tarik barang”. Jika tidak ada barang, tulis keterangan “tidak ada barang retur” di form BA TMP-INV-2026/05/26/ 2784933 MINYAK ANGIN CAP KAPAK Yahi Utama DUS, 12 BOTOL KACA @ 5 ML Tarik Barang Retur</t>
  </si>
  <si>
    <t>AWBR-453-2026-6-5</t>
  </si>
  <si>
    <t>26052600572628ot2QcOH3r</t>
  </si>
  <si>
    <t>Apotek Kurnia Jaya</t>
  </si>
  <si>
    <t>Jalan Lingkungan III RT 005 RW 003, Kelurahan Tegal Alur, Kecamatan Kali Deres Kota Administrasi, Jakarta Barat, DKI Jakarta 11820</t>
  </si>
  <si>
    <t>TMP-INV-2026/05/26/ 2786522 ALOCLAIR PLUS MOUTHWASH Enseval OBAT KUMUR BOTOL 60 ML Tarik Barang Retur</t>
  </si>
  <si>
    <t>AWBR-453-2026-6-5-01</t>
  </si>
  <si>
    <t>Pickup Return, wajib bawa form BA Return. Bilang ke Apotek “mau tarik barang”. Jika tidak ada barang, tulis keterangan “tidak ada barang retur” di form BA TMP-INV-2026/05/26/ 2786522 ALOCLAIR PLUS MOUTHWASH Enseval OBAT KUMUR BOTOL 60 ML Tarik Barang Retur</t>
  </si>
  <si>
    <t>AWBR-13249-2026-6-5</t>
  </si>
  <si>
    <t>26060103204678MoDyj8i2q</t>
  </si>
  <si>
    <t>Apotek Lambang Sari 4 Lambangsari Tambun Selatan</t>
  </si>
  <si>
    <t>Jln. Raya Mustikajaya Ruko No. 4 Desa/Kelurahan Lambangsari,Kecamatan Tambun Selatan,Kabupaten Bekasi,Jawa Barat,17510</t>
  </si>
  <si>
    <t>TMP-INV-2026/06/01/ 2803803 FARMOTEN Pratapa Nirmala TABLET 25 MG DUS, 10 STRIP @ 10 TABLET Tarik Barang Retur</t>
  </si>
  <si>
    <t>AWBR-13249-2026-6-5-01</t>
  </si>
  <si>
    <t>Pickup Return, wajib bawa form BA Return. Bilang ke Apotek “mau tarik barang”. Jika tidak ada barang, tulis keterangan “tidak ada barang retur” di form BA TMP-INV-2026/06/01/ 2803803 FARMOTEN Pratapa Nirmala TABLET 25 MG DUS, 10 STRIP @ 10 TABLET Tarik Barang Retur</t>
  </si>
  <si>
    <t>AWBR-5239-2026-6-5</t>
  </si>
  <si>
    <t>26052501141221gClmgOd362</t>
  </si>
  <si>
    <t>Apotek Maryam Farma</t>
  </si>
  <si>
    <t>Jl. Karang Satria No. 123 RT. 005 RW. 007, Kel.Durenjaya, Kec.Bekasi Timur, Bekasi, Jawa Barat 17111</t>
  </si>
  <si>
    <t>TMP-INV-2026/05/25/ 2782054 PARACETAMOL Holi KAPLET 500 MG DUS, 10 STRIP @ 10 KAPLET Tarik Barang Retur</t>
  </si>
  <si>
    <t>AWBR-5239-2026-6-5-01</t>
  </si>
  <si>
    <t>Pickup Return, wajib bawa form BA Return. Bilang ke Apotek “mau tarik barang”. Jika tidak ada barang, tulis keterangan “tidak ada barang retur” di form BA TMP-INV-2026/05/25/ 2782054 PARACETAMOL Holi KAPLET 500 MG DUS, 10 STRIP @ 10 KAPLET Tarik Barang Retur</t>
  </si>
  <si>
    <t>AWBR-6535-2026-6-5</t>
  </si>
  <si>
    <t>260526005532183VNpcr4O4</t>
  </si>
  <si>
    <t>Apotek Medpharm</t>
  </si>
  <si>
    <t>Jl. Kemang Raya No. 60 Desa Cilodong Kecamatan Cilodong Kota Depok kode pos 16413</t>
  </si>
  <si>
    <t>TMP-INV-2026/05/26/ 2787696 CITICOLINE Bernofarm TABLET 500 MG DUS, 3 BLISTER @ 10 TABLET Tarik Barang Retur</t>
  </si>
  <si>
    <t>AWBR-6535-2026-6-5-01</t>
  </si>
  <si>
    <t>Pickup Return, wajib bawa form BA Return. Bilang ke Apotek “mau tarik barang”. Jika tidak ada barang, tulis keterangan “tidak ada barang retur” di form BA TMP-INV-2026/05/26/ 2787696 CITICOLINE Bernofarm TABLET 500 MG DUS, 3 BLISTER @ 10 TABLET Tarik Barang Retur</t>
  </si>
  <si>
    <t>AWBR-10650-2026-6-5</t>
  </si>
  <si>
    <t>260523040754207D9k83Md4t</t>
  </si>
  <si>
    <t>TMP-INV-2026/05/24/ 2779678 NELLCO SPECIAL OBH FLU DAN BATUK SIRUP DUS, BOTOL @ 100 ML Tarik Barang Retur</t>
  </si>
  <si>
    <t>AWBR-10650-2026-6-5-01</t>
  </si>
  <si>
    <t>Pickup Return, wajib bawa form BA Return. Bilang ke Apotek “mau tarik barang”. Jika tidak ada barang, tulis keterangan “tidak ada barang retur” di form BA TMP-INV-2026/05/24/ 2779678 NELLCO SPECIAL OBH FLU DAN BATUK SIRUP DUS, BOTOL @ 100 ML Tarik Barang Retur</t>
  </si>
  <si>
    <t>AWBR-3042-2026-6-5</t>
  </si>
  <si>
    <t>260523102042150XVGnNvpw</t>
  </si>
  <si>
    <t>TMP-INV-2026/05/24/ 2779127 PULMOSOL Sanghiang RASA CREAMY VANILA DUS, 3 SACHET @ 50 G Tarik Barang Retur</t>
  </si>
  <si>
    <t>AWBR-3042-2026-6-5-01</t>
  </si>
  <si>
    <t>Pickup Return, wajib bawa form BA Return. Bilang ke Apotek “mau tarik barang”. Jika tidak ada barang, tulis keterangan “tidak ada barang retur” di form BA TMP-INV-2026/05/24/ 2779127 PULMOSOL Sanghiang RASA CREAMY VANILA DUS, 3 SACHET @ 50 G Tarik Barang Retur</t>
  </si>
  <si>
    <t>AWBR-11985-2026-6-5</t>
  </si>
  <si>
    <t>26053003261333wX9coi3QKu</t>
  </si>
  <si>
    <t>Apotek Nindya Jonggol Jonggol</t>
  </si>
  <si>
    <t>Jl. M. Bakri No. 9 Desa Jonggol Kecamatan Jonggol Kab. Bogor</t>
  </si>
  <si>
    <t>TMP-INV-2026/05/30/ 2799437 TRINORDIOL-28 Sunthi TABLET DUS, 2 BLISTER @ 28 TABLET SALUT GULA Tarik Barang Retur</t>
  </si>
  <si>
    <t>AWBR-11985-2026-6-5-01</t>
  </si>
  <si>
    <t>Pickup Return, wajib bawa form BA Return. Bilang ke Apotek “mau tarik barang”. Jika tidak ada barang, tulis keterangan “tidak ada barang retur” di form BA TMP-INV-2026/05/30/ 2799437 TRINORDIOL-28 Sunthi TABLET DUS, 2 BLISTER @ 28 TABLET SALUT GULA Tarik Barang Retur</t>
  </si>
  <si>
    <t>AWBR-8989-2026-6-5</t>
  </si>
  <si>
    <t>26052200474212lUPeN2KTER</t>
  </si>
  <si>
    <t>Apotek Plus Serpong Farma Babakan Setu</t>
  </si>
  <si>
    <t>Jl. Raya Pasar jengkol No. 63 Kel. Babakan Kec. Setu Kota Tangerang Selatan 15315</t>
  </si>
  <si>
    <t>TMP-INV-2026/05/22/ 2773843 AMARYL-M Aventis TABLET 1/250 MG DUS, 3 BLISTER @ 10 TABLET SALUT SELAPUT Tarik Barang Retur</t>
  </si>
  <si>
    <t>AWBR-8989-2026-6-5-01</t>
  </si>
  <si>
    <t>Pickup Return, wajib bawa form BA Return. Bilang ke Apotek “mau tarik barang”. Jika tidak ada barang, tulis keterangan “tidak ada barang retur” di form BA TMP-INV-2026/05/22/ 2773843 AMARYL-M Aventis TABLET 1/250 MG DUS, 3 BLISTER @ 10 TABLET SALUT SELAPUT Tarik Barang Retur</t>
  </si>
  <si>
    <t>AWBR-12466-2026-6-5</t>
  </si>
  <si>
    <t>26052603182168EQqHMjkrQ</t>
  </si>
  <si>
    <t>Apotek Sabi Pharma Bakti Jaya Setu</t>
  </si>
  <si>
    <t>Ruko Terrace Park Residence Blok A No. 19, Jl. AMD Babakan Pocis Kel. Bakti Jaya Kec. Setu Kota Tangerang Selatan</t>
  </si>
  <si>
    <t>TMP-INV-2026/05/26/ 2787298 PEPTISOL Sanghiang Perkasa FRENCH VANILLA DUS, ALUMINIUM FOIL 180 G (3 Sachet @ 60 g) Tarik Barang Retur</t>
  </si>
  <si>
    <t>AWBR-12466-2026-6-5-01</t>
  </si>
  <si>
    <t>Pickup Return, wajib bawa form BA Return. Bilang ke Apotek “mau tarik barang”. Jika tidak ada barang, tulis keterangan “tidak ada barang retur” di form BA TMP-INV-2026/05/26/ 2787298 PEPTISOL Sanghiang Perkasa FRENCH VANILLA DUS, ALUMINIUM FOIL 180 G (3 Sachet @ 60 g) Tarik Barang Retur</t>
  </si>
  <si>
    <t>AWBR-15708-2026-6-5</t>
  </si>
  <si>
    <t>260602032050786ScbnzoD2</t>
  </si>
  <si>
    <t>Apotek Sabi Pharma Cempaka Putih Ciputat Timur</t>
  </si>
  <si>
    <t>Jl. Raya Kompas No. 34 RT 01 RW 01 Kel. Pondok Ranji Kec. Ciputat Timur Kota Tangerang Selatan</t>
  </si>
  <si>
    <t>TMP-INV-2026/06/02/ 2808482 IMBOOST FORCE FCT+ Soho KAPLET DUS, 3 STRIP @ 10 KAPLET SALUT SELAPUT Tarik Barang Retur</t>
  </si>
  <si>
    <t>AWBR-15708-2026-6-5-01</t>
  </si>
  <si>
    <t>Pickup Return, wajib bawa form BA Return. Bilang ke Apotek “mau tarik barang”. Jika tidak ada barang, tulis keterangan “tidak ada barang retur” di form BA TMP-INV-2026/06/02/ 2808482 IMBOOST FORCE FCT+ Soho KAPLET DUS, 3 STRIP @ 10 KAPLET SALUT SELAPUT Tarik Barang Retur</t>
  </si>
  <si>
    <t>AWBR-2148-2026-6-5</t>
  </si>
  <si>
    <t>26052402322379bnQdTNbA54</t>
  </si>
  <si>
    <t>Apotek Salima Farma</t>
  </si>
  <si>
    <t>Jalan Pondok Ungu Permai Blok AM 1 No.3 RT 012 RW 012 Kelurahan Kaliabang Tengah Kecamatan Bekasi Utara Kota Bekasi 17125</t>
  </si>
  <si>
    <t>TMP-INV-2026/05/24/ 2779009 DISOLF Dexa Medica TABLET 490 MG DUS, 5 STRIP @ 6 TABLET SALUT ENTERIK Tarik Barang Retur</t>
  </si>
  <si>
    <t>AWBR-2148-2026-6-5-01</t>
  </si>
  <si>
    <t>Pickup Return, wajib bawa form BA Return. Bilang ke Apotek “mau tarik barang”. Jika tidak ada barang, tulis keterangan “tidak ada barang retur” di form BA TMP-INV-2026/05/24/ 2779009 DISOLF Dexa Medica TABLET 490 MG DUS, 5 STRIP @ 6 TABLET SALUT ENTERIK Tarik Barang Retur</t>
  </si>
  <si>
    <t>AWBR-1288-2026-6-5</t>
  </si>
  <si>
    <t>26060111545335HmmAHv2c</t>
  </si>
  <si>
    <t>TMP-INV-2026/06/02/ 2808444 DAFOXA Dexa TABLET DUS, 3 BLISTER @ 10 TABLET SALUT SELAPUT Tarik Barang Retur</t>
  </si>
  <si>
    <t>AWBR-1288-2026-6-5-01</t>
  </si>
  <si>
    <t>Pickup Return, wajib bawa form BA Return. Bilang ke Apotek “mau tarik barang”. Jika tidak ada barang, tulis keterangan “tidak ada barang retur” di form BA TMP-INV-2026/06/02/ 2808444 DAFOXA Dexa TABLET DUS, 3 BLISTER @ 10 TABLET SALUT SELAPUT Tarik Barang Retur</t>
  </si>
  <si>
    <t>AWBR-1149-2026-6-5</t>
  </si>
  <si>
    <t>26042408502408T0UxXAX3j</t>
  </si>
  <si>
    <t>Apotek Waras</t>
  </si>
  <si>
    <t>Jalan KH. Fudholi No.67 Desa Karang Asih Kecamatan Cikarang Utara Kabupaten Bekasi 17530</t>
  </si>
  <si>
    <t>TMP-INV-2026/04/25/ 2677925 PRIMOLUT N Bayer TABLET 5 MG DUS, 2 BLISTER @ 15 TABLET Tarik Barang Retur</t>
  </si>
  <si>
    <t>AWBR-1149-2026-6-5-01</t>
  </si>
  <si>
    <t>Pickup Return, wajib bawa form BA Return. Bilang ke Apotek “mau tarik barang”. Jika tidak ada barang, tulis keterangan “tidak ada barang retur” di form BA TMP-INV-2026/04/25/ 2677925 PRIMOLUT N Bayer TABLET 5 MG DUS, 2 BLISTER @ 15 TABLET Tarik Barang Retur</t>
  </si>
  <si>
    <t>AWBR-8423-2026-6-5</t>
  </si>
  <si>
    <t>26052400533712SG2sHWSej</t>
  </si>
  <si>
    <t>Apotek Zee33</t>
  </si>
  <si>
    <t>Jl. Damai PBSI No. 3D RT.011 RW 01, Desa/Kelurahan Cipayung, Kec. Cipayung, Kota Adm. Jakarta Timur,13840</t>
  </si>
  <si>
    <t>TMP-INV-2026/05/24/ 2779724 L-BIO CAP Lapi KAPSUL DUS, 2 BOTOL PLASTIK @ 15 KAPSUL Tarik Barang Retur</t>
  </si>
  <si>
    <t>AWBR-8423-2026-6-5-01</t>
  </si>
  <si>
    <t>Pickup Return, wajib bawa form BA Return. Bilang ke Apotek “mau tarik barang”. Jika tidak ada barang, tulis keterangan “tidak ada barang retur” di form BA TMP-INV-2026/05/24/ 2779724 L-BIO CAP Lapi KAPSUL DUS, 2 BOTOL PLASTIK @ 15 KAPSUL Tarik Barang Retur</t>
  </si>
  <si>
    <t>AWBR-16406-2026-5-26-1</t>
  </si>
  <si>
    <t>26051423081116NlRcmX6Kk</t>
  </si>
  <si>
    <t>Apotek Chiara Sukamulya Pagaden</t>
  </si>
  <si>
    <t>Jl. Pasar Inpres Pagaden RT 035 RW 009, Desa/Kelurahan Sukamulya, Kec. Pagaden, Kab. Subang</t>
  </si>
  <si>
    <t>TMP-INV-2026/05/15/ 2749386 KENSHIN Midix KAPLET DUS, 12 CATCH COVER @ STRIP @ 4 KAPLET Tarik Barang Retur</t>
  </si>
  <si>
    <t>AWBR-16406-2026-5-26-1-01</t>
  </si>
  <si>
    <t>Pickup Return, wajib bawa form BA Return. Bilang ke Apotek “mau tarik barang”. Jika tidak ada barang, tulis keterangan “tidak ada barang retur” di form BA TMP-INV-2026/05/15/ 2749386 KENSHIN Midix KAPLET DUS, 12 CATCH COVER @ STRIP @ 4 KAPLET Tarik Barang Retur TMP-INV-2026/05/15/ 2749386 KENSHIN Midix KAPLET DUS, 12 CATCH COVER @ STRIP @ 4 KAPLET Tarik Barang Retur TMP-INV-2026/05/15/ 2749386 KENSHIN Midix KAPLET DUS, 12 CATCH COVER @ STRIP @ 4 KAPLET Tarik Barang Retur</t>
  </si>
  <si>
    <t>AWBR-4645-2026-5-26-1</t>
  </si>
  <si>
    <t>26033113224426Tcow4czGh</t>
  </si>
  <si>
    <t>Apotek Joglo Farma</t>
  </si>
  <si>
    <t>Jl. Mariwati No. 5 Kp. Joglo Desa Cibadak, Kecamatan. Sukaresmi, Kabupaten. Cianjur</t>
  </si>
  <si>
    <t>TMP-INV-2026/04/01/ 2590657 Semua Barang di Faktur TMP-INV-2026/04/01/ 2590657 Tarik Barang Retur</t>
  </si>
  <si>
    <t>AWBR-4645-2026-5-26-1-01</t>
  </si>
  <si>
    <t>Pickup Return, wajib bawa form BA Return. Bilang ke Apotek “mau tarik barang”. Jika tidak ada barang, tulis keterangan “tidak ada barang retur” di form BA TMP-INV-2026/04/01/ 2590657 Semua Barang di Faktur TMP-INV-2026/04/01/ 2590657 Tarik Barang Retur TMP-INV-2026/04/01/ 2590657 Semua Barang di Faktur TMP-INV-2026/04/01/ 2590657 Tarik Barang Retur TMP-INV-2026/04/01/ 2590657 Semua Barang di Faktur TMP-INV-2026/04/01/ 2590657 Tarik Barang Retur</t>
  </si>
  <si>
    <t>AWBR-17105-2026-5-26-1</t>
  </si>
  <si>
    <t>26051210395345qMiwP1cox</t>
  </si>
  <si>
    <t>Apotek Lestari Medika Utama Cisaga Cisaga</t>
  </si>
  <si>
    <t>Jalan Cisaga -Rancah RT 001 RW 001, Desa/Kelurahan Cisaga,Kec. Cisaga, Kab. Ciamis</t>
  </si>
  <si>
    <t>TMP-INV-2026/05/13/ 2743349 MEDISIO Faratu 36 % DUS, 1 BOTOL PLASIK @ 10 ML Tarik Barang Retur</t>
  </si>
  <si>
    <t>AWBR-17105-2026-5-26-1-01</t>
  </si>
  <si>
    <t>Pickup Return, wajib bawa form BA Return. Bilang ke Apotek “mau tarik barang”. Jika tidak ada barang, tulis keterangan “tidak ada barang retur” di form BA TMP-INV-2026/05/13/ 2743349 MEDISIO Faratu 36 % DUS, 1 BOTOL PLASIK @ 10 ML Tarik Barang Retur TMP-INV-2026/05/13/ 2743349 MEDISIO Faratu 36 % DUS, 1 BOTOL PLASIK @ 10 ML Tarik Barang Retur TMP-INV-2026/05/13/ 2743349 MEDISIO Faratu 36 % DUS, 1 BOTOL PLASIK @ 10 ML Tarik Barang Retur</t>
  </si>
  <si>
    <t>AWBR-16838-2026-5-26-1</t>
  </si>
  <si>
    <t>26040806083140BLygcLkVGb</t>
  </si>
  <si>
    <t>Apotek Penuai Sindanglaya Cipanas</t>
  </si>
  <si>
    <t>Jl. Raya Cipanas RT 001 RW 011 Desa Cipendawa Kec. Pacet Kab Cianjur</t>
  </si>
  <si>
    <t>TMP-INV-2026/04/09/ 2620193 / TMP-INV-2026/04/09/ 2620215 BIOPLACENTON Kalbe GEL DUS, 1 TUBE @ 15 G / BYEBYE-FEVER ANAK Hisamitsu PLESTER KOMPRES DEMAM DUS, 10 LEMBAR Tarik Barang Retur</t>
  </si>
  <si>
    <t>AWBR-16838-2026-5-26-1-01</t>
  </si>
  <si>
    <t>Pickup Return, wajib bawa form BA Return. Bilang ke Apotek “mau tarik barang”. Jika tidak ada barang, tulis keterangan “tidak ada barang retur” di form BA TMP-INV-2026/04/09/ 2620193 / TMP-INV-2026/04/09/ 2620215 BIOPLACENTON Kalbe GEL DUS, 1 TUBE @ 15 G / BYEBYE-FEVER ANAK Hisamitsu PLESTER KOMPRES DEMAM DUS, 10 LEMBAR Tarik Barang Retur TMP-INV-2026/04/09/ 2620193 / TMP-INV-2026/04/09/ 2620215 BIOPLACENTON Kalbe GEL DUS, 1 TUBE @ 15 G / BYEBYE-FEVER ANAK Hisamitsu PLESTER KOMPRES DEMAM DUS, 10 LEMBAR Tarik Barang Retur TMP-INV-2026/04/09/ 2620193 / TMP-INV-2026/04/09/ 2620215 BIOPLACENTON Kalbe GEL DUS, 1 TUBE @ 15 G / BYEBYE-FEVER ANAK Hisamitsu PLESTER KOMPRES DEMAM DUS, 10 LEMBAR Tarik Barang Retur</t>
  </si>
  <si>
    <t>AWBR-17037-2026-5-26-1</t>
  </si>
  <si>
    <t>260513010617071MeqqubpOw</t>
  </si>
  <si>
    <t>Apotek Sabi Pharma Palabuhanratu Palabuhanratu</t>
  </si>
  <si>
    <t>Jl. Raya Cangehgar No.2, RT.002/RW.003 Kp. Cangehgar Desa Palabuhanratu, Kec. Pelabuhanratu, Kabupaten Sukabumi</t>
  </si>
  <si>
    <t>TMP-INV-2026/05/13/ 2743106 SP TROCHES Meiji TABLET HISAP RASA STRAWBERRY AMPLOP @ 1 BLISTER @ 6 TABLET HISAP Tarik Barang Retur</t>
  </si>
  <si>
    <t>AWBR-17037-2026-5-26-1-01</t>
  </si>
  <si>
    <t>Pickup Return, wajib bawa form BA Return. Bilang ke Apotek “mau tarik barang”. Jika tidak ada barang, tulis keterangan “tidak ada barang retur” di form BA TMP-INV-2026/05/13/ 2743106 SP TROCHES Meiji TABLET HISAP RASA STRAWBERRY AMPLOP @ 1 BLISTER @ 6 TABLET HISAP Tarik Barang Retur TMP-INV-2026/05/13/ 2743106 SP TROCHES Meiji TABLET HISAP RASA STRAWBERRY AMPLOP @ 1 BLISTER @ 6 TABLET HISAP Tarik Barang Retur TMP-INV-2026/05/13/ 2743106 SP TROCHES Meiji TABLET HISAP RASA STRAWBERRY AMPLOP @ 1 BLISTER @ 6 TABLET HISAP Tarik Barang Retur</t>
  </si>
  <si>
    <t>AWBR-16009-2026-5-23</t>
  </si>
  <si>
    <t>26050408090871H5p2r5yxg</t>
  </si>
  <si>
    <t>TMP-INV-2026/05/05/ 2712518 / IMBOOST FORCE ULTIMATE Soho KAPLET DUS, 3 STRIP @ 10 KAPLET SALUT SELAPUT / Tarik Barang Retur</t>
  </si>
  <si>
    <t>AWBR-16009-2026-5-23-01</t>
  </si>
  <si>
    <t>Pickup Return, wajib bawa form BA Return. Bilang ke Apotek “mau tarik barang”. Jika tidak ada barang, tulis keterangan “tidak ada barang retur” di form BA TMP-INV-2026/05/05/ 2712518 / IMBOOST FORCE ULTIMATE Soho KAPLET DUS, 3 STRIP @ 10 KAPLET SALUT SELAPUT / Tarik Barang Retur</t>
  </si>
  <si>
    <t>AWBR-4627-2026-5-21</t>
  </si>
  <si>
    <t>Apotek Pawanta Kalibaruwetan Kalibaru</t>
  </si>
  <si>
    <t>Dusun Tegalpakis RT. 004 RW. 004, Desa Kalibaru Wetan, Kecamatan Kalibaru,Kabupaten Banyuwangi,Jawa Timur, 68467</t>
  </si>
  <si>
    <t>TMP-INV-2026/04/13/ 2633219 - TOLAK ANGIN BATUK Sido Muncul - Tarik Barang Lebih</t>
  </si>
  <si>
    <t>AWBR-4627-2026-5-21-01</t>
  </si>
  <si>
    <t>Pickup Return, wajib bawa form BA Return. Bilang ke Apotek “mau tarik barang”. Jika tidak ada barang, tulis keterangan “tidak ada barang retur” di form BA TMP-INV-2026/04/13/ 2633219 - TOLAK ANGIN BATUK Sido Muncul - Tarik Barang Lebih</t>
  </si>
  <si>
    <t>AWBR-1040-2026-6-6</t>
  </si>
  <si>
    <t>2605270646534683oPzgR6B</t>
  </si>
  <si>
    <t>Apotek Bahagia 1040</t>
  </si>
  <si>
    <t>Perum Pondok Ungu Permai Sektor V Blok E1 No.17A Kelurahan Bahagia Kecamatan Babelan Bekasi 17610</t>
  </si>
  <si>
    <t>TMP-INV-2026/05/27/ 2789869 NEPHROLIT Kalbe KAPSUL DUS, 20 STRIP @ 5 KAPSUL / XENICAL Tunggal Idaman KAPSUL 120 MG DUS, 1 BLISTER @ 21 KAPSUL Tarik Barang Retur</t>
  </si>
  <si>
    <t>AWBR-1040-2026-6-6-01</t>
  </si>
  <si>
    <t>Pickup Return, wajib bawa form BA Return. Bilang ke Apotek “mau tarik barang”. Jika tidak ada barang, tulis keterangan “tidak ada barang retur” di form BA TMP-INV-2026/05/27/ 2789869 NEPHROLIT Kalbe KAPSUL DUS, 20 STRIP @ 5 KAPSUL / XENICAL Tunggal Idaman KAPSUL 120 MG DUS, 1 BLISTER @ 21 KAPSUL Tarik Barang Retur</t>
  </si>
  <si>
    <t>AWBR-7207-2026-6-6</t>
  </si>
  <si>
    <t>26041315220171wI6ixqa73</t>
  </si>
  <si>
    <t>Apotek Cemerlang Farma</t>
  </si>
  <si>
    <t>Jl. Buwek Raya No. 94 RT 003/RW 022 Desa Sumberjaya, Kec. Tambun Selatan, Kabupaten Bekasi</t>
  </si>
  <si>
    <t>TMP-INV-2026/04/14/ 2635278 DETTOL ANTISEPTIK CAIR BOTOL 245 ML Tarik Barang Damaged</t>
  </si>
  <si>
    <t>AWBR-7207-2026-6-6-01</t>
  </si>
  <si>
    <t>Pickup Return, wajib bawa form BA Return. Bilang ke Apotek “mau tarik barang”. Jika tidak ada barang, tulis keterangan “tidak ada barang retur” di form BA TMP-INV-2026/04/14/ 2635278 DETTOL ANTISEPTIK CAIR BOTOL 245 ML Tarik Barang Damaged</t>
  </si>
  <si>
    <t>AWBR-10645-2026-6-6</t>
  </si>
  <si>
    <t>26051309064050LfprE0Jh</t>
  </si>
  <si>
    <t>TMP-INV-2026/05/14/ 2743793 DULCOLAX Boehringer SUPPOSITORIA 5 MG DUS, 1 STRIP @ 6 SUPPOSITORIA Tarik Barang Damaged</t>
  </si>
  <si>
    <t>AWBR-10645-2026-6-6-01</t>
  </si>
  <si>
    <t>Pickup Return, wajib bawa form BA Return. Bilang ke Apotek “mau tarik barang”. Jika tidak ada barang, tulis keterangan “tidak ada barang retur” di form BA TMP-INV-2026/05/14/ 2743793 DULCOLAX Boehringer SUPPOSITORIA 5 MG DUS, 1 STRIP @ 6 SUPPOSITORIA Tarik Barang Damaged</t>
  </si>
  <si>
    <t>AWBR-11223-2026-6-6</t>
  </si>
  <si>
    <t>260422103851883eOqp8a9b</t>
  </si>
  <si>
    <t>Apotek Jivaka Kalijaya Cikarang Barat</t>
  </si>
  <si>
    <t>Kp. Cikarang Poncol RT 03 RW 05 Desa/Kel. Kalijaya, Kec. Cikarang Barat, Kab. Bekasi, 17530</t>
  </si>
  <si>
    <t>TMP-INV-2026/04/23/ 2667611 Tarik Form Retur</t>
  </si>
  <si>
    <t>AWBR-11223-2026-6-6-01</t>
  </si>
  <si>
    <t>Pickup Return, wajib bawa form BA Return. Bilang ke Apotek “mau tarik barang”. Jika tidak ada barang, tulis keterangan “tidak ada barang retur” di form BA TMP-INV-2026/04/23/ 2667611 Tarik Form Retur</t>
  </si>
  <si>
    <t>AWBR-8946-2026-6-6</t>
  </si>
  <si>
    <t>24050413230897IDQGiWFoA</t>
  </si>
  <si>
    <t>Apotek JS Apotek 2 Kelapa Dua Wetan Ciracas inactive</t>
  </si>
  <si>
    <t>Jalan Raya Kelapa Dua Wetan, Kel. Kelapa Dua Wetan, Kec. Ciracas, Kota Jakarta Timur, DKI Jakarta 13720</t>
  </si>
  <si>
    <t>TMP-INV-2024/05/05/ 764117 FIESTA INTIM WARM GEL Dkt DUS, TUBE 70 ML Tarik Barang Retur</t>
  </si>
  <si>
    <t>AWBR-8946-2026-6-6-01</t>
  </si>
  <si>
    <t>Pickup Return, wajib bawa form BA Return. Bilang ke Apotek “mau tarik barang”. Jika tidak ada barang, tulis keterangan “tidak ada barang retur” di form BA TMP-INV-2024/05/05/ 764117 FIESTA INTIM WARM GEL Dkt DUS, TUBE 70 ML Tarik Barang Retur</t>
  </si>
  <si>
    <t>AWBR-10700-2026-6-6</t>
  </si>
  <si>
    <t>26050603424749YfmtBJSBb</t>
  </si>
  <si>
    <t>TMP-INV-2026/05/06/ 2715985 / TMP-INV-2026/05/18/ 2756619 ALPENTIN Actavis KAPSUL 100 MG DUS, 5 BLISTER @ 10 KAPSUL / TRINORDIOL-28 Sunthi TABLET DUS, 2 BLISTER @ 28 TABLET SALUT GULA / INCIDAL-OD Bayer KAPSUL DUS, 1 STRIP @ 4 KAPSUL Tarik Barang Retur</t>
  </si>
  <si>
    <t>AWBR-10700-2026-6-6-01</t>
  </si>
  <si>
    <t>Pickup Return, wajib bawa form BA Return. Bilang ke Apotek “mau tarik barang”. Jika tidak ada barang, tulis keterangan “tidak ada barang retur” di form BA TMP-INV-2026/05/06/ 2715985 / TMP-INV-2026/05/18/ 2756619 ALPENTIN Actavis KAPSUL 100 MG DUS, 5 BLISTER @ 10 KAPSUL / TRINORDIOL-28 Sunthi TABLET DUS, 2 BLISTER @ 28 TABLET SALUT GULA / INCIDAL-OD Bayer KAPSUL DUS, 1 STRIP @ 4 KAPSUL Tarik Barang Retur</t>
  </si>
  <si>
    <t>AWBR-9208-2026-6-6</t>
  </si>
  <si>
    <t>26051004515031AKLLf4PVdJ</t>
  </si>
  <si>
    <t>Apotek Kalilicin Rangkapan Jaya Pancoran Mas</t>
  </si>
  <si>
    <t>Ruko Rangkapan Jaya No 02-03, Kel. Rangkapan Jaya, Kec. Pancoran Mas, Kota Depok 16435</t>
  </si>
  <si>
    <t>TMP-INV-2026/05/10/ 2730572/ TMP-INV-2026/05/12/ 2738592 FENRIS Interbat SUSPENSI DUS, BOTOL 60 ML / TRINORDIOL-28 Sunthi TABLET DUS, 2 BLISTER @ 28 TABLET SALUT GULA Tarik Barang Retur</t>
  </si>
  <si>
    <t>AWBR-9208-2026-6-6-01</t>
  </si>
  <si>
    <t>Pickup Return, wajib bawa form BA Return. Bilang ke Apotek “mau tarik barang”. Jika tidak ada barang, tulis keterangan “tidak ada barang retur” di form BA TMP-INV-2026/05/10/ 2730572/ TMP-INV-2026/05/12/ 2738592 FENRIS Interbat SUSPENSI DUS, BOTOL 60 ML / TRINORDIOL-28 Sunthi TABLET DUS, 2 BLISTER @ 28 TABLET SALUT GULA Tarik Barang Retur</t>
  </si>
  <si>
    <t>AWBR-1032-2026-6-6</t>
  </si>
  <si>
    <t>26052604582364HxU8b6JWO</t>
  </si>
  <si>
    <t>Apotek Mitra Ciracas</t>
  </si>
  <si>
    <t>Jalan Centex No.85 RT 002 RW 003 Kelurahan Ciracas Kecamatan Ciracas Jakarta Timur 13740</t>
  </si>
  <si>
    <t>TMP-INV-2026/05/27/ 2789466 LISINOPRIL DIHYDRATE Bernofarm TABLET 5 MG DUS, 10 STRIP @ 10 TABLET Tarik Barang Retur</t>
  </si>
  <si>
    <t>AWBR-1032-2026-6-6-01</t>
  </si>
  <si>
    <t>Pickup Return, wajib bawa form BA Return. Bilang ke Apotek “mau tarik barang”. Jika tidak ada barang, tulis keterangan “tidak ada barang retur” di form BA TMP-INV-2026/05/27/ 2789466 LISINOPRIL DIHYDRATE Bernofarm TABLET 5 MG DUS, 10 STRIP @ 10 TABLET Tarik Barang Retur</t>
  </si>
  <si>
    <t>AWBR-990-2026-6-6</t>
  </si>
  <si>
    <t>26053005191270q0MptT3urd</t>
  </si>
  <si>
    <t>Apotek Nurhikmah</t>
  </si>
  <si>
    <t>Jalan Raya Parung No.576 RT 001 RW 006 Desa Parung Kecamatan Parung Kabupaten Bogor Bogor 16330</t>
  </si>
  <si>
    <t>TMP-INV-2026/06/01/ 2804645 COOL-VITA HEALTHY SKIN COLLAGEN+VITAMIN C TUBE PLASTIK @ 10 TABLET EFFERVESCENT Tarik Barang Retur</t>
  </si>
  <si>
    <t>AWBR-990-2026-6-6-01</t>
  </si>
  <si>
    <t>Pickup Return, wajib bawa form BA Return. Bilang ke Apotek “mau tarik barang”. Jika tidak ada barang, tulis keterangan “tidak ada barang retur” di form BA TMP-INV-2026/06/01/ 2804645 COOL-VITA HEALTHY SKIN COLLAGEN+VITAMIN C TUBE PLASTIK @ 10 TABLET EFFERVESCENT Tarik Barang Retur</t>
  </si>
  <si>
    <t>AWBR-9487-2026-6-6</t>
  </si>
  <si>
    <t>25062600185726E9LZExBQQC</t>
  </si>
  <si>
    <t>TMP-INV-2025/06/26/ 1688745 BLACKMORES FISH OIL MINI CAPS ODOURLESS Kalbe KAPSUL BOTOL KACA @ 90 KAPSUL LUNAK Tarik Barang Retur</t>
  </si>
  <si>
    <t>AWBR-9487-2026-6-6-01</t>
  </si>
  <si>
    <t>Pickup Return, wajib bawa form BA Return. Bilang ke Apotek “mau tarik barang”. Jika tidak ada barang, tulis keterangan “tidak ada barang retur” di form BA TMP-INV-2025/06/26/ 1688745 BLACKMORES FISH OIL MINI CAPS ODOURLESS Kalbe KAPSUL BOTOL KACA @ 90 KAPSUL LUNAK Tarik Barang Retur</t>
  </si>
  <si>
    <t>AWBR-7723-2026-4-17-SR</t>
  </si>
  <si>
    <t>26040401425304kPK4ItymUi</t>
  </si>
  <si>
    <t>Apotek Haka Farma</t>
  </si>
  <si>
    <t>Jl. Telaga asih No. 08 RT 01 RW 01 Desa Telaga Asih, Kec. Cikarang Barat Kab. Bekasi 17520</t>
  </si>
  <si>
    <t>FUFANG E JIAO ORAL SOLUTION DUS, 8 BOTOL KACA @ 20 ML ( 1 ) Tarik Barang Retur</t>
  </si>
  <si>
    <t>AWBR-7723-2026-4-17-SR-01</t>
  </si>
  <si>
    <t>Pickup Return, wajib bawa form BA Return. Bilang ke Apotek “mau tarik barang”. Jika tidak ada barang, tulis keterangan “tidak ada barang retur” di form BA FUFANG E JIAO ORAL SOLUTION DUS, 8 BOTOL KACA @ 20 ML ( 1 ) Tarik Barang Retur</t>
  </si>
  <si>
    <t>AWBR-850-2026-2-10-SR-1</t>
  </si>
  <si>
    <t>BIO-OIL Radiant Body Lotion DUS, BOTOL 175 ML ( 1 ) Tarik Barang Retur</t>
  </si>
  <si>
    <t>AWBR-850-2026-2-10-SR-1-01</t>
  </si>
  <si>
    <t>Pickup Return, wajib bawa form BA Return. Bilang ke Apotek “mau tarik barang”. Jika tidak ada barang, tulis keterangan “tidak ada barang retur” di form BA BIO-OIL Radiant Body Lotion DUS, BOTOL 175 ML ( 1 ) Tarik Barang Retur</t>
  </si>
  <si>
    <t>AWBR-15825-2026-4-24-SR</t>
  </si>
  <si>
    <t>25110404205461GN7qe8ABk</t>
  </si>
  <si>
    <t>Apotek MMK24 Abadi Jaya Sukmajaya</t>
  </si>
  <si>
    <t>Jl. Kejayaan Blok 10 No. 10, Desa/Kelurahan Abadi Jaya, Kec.Sukmajaya, Kota Depok,</t>
  </si>
  <si>
    <t>REDOXON FORTIMUN Bayer TABLET EFFERVESCENT DUS, TUBE @ 10 TABLET EFFERVESCENT ( 1 ) Tarik Barang Retur</t>
  </si>
  <si>
    <t>AWBR-15825-2026-4-24-SR-01</t>
  </si>
  <si>
    <t>Pickup Return, wajib bawa form BA Return. Bilang ke Apotek “mau tarik barang”. Jika tidak ada barang, tulis keterangan “tidak ada barang retur” di form BA REDOXON FORTIMUN Bayer TABLET EFFERVESCENT DUS, TUBE @ 10 TABLET EFFERVESCENT ( 1 ) Tarik Barang Retur</t>
  </si>
  <si>
    <t>AWBR-15825-2026-4-25-SR</t>
  </si>
  <si>
    <t>251105054313146VUv03RgXN</t>
  </si>
  <si>
    <t>REDOXON FORTIMUN Bayer TABLET EFFERVESCENT DUS, TUBE @ 10 TABLET EFFERVESCENT ( 2 ) Tarik Barang Retur</t>
  </si>
  <si>
    <t>AWBR-15825-2026-4-25-SR-01</t>
  </si>
  <si>
    <t>Pickup Return, wajib bawa form BA Return. Bilang ke Apotek “mau tarik barang”. Jika tidak ada barang, tulis keterangan “tidak ada barang retur” di form BA REDOXON FORTIMUN Bayer TABLET EFFERVESCENT DUS, TUBE @ 10 TABLET EFFERVESCENT ( 2 ) Tarik Barang Retur</t>
  </si>
  <si>
    <t>AWBR-290-2026-6-2-SR</t>
  </si>
  <si>
    <t>26042803170257oUpb9iOLk</t>
  </si>
  <si>
    <t>Apotek Satya Esy</t>
  </si>
  <si>
    <t>Jl. HOS Cokroaminoto No. 46 D, Kelurahan Karang Tengah, Kecamatan Karang Tengah, Tangerang, Banten 15157</t>
  </si>
  <si>
    <t>Semua Barang pada Nomor Faktur TMP-INV-2026/04/29/ 2690320 Tarik Barang Damaged</t>
  </si>
  <si>
    <t>AWBR-290-2026-6-2-SR-01</t>
  </si>
  <si>
    <t>Pickup Return, wajib bawa form BA Return. Bilang ke Apotek “mau tarik barang”. Jika tidak ada barang, tulis keterangan “tidak ada barang retur” di form BA Semua Barang pada Nomor Faktur TMP-INV-2026/04/29/ 2690320 Tarik Barang Damaged</t>
  </si>
  <si>
    <t>AWBR-7659-2026-4-18-SR</t>
  </si>
  <si>
    <t>26040603445286nRZqLpXAIA</t>
  </si>
  <si>
    <t>Apotek Unggul Jaya</t>
  </si>
  <si>
    <t>Kp. Kadu RT/RW 001/001 Kel. Kadu, Kec. Curug, Kab. Tangerang 15810</t>
  </si>
  <si>
    <t>JANUMET MSD TABLET 50/500 MG DUS, 4 BLISTER @ 7 TABLET SALUT SELAPUT ( 1 ) Tarik Barang Retur</t>
  </si>
  <si>
    <t>AWBR-7659-2026-4-18-SR-01</t>
  </si>
  <si>
    <t>Pickup Return, wajib bawa form BA Return. Bilang ke Apotek “mau tarik barang”. Jika tidak ada barang, tulis keterangan “tidak ada barang retur” di form BA JANUMET MSD TABLET 50/500 MG DUS, 4 BLISTER @ 7 TABLET SALUT SELAPUT ( 1 ) Tarik Barang Retur</t>
  </si>
  <si>
    <t>AWBR-1267-2026-6-7</t>
  </si>
  <si>
    <t>26060123364373BSQshj8j45</t>
  </si>
  <si>
    <t>Apotek 23 Plus</t>
  </si>
  <si>
    <t>Jalan Kampung Sawah No.93 RT 03/02 Kelurahan Jatimurni Kecamatan Pondok Melati Kota Bekasi 17431</t>
  </si>
  <si>
    <t>TMP-INV-2026/06/02/ 2809156 / TMP-INV-2026/06/02/ 2809145 SHEN NONG SHI DIE DA YAO JING Saras subur DUS, BOTOL @ 30 ML Tarik Barang Retur</t>
  </si>
  <si>
    <t>AWBR-1267-2026-6-7-01</t>
  </si>
  <si>
    <t>Pickup Return, wajib bawa form BA Return. Bilang ke Apotek “mau tarik barang”. Jika tidak ada barang, tulis keterangan “tidak ada barang retur” di form BA TMP-INV-2026/06/02/ 2809156 / TMP-INV-2026/06/02/ 2809145 SHEN NONG SHI DIE DA YAO JING Saras subur DUS, BOTOL @ 30 ML Tarik Barang Retur</t>
  </si>
  <si>
    <t>AWBR-2288-2026-6-7</t>
  </si>
  <si>
    <t>AWBR-2288-2026-6-7-01</t>
  </si>
  <si>
    <t>Pickup Return, wajib bawa form BA Return. Bilang ke Apotek “mau tarik barang”. Jika tidak ada barang, tulis keterangan “tidak ada barang retur” di form BA TMP-INV-2026/05/29/ 2796206 / TMP-INV-2026/05/29/ 2796204 HANSAPLAST KAIN ELASTIS JUMBO Beiersdorf DUS, 50 LEMBAR (32 x 65 mm) / BALSEM LANG Eagle Indo DUS, POT KACA @ 40 G Tarik Barang Retur</t>
  </si>
  <si>
    <t>AWBR-11890-2026-6-7</t>
  </si>
  <si>
    <t>26060206140918MbTWyGtIh</t>
  </si>
  <si>
    <t>Apotek Bintang Semesta Glodok Taman Sari</t>
  </si>
  <si>
    <t>Jl. Pancoran Raya No. 27, RT 008 RW 002 Kel. Glodok Kec. Taman Sari, Kota Jakarta Barat</t>
  </si>
  <si>
    <t>TMP-INV-2026/06/03/ 2812233 REMABREX Kalbe KAPSUL 100 MG DUS, 3 BLISTER @ 10 KAPSUL Tarik Barang Retur</t>
  </si>
  <si>
    <t>AWBR-11890-2026-6-7-01</t>
  </si>
  <si>
    <t>Pickup Return, wajib bawa form BA Return. Bilang ke Apotek “mau tarik barang”. Jika tidak ada barang, tulis keterangan “tidak ada barang retur” di form BA TMP-INV-2026/06/03/ 2812233 REMABREX Kalbe KAPSUL 100 MG DUS, 3 BLISTER @ 10 KAPSUL Tarik Barang Retur</t>
  </si>
  <si>
    <t>AWBR-10912-2026-6-7</t>
  </si>
  <si>
    <t>24121621453500Vur7Cdnph</t>
  </si>
  <si>
    <t>TMP-INV-2024/12/17/ 1212681 DICLOFENAC POTASSIUM Nulab TABLET 25 MG DUS, 10 BLISTER @ 10 TABLET SALUT SELAPUT Tarik Barang Retur</t>
  </si>
  <si>
    <t>AWBR-10912-2026-6-7-01</t>
  </si>
  <si>
    <t>Pickup Return, wajib bawa form BA Return. Bilang ke Apotek “mau tarik barang”. Jika tidak ada barang, tulis keterangan “tidak ada barang retur” di form BA TMP-INV-2024/12/17/ 1212681 DICLOFENAC POTASSIUM Nulab TABLET 25 MG DUS, 10 BLISTER @ 10 TABLET SALUT SELAPUT Tarik Barang Retur</t>
  </si>
  <si>
    <t>AWBR-11080-2026-6-7</t>
  </si>
  <si>
    <t>26052815512860uihG7JjOe</t>
  </si>
  <si>
    <t>Apotek Efata Medika Cempaka Putih Ciputat Timur</t>
  </si>
  <si>
    <t>Jalan Insinyur Haji Juanda No. 67A, Desa/Kelurahan Cempaka Putih Kec. Ciputat Timur Kota Tangerang Selatan, 15412</t>
  </si>
  <si>
    <t>TMP-INV-2026/05/29/ 2796212 GANDAPURA Ika MINYAK GOSOK BOTOL 60 ML Tarik Barang Damaged</t>
  </si>
  <si>
    <t>AWBR-11080-2026-6-7-01</t>
  </si>
  <si>
    <t>Pickup Return, wajib bawa form BA Return. Bilang ke Apotek “mau tarik barang”. Jika tidak ada barang, tulis keterangan “tidak ada barang retur” di form BA TMP-INV-2026/05/29/ 2796212 GANDAPURA Ika MINYAK GOSOK BOTOL 60 ML Tarik Barang Damaged</t>
  </si>
  <si>
    <t>AWBR-11472-2026-6-7</t>
  </si>
  <si>
    <t>260427034121659HbIH2xgf</t>
  </si>
  <si>
    <t>TMP-INV-2026/04/27/ 2681985 SERETIDE DISKUS Gsk SERBUK INHALER 50/500 MCG DUS, 1 DISKUS @ 60 INHALASI Tarik Barang Damaged</t>
  </si>
  <si>
    <t>AWBR-11472-2026-6-7-01</t>
  </si>
  <si>
    <t>Pickup Return, wajib bawa form BA Return. Bilang ke Apotek “mau tarik barang”. Jika tidak ada barang, tulis keterangan “tidak ada barang retur” di form BA TMP-INV-2026/04/27/ 2681985 SERETIDE DISKUS Gsk SERBUK INHALER 50/500 MCG DUS, 1 DISKUS @ 60 INHALASI Tarik Barang Damaged</t>
  </si>
  <si>
    <t>AWBR-1629-2026-6-7</t>
  </si>
  <si>
    <t>26060204092888O8fhJqbk1</t>
  </si>
  <si>
    <t>Apotek Kombi Pondok Kelapa</t>
  </si>
  <si>
    <t>Jalan Raya Pondok Kelapa PTB Blok A8 No.2 RT 002 RW 004 Kelurahan Pondok Kelapa Keca,atan Duren Sawit Jakarta Timur 13450</t>
  </si>
  <si>
    <t>TMP-INV-2026/06/03/ 2812555 ANDALAN LAKTASI Sydna Farma TABLET 0.5 MG DUS, 30 AMPLOP @ 1 BLISTER @ 28 TABLET Tarik Barang Retur</t>
  </si>
  <si>
    <t>AWBR-1629-2026-6-7-01</t>
  </si>
  <si>
    <t>Pickup Return, wajib bawa form BA Return. Bilang ke Apotek “mau tarik barang”. Jika tidak ada barang, tulis keterangan “tidak ada barang retur” di form BA TMP-INV-2026/06/03/ 2812555 ANDALAN LAKTASI Sydna Farma TABLET 0.5 MG DUS, 30 AMPLOP @ 1 BLISTER @ 28 TABLET Tarik Barang Retur</t>
  </si>
  <si>
    <t>AWBR-11128-2026-6-7</t>
  </si>
  <si>
    <t>24120519152304u0wD8nM</t>
  </si>
  <si>
    <t>Apotek Lee Pharmacy Kelapa Gading Timur Kelapa Gading</t>
  </si>
  <si>
    <t>Jalan Boulevard Raya Blok LB1/25,Desa/Kelurahan Kelapa Gading Timur,Kecamatan Kelapa Gading,kota Adm. Jakarta Utara,DKI Jakarta,14240</t>
  </si>
  <si>
    <t>TMP-INV-2024/12/06/ 1187207 NECIBLOK Dankos SUSPENSI DUS, BOTOL 100 ML Tarik Barang Retur</t>
  </si>
  <si>
    <t>AWBR-11128-2026-6-7-01</t>
  </si>
  <si>
    <t>Pickup Return, wajib bawa form BA Return. Bilang ke Apotek “mau tarik barang”. Jika tidak ada barang, tulis keterangan “tidak ada barang retur” di form BA TMP-INV-2024/12/06/ 1187207 NECIBLOK Dankos SUSPENSI DUS, BOTOL 100 ML Tarik Barang Retur</t>
  </si>
  <si>
    <t>AWBR-10825-2026-6-7</t>
  </si>
  <si>
    <t>250123035434861A2yZjAKo</t>
  </si>
  <si>
    <t>Apotek Lestari Farma Lubang Buaya Cipayung</t>
  </si>
  <si>
    <t>Jalan Raya Pondok Gede, RT 004, RW 008, No.4A,Kel. Lubang Buaya Kec. Cipayung, Kota Adm. Jakarta Timur 13810</t>
  </si>
  <si>
    <t>TMP-INV-2025/01/23/ 1300249 FITKOM MULTIVITAMIN (RASA STRAWBERRY) Soho TABLET BOTOL PLASTIK @ 21 TABLET HISAP Tarik Barang Retur</t>
  </si>
  <si>
    <t>AWBR-10825-2026-6-7-01</t>
  </si>
  <si>
    <t>Pickup Return, wajib bawa form BA Return. Bilang ke Apotek “mau tarik barang”. Jika tidak ada barang, tulis keterangan “tidak ada barang retur” di form BA TMP-INV-2025/01/23/ 1300249 FITKOM MULTIVITAMIN (RASA STRAWBERRY) Soho TABLET BOTOL PLASTIK @ 21 TABLET HISAP Tarik Barang Retur</t>
  </si>
  <si>
    <t>AWBR-334-2026-6-7</t>
  </si>
  <si>
    <t>260531035414988sPkHj9yK</t>
  </si>
  <si>
    <t>TMP-INV-2026/06/01/ 2804868 / TMP-INV-2026/06/02/ 2809176 
ASTHIN FORCE 12 Soho KAPSUL DUS, 2 STRIP @ 10 KAPSUL
ASTHIN FORCE 6 Soho KAPSUL DUS, 2 STRIP @ 10 KAPSUL
CAL-95 Lapi KAPLET DUS, 5 STRIP @ 6 KAPLET SALUT SELAPUT
L-VIT D3 5000 Lapi TABLET DUS, 3 BLISTER @ 10 TABLET SALUT SELAPUT
HUFAGRIPP DEMAM Hufa KAPLET 500 MG DUS, 10 AMPLOP @ 1 STRIP @ 10 KAPLET
NASONEX Organon SEMPROT HIDUNG 50 MCG/DOSIS DUS, 1 BOTOL PLASTIK @ 60 DOSIS
 Tarik Barang Retur</t>
  </si>
  <si>
    <t>AWBR-334-2026-6-7-01</t>
  </si>
  <si>
    <t>Pickup Return, wajib bawa form BA Return. Bilang ke Apotek “mau tarik barang”. Jika tidak ada barang, tulis keterangan “tidak ada barang retur” di form BA TMP-INV-2026/06/01/ 2804868 / TMP-INV-2026/06/02/ 2809176 
ASTHIN FORCE 12 Soho KAPSUL DUS, 2 STRIP @ 10 KAPSUL
ASTHIN FORCE 6 Soho KAPSUL DUS, 2 STRIP @ 10 KAPSUL
CAL-95 Lapi KAPLET DUS, 5 STRIP @ 6 KAPLET SALUT SELAPUT
L-VIT D3 5000 Lapi TABLET DUS, 3 BLISTER @ 10 TABLET SALUT SELAPUT
HUFAGRIPP DEMAM Hufa KAPLET 500 MG DUS, 10 AMPLOP @ 1 STRIP @ 10 KAPLET
NASONEX Organon SEMPROT HIDUNG 50 MCG/DOSIS DUS, 1 BOTOL PLASTIK @ 60 DOSIS
 Tarik Barang Retur</t>
  </si>
  <si>
    <t>AWBR-11324-2026-6-7</t>
  </si>
  <si>
    <t>26052702214464oKb83VYb</t>
  </si>
  <si>
    <t>Apotek Rave Pharma 03 Bukit Duri Tebet</t>
  </si>
  <si>
    <t>Jalan Bukit Duri Tanjakan No. 31 RT 06 RW 08, Kel. Bukit Duri, Kec. Tebet, Jakarta Selatan, 12840</t>
  </si>
  <si>
    <t>TMP-INV-2026/05/27/ 2789359 ACCU-CHECK GUIDE TEST STRIPS Roche DUS, BOTOL @ 50 Strips Tarik Barang Retur</t>
  </si>
  <si>
    <t>AWBR-11324-2026-6-7-01</t>
  </si>
  <si>
    <t>Pickup Return, wajib bawa form BA Return. Bilang ke Apotek “mau tarik barang”. Jika tidak ada barang, tulis keterangan “tidak ada barang retur” di form BA TMP-INV-2026/05/27/ 2789359 ACCU-CHECK GUIDE TEST STRIPS Roche DUS, BOTOL @ 50 Strips Tarik Barang Retur</t>
  </si>
  <si>
    <t>AWBR-455-2026-6-7</t>
  </si>
  <si>
    <t>26060303482815zjFC4LsUm5</t>
  </si>
  <si>
    <t>Apotek Rosa Farma</t>
  </si>
  <si>
    <t>Jalan Khamono No. 17 RT 001 RW 001, Kelurahan Jatimakmur, Kecamatan Pondok Gede, Kota Bekasi 17413</t>
  </si>
  <si>
    <t>TMP-INV-2026/06/03/ 2813569 SUTRA Condom (MERAH) DUS, 24 CONDOM Tarik Barang Retur</t>
  </si>
  <si>
    <t>AWBR-455-2026-6-7-01</t>
  </si>
  <si>
    <t>Pickup Return, wajib bawa form BA Return. Bilang ke Apotek “mau tarik barang”. Jika tidak ada barang, tulis keterangan “tidak ada barang retur” di form BA TMP-INV-2026/06/03/ 2813569 SUTRA Condom (MERAH) DUS, 24 CONDOM Tarik Barang Retur</t>
  </si>
  <si>
    <t>AWBR-13565-2026-6-7</t>
  </si>
  <si>
    <t>26060202015152E767iCv3fm</t>
  </si>
  <si>
    <t>TMP-INV-2026/06/02/ 2808907 / TMP-INV-2026/06/02/ 2809192 HANSAPLAST FUN KAIN ELASTIS Beiersdorf DUS, 100 LEMBAR / KLODERMA Surya Dermato KRIM 0.05 % DUS, TUBE @ 5 G Tarik Barang Retur</t>
  </si>
  <si>
    <t>AWBR-13565-2026-6-7-01</t>
  </si>
  <si>
    <t>Pickup Return, wajib bawa form BA Return. Bilang ke Apotek “mau tarik barang”. Jika tidak ada barang, tulis keterangan “tidak ada barang retur” di form BA TMP-INV-2026/06/02/ 2808907 / TMP-INV-2026/06/02/ 2809192 HANSAPLAST FUN KAIN ELASTIS Beiersdorf DUS, 100 LEMBAR / KLODERMA Surya Dermato KRIM 0.05 % DUS, TUBE @ 5 G Tarik Barang Retur</t>
  </si>
  <si>
    <t>AWBR-4773-2026-6-7</t>
  </si>
  <si>
    <t>26053012444027bh4dz9IwK</t>
  </si>
  <si>
    <t>Apotekita</t>
  </si>
  <si>
    <t>Ruko Elang Laut Boulevard Blok A-11, Jl. Pantai Indah Selatan, Kel. Kamal Muara, Kec. Penjaringan, Jakarta Utara, Provinsi DKI Jakarta,14470</t>
  </si>
  <si>
    <t>TMP-INV-2026/06/01/ 2804721 SISTENOL Dexa Medica KAPLET 500/200 MG DUS, 6 DUS @ 1 BOTOL @ 10 KAPLET SALUT SELAPUT Tarik Barang Retur</t>
  </si>
  <si>
    <t>AWBR-4773-2026-6-7-01</t>
  </si>
  <si>
    <t>Pickup Return, wajib bawa form BA Return. Bilang ke Apotek “mau tarik barang”. Jika tidak ada barang, tulis keterangan “tidak ada barang retur” di form BA TMP-INV-2026/06/01/ 2804721 SISTENOL Dexa Medica KAPLET 500/200 MG DUS, 6 DUS @ 1 BOTOL @ 10 KAPLET SALUT SELAPUT Tarik Barang Retur</t>
  </si>
  <si>
    <t>AWBR-13413-2026-6-9</t>
  </si>
  <si>
    <t>TMP-INV-2024/12/29/ 1239591 NELLCO SPESIAL OBH PE UNTUK ANAK-ANAK Nellco SIRUP RASA STRAWBERRY DUS, 1 BOTOL GELAS @ 55 ML Tarik Barang Retur</t>
  </si>
  <si>
    <t>AWBR-13413-2026-6-9-01</t>
  </si>
  <si>
    <t>Pickup Return, wajib bawa form BA Return. Bilang ke Apotek “mau tarik barang”. Jika tidak ada barang, tulis keterangan “tidak ada barang retur” di form BA TMP-INV-2024/12/29/ 1239591 NELLCO SPESIAL OBH PE UNTUK ANAK-ANAK Nellco SIRUP RASA STRAWBERRY DUS, 1 BOTOL GELAS @ 55 ML Tarik Barang Retur</t>
  </si>
  <si>
    <t>AWBR-13708-2026-6-9</t>
  </si>
  <si>
    <t>250509072811426bGnxIt5Mj</t>
  </si>
  <si>
    <t>Apotek Bahari Raya Mampang Tegal Parang Mampang Prapatan</t>
  </si>
  <si>
    <t>Jalan Mampang Prapatan VII No 33 RT 010 RW 03, Desa/Kel. Tegal Parang, Kec. Mampang Prapatan, Kota Jakarta Selatan</t>
  </si>
  <si>
    <t>TMP-INV-2025/05/10/ 1565368 HERBABLEND DAILY HEALTH Hermed SIRUP DUS, BOTOL PLASTIK @ 250 ML Tarik Barang Retur</t>
  </si>
  <si>
    <t>AWBR-13708-2026-6-9-01</t>
  </si>
  <si>
    <t>Pickup Return, wajib bawa form BA Return. Bilang ke Apotek “mau tarik barang”. Jika tidak ada barang, tulis keterangan “tidak ada barang retur” di form BA TMP-INV-2025/05/10/ 1565368 HERBABLEND DAILY HEALTH Hermed SIRUP DUS, BOTOL PLASTIK @ 250 ML Tarik Barang Retur</t>
  </si>
  <si>
    <t>AWBR-12793-2026-6-9</t>
  </si>
  <si>
    <t>25101402135181piO4BdpBw</t>
  </si>
  <si>
    <t>Apotek Ben Mrene Mustika Jaya Mustikajaya Mustika Jaya</t>
  </si>
  <si>
    <t>Jalan Asem Jaya, KP. Ciketing Asem No.133 RT.002, RW 006 Kel. Mustikajaya Kec. Mustika Jaya Kota Bekasi</t>
  </si>
  <si>
    <t>TMP-INV-2025/10/14/ 2025987 VENTOLIN INHALER CFC FREE Gsk 200 Doses DUS, 1 BOTOL @ 200 DOSIS Tarik Barang Retur</t>
  </si>
  <si>
    <t>AWBR-12793-2026-6-9-01</t>
  </si>
  <si>
    <t>Pickup Return, wajib bawa form BA Return. Bilang ke Apotek “mau tarik barang”. Jika tidak ada barang, tulis keterangan “tidak ada barang retur” di form BA TMP-INV-2025/10/14/ 2025987 VENTOLIN INHALER CFC FREE Gsk 200 Doses DUS, 1 BOTOL @ 200 DOSIS Tarik Barang Retur</t>
  </si>
  <si>
    <t>AWBR-11489-2026-6-9</t>
  </si>
  <si>
    <t>260529105327588Er1LoDkGG</t>
  </si>
  <si>
    <t>Apotek Bogor Asri Nanggewer Cibinong</t>
  </si>
  <si>
    <t>Perumahan Bogor Asri Blok Ruko 4, Desa/Kel. Nanggewer, Kec. Cibinong, Kab. Bogor 16912</t>
  </si>
  <si>
    <t>TMP-INV-2026/05/30/ 2798679 OBAT BATUK IBU DAN ANAK Sinde Budi Sentosa BOTOL @ 75 ML Tarik Barang Damaged</t>
  </si>
  <si>
    <t>AWBR-11489-2026-6-9-01</t>
  </si>
  <si>
    <t>Pickup Return, wajib bawa form BA Return. Bilang ke Apotek “mau tarik barang”. Jika tidak ada barang, tulis keterangan “tidak ada barang retur” di form BA TMP-INV-2026/05/30/ 2798679 OBAT BATUK IBU DAN ANAK Sinde Budi Sentosa BOTOL @ 75 ML Tarik Barang Damaged</t>
  </si>
  <si>
    <t>AWBR-115-2026-6-9</t>
  </si>
  <si>
    <t>26051304012337KidPBTMvLP</t>
  </si>
  <si>
    <t>Apotek Budhi Pratama</t>
  </si>
  <si>
    <t>Jalan Raya Tengah No.26 RT.06 RW.01 Kel. Kampung Gedong Kec.Pasar Rebo Kodya - Jakarta Timur</t>
  </si>
  <si>
    <t>TMP-INV-2026/05/14/ 2745230 BETADINE OBAT KUMUR ANTISEPTIK Mbf 1 % BOTOL PLASTIK @ 190 ML
FORTID 1000 Darya Varia SIRUP DUS, BOTOL KACA @ 100 ML
KALTROFEN Kalbe SUPPOSITORIA 100 MG DUS, 2 BLISTER @ 5 SUPPOSITORIA
NEPHROLIT Kalbe KAPSUL DUS, 20 STRIP @ 5 KAPSUL
SANMOL FORTE Sanbe SIRUP 250 MG/5 ML DUS, BOTOL @ 60 ML
TEMPRA (RASA ANGGUR) Taisho SIRUP 2-6 Tahun DUS, 1 BOTOL PLASTIK @ 60 ML
THROMBOGEL Tunggal Idaman GEL 200 IU/G DUS, 1 TUBE @ 10 G
 Tarik Barang Retur</t>
  </si>
  <si>
    <t>AWBR-115-2026-6-9-01</t>
  </si>
  <si>
    <t>Pickup Return, wajib bawa form BA Return. Bilang ke Apotek “mau tarik barang”. Jika tidak ada barang, tulis keterangan “tidak ada barang retur” di form BA TMP-INV-2026/05/14/ 2745230 BETADINE OBAT KUMUR ANTISEPTIK Mbf 1 % BOTOL PLASTIK @ 190 ML
FORTID 1000 Darya Varia SIRUP DUS, BOTOL KACA @ 100 ML
KALTROFEN Kalbe SUPPOSITORIA 100 MG DUS, 2 BLISTER @ 5 SUPPOSITORIA
NEPHROLIT Kalbe KAPSUL DUS, 20 STRIP @ 5 KAPSUL
SANMOL FORTE Sanbe SIRUP 250 MG/5 ML DUS, BOTOL @ 60 ML
TEMPRA (RASA ANGGUR) Taisho SIRUP 2-6 Tahun DUS, 1 BOTOL PLASTIK @ 60 ML
THROMBOGEL Tunggal Idaman GEL 200 IU/G DUS, 1 TUBE @ 10 G
 Tarik Barang Retur</t>
  </si>
  <si>
    <t>AWBR-1130-2026-6-9</t>
  </si>
  <si>
    <t>26052503104092kLeMGQgnA</t>
  </si>
  <si>
    <t>TMP-INV-2026/05/25/ 2782436 TRINORDIOL-28 Sunthi TABLET DUS, 2 BLISTER @ 28 TABLET SALUT GULA Tarik Barang Retur</t>
  </si>
  <si>
    <t>AWBR-1130-2026-6-9-01</t>
  </si>
  <si>
    <t>Pickup Return, wajib bawa form BA Return. Bilang ke Apotek “mau tarik barang”. Jika tidak ada barang, tulis keterangan “tidak ada barang retur” di form BA TMP-INV-2026/05/25/ 2782436 TRINORDIOL-28 Sunthi TABLET DUS, 2 BLISTER @ 28 TABLET SALUT GULA Tarik Barang Retur</t>
  </si>
  <si>
    <t>AWBR-11148-2026-6-9</t>
  </si>
  <si>
    <t>24042502443933f2q2rdqbw3</t>
  </si>
  <si>
    <t>TMP-INV-2024/04/25/ 747467 VITALIFE C+D3+ZN Bintang Kupu-Kupu KAPSUL DUS, BOTOL PLASTIK @ 30 KAPSUL Tarik Barang Retur</t>
  </si>
  <si>
    <t>AWBR-11148-2026-6-9-01</t>
  </si>
  <si>
    <t>Pickup Return, wajib bawa form BA Return. Bilang ke Apotek “mau tarik barang”. Jika tidak ada barang, tulis keterangan “tidak ada barang retur” di form BA TMP-INV-2024/04/25/ 747467 VITALIFE C+D3+ZN Bintang Kupu-Kupu KAPSUL DUS, BOTOL PLASTIK @ 30 KAPSUL Tarik Barang Retur</t>
  </si>
  <si>
    <t>AWBR-13287-2026-6-9</t>
  </si>
  <si>
    <t>25032812361818PcDwohxE</t>
  </si>
  <si>
    <t>Apotek Emha Cibubur Ciracas</t>
  </si>
  <si>
    <t>Jalan Raya Lapangan Tembak No. 04 RT 005 RW 001, Desa/Kel. Cibubur, Kec. Ciracas, Kota Jakarta Timur</t>
  </si>
  <si>
    <t>TMP-INV-2025/03/29/ 1464928 CANESTEN Bayer KRIM 1 % DUS, TUBE @ 5 G Tarik Barang Retur</t>
  </si>
  <si>
    <t>AWBR-13287-2026-6-9-01</t>
  </si>
  <si>
    <t>Pickup Return, wajib bawa form BA Return. Bilang ke Apotek “mau tarik barang”. Jika tidak ada barang, tulis keterangan “tidak ada barang retur” di form BA TMP-INV-2025/03/29/ 1464928 CANESTEN Bayer KRIM 1 % DUS, TUBE @ 5 G Tarik Barang Retur</t>
  </si>
  <si>
    <t>AWBR-13617-2026-6-9</t>
  </si>
  <si>
    <t>25022702372132FQs8rXWIY</t>
  </si>
  <si>
    <t>Apotek Fit Pondok Pinang Kebayoran Lama</t>
  </si>
  <si>
    <t>Jl. Bukit Hijau 1 No. 15, Desa/Kel. Pondok Pinang, Kec. KebayoranLama, Kota Jakarta Selatan</t>
  </si>
  <si>
    <t>TMP-INV-2025/02/27/ 1385964 GASTIN FORCE Soho SIRUP DUS, BOTOL 100 ML Tarik Barang Retur</t>
  </si>
  <si>
    <t>AWBR-13617-2026-6-9-01</t>
  </si>
  <si>
    <t>Pickup Return, wajib bawa form BA Return. Bilang ke Apotek “mau tarik barang”. Jika tidak ada barang, tulis keterangan “tidak ada barang retur” di form BA TMP-INV-2025/02/27/ 1385964 GASTIN FORCE Soho SIRUP DUS, BOTOL 100 ML Tarik Barang Retur</t>
  </si>
  <si>
    <t>AWBR-15624-2026-6-9</t>
  </si>
  <si>
    <t>25081002022309jrpf9xS0k4</t>
  </si>
  <si>
    <t>TMP-INV-2025/08/10/ 1818240 YOUVIT MULTIVITAMIN GUMMY RASA STRAWBERRY, GOJIBERRY, CANBERRY, RASPBERRY, BLUEBERRY Yupi - DUS DUS, 6 SACHET @ 7 GUMMIES 28 G Tarik Barang Retur</t>
  </si>
  <si>
    <t>AWBR-15624-2026-6-9-01</t>
  </si>
  <si>
    <t>Pickup Return, wajib bawa form BA Return. Bilang ke Apotek “mau tarik barang”. Jika tidak ada barang, tulis keterangan “tidak ada barang retur” di form BA TMP-INV-2025/08/10/ 1818240 YOUVIT MULTIVITAMIN GUMMY RASA STRAWBERRY, GOJIBERRY, CANBERRY, RASPBERRY, BLUEBERRY Yupi - DUS DUS, 6 SACHET @ 7 GUMMIES 28 G Tarik Barang Retur</t>
  </si>
  <si>
    <t>AWBR-8621-2026-6-9</t>
  </si>
  <si>
    <t>2605300029074806s38tzqt</t>
  </si>
  <si>
    <t>Apotek Ilham Karangsatria Tambun Utara</t>
  </si>
  <si>
    <t>Villa Mutiara Gading 2, Kav D10 No. 03A Desa Karang Satria Kec. Tambun Utara Kab. Bekasi 17510</t>
  </si>
  <si>
    <t>TMP-INV-2026/05/30/ 2798961 BUFACOMB Bufa KRIM DUS, 1 TUBE @ 5 GRAM Tarik Barang Retur</t>
  </si>
  <si>
    <t>AWBR-8621-2026-6-9-01</t>
  </si>
  <si>
    <t>Pickup Return, wajib bawa form BA Return. Bilang ke Apotek “mau tarik barang”. Jika tidak ada barang, tulis keterangan “tidak ada barang retur” di form BA TMP-INV-2026/05/30/ 2798961 BUFACOMB Bufa KRIM DUS, 1 TUBE @ 5 GRAM Tarik Barang Retur</t>
  </si>
  <si>
    <t>AWBR-14021-2026-6-9</t>
  </si>
  <si>
    <t>26042407152473M3cV3Ptkhv</t>
  </si>
  <si>
    <t>Apotek Inofarma Kebagusan</t>
  </si>
  <si>
    <t>62859-2661-1060</t>
  </si>
  <si>
    <t>Jl. Kebagusan Raya RT 007 RW 06, Kel. Kebagusan, Kec. Pasar Minggu, Jakarta Selatan</t>
  </si>
  <si>
    <t>TMP-INV-2026/04/25/ 2678001 EPISAN Sanbe SUSPENSI DUS, 1 BOTOL @ 200 ML Tarik Barang Damaged</t>
  </si>
  <si>
    <t>AWBR-14021-2026-6-9-01</t>
  </si>
  <si>
    <t>Pickup Return, wajib bawa form BA Return. Bilang ke Apotek “mau tarik barang”. Jika tidak ada barang, tulis keterangan “tidak ada barang retur” di form BA TMP-INV-2026/04/25/ 2678001 EPISAN Sanbe SUSPENSI DUS, 1 BOTOL @ 200 ML Tarik Barang Damaged</t>
  </si>
  <si>
    <t>AWBR-13494-2026-6-9</t>
  </si>
  <si>
    <t>25111603075448IVwIqgrEPP</t>
  </si>
  <si>
    <t>TMP-INV-2025/11/16/ 2132167 LACTOGEN LACTOSE FREE Nestle KALENG 400 G Tarik Barang Retur</t>
  </si>
  <si>
    <t>AWBR-13494-2026-6-9-01</t>
  </si>
  <si>
    <t>Pickup Return, wajib bawa form BA Return. Bilang ke Apotek “mau tarik barang”. Jika tidak ada barang, tulis keterangan “tidak ada barang retur” di form BA TMP-INV-2025/11/16/ 2132167 LACTOGEN LACTOSE FREE Nestle KALENG 400 G Tarik Barang Retur</t>
  </si>
  <si>
    <t>AWBR-1167-2026-6-9</t>
  </si>
  <si>
    <t>26051103583050Wib8dpqgt7</t>
  </si>
  <si>
    <t>TMP-INV-2026/05/11/ 2733607 OBH Surya Itrasal SIRUP BOTOL @ 100 ML &amp; ROHTO COOL Rohto TETES MATA 0.012 % DUS, 1 BOTOL PLASTIK @ 7 ML Tarik Barang Damaged</t>
  </si>
  <si>
    <t>AWBR-1167-2026-6-9-01</t>
  </si>
  <si>
    <t>Pickup Return, wajib bawa form BA Return. Bilang ke Apotek “mau tarik barang”. Jika tidak ada barang, tulis keterangan “tidak ada barang retur” di form BA TMP-INV-2026/05/11/ 2733607 OBH Surya Itrasal SIRUP BOTOL @ 100 ML &amp; ROHTO COOL Rohto TETES MATA 0.012 % DUS, 1 BOTOL PLASTIK @ 7 ML Tarik Barang Damaged</t>
  </si>
  <si>
    <t>AWBR-12490-2026-6-9</t>
  </si>
  <si>
    <t>26052302263610YRllq7k800</t>
  </si>
  <si>
    <t>TMP-INV-2026/05/23/ 2776477 EGOJI RASA ANGGUR Novell SIRUP DUS, BOTOL 100 ML &amp; EGOJI RASA APPLE-BERRY Novell SIRUP DUS, BOTOL 100 ML Tarik Barang Retur</t>
  </si>
  <si>
    <t>AWBR-12490-2026-6-9-01</t>
  </si>
  <si>
    <t>Pickup Return, wajib bawa form BA Return. Bilang ke Apotek “mau tarik barang”. Jika tidak ada barang, tulis keterangan “tidak ada barang retur” di form BA TMP-INV-2026/05/23/ 2776477 EGOJI RASA ANGGUR Novell SIRUP DUS, BOTOL 100 ML &amp; EGOJI RASA APPLE-BERRY Novell SIRUP DUS, BOTOL 100 ML Tarik Barang Retur</t>
  </si>
  <si>
    <t>AWBR-1122-2026-6-9</t>
  </si>
  <si>
    <t>24121606505574haPmsZ9MVC</t>
  </si>
  <si>
    <t>Apotek MY</t>
  </si>
  <si>
    <t>Jalan RayaTembus Bambu Kuning- Pemda Desa Bojong Baru Kecamatan Bojonggede Kabupaten Bogor 16920</t>
  </si>
  <si>
    <t>TMP-INV-2024/12/17/ 1211651 KUTILOS Etercon CAIRAN DUS, BOTOL 10 ML Tarik Barang Retur</t>
  </si>
  <si>
    <t>AWBR-1122-2026-6-9-01</t>
  </si>
  <si>
    <t>Pickup Return, wajib bawa form BA Return. Bilang ke Apotek “mau tarik barang”. Jika tidak ada barang, tulis keterangan “tidak ada barang retur” di form BA TMP-INV-2024/12/17/ 1211651 KUTILOS Etercon CAIRAN DUS, BOTOL 10 ML Tarik Barang Retur</t>
  </si>
  <si>
    <t>AWBR-11130-2026-6-9</t>
  </si>
  <si>
    <t>24010200340491osslG4mcRa</t>
  </si>
  <si>
    <t>Apotek Padma Medica Jatisari Jatiasih</t>
  </si>
  <si>
    <t>Jl. Suryadarma No. BQ8 Taman Jatisari Permai, Desa/Kelurahan Jatisari,Kecamatan Jatiasih, Kota Bekasi,Jawa Barat,17426</t>
  </si>
  <si>
    <t>TMP-INV-2024/01/02/ 564282 MYCO-Z Taisho SALEP DUS, 1 TUBE @ 10 G Tarik Barang Retur</t>
  </si>
  <si>
    <t>AWBR-11130-2026-6-9-01</t>
  </si>
  <si>
    <t>Pickup Return, wajib bawa form BA Return. Bilang ke Apotek “mau tarik barang”. Jika tidak ada barang, tulis keterangan “tidak ada barang retur” di form BA TMP-INV-2024/01/02/ 564282 MYCO-Z Taisho SALEP DUS, 1 TUBE @ 10 G Tarik Barang Retur</t>
  </si>
  <si>
    <t>AWBR-2138-2026-6-9</t>
  </si>
  <si>
    <t>26033003234880T7WRX4awB</t>
  </si>
  <si>
    <t>Apotek Zahra Medika</t>
  </si>
  <si>
    <t>Jalan Cagar Alam Raya No. 42 RT 001 RW 001 Kelurahan Pancoran Mas Kecamatann Pancoran Mas Depok 16436</t>
  </si>
  <si>
    <t>TMP-INV-2026/03/30/ 2582012 IMBOOST EXTRA VIT C dan D3 KIDS Soho TABLET HISAP DUS, BOTOL PLASTIK @ 21 TABLET HISAP Tarik Barang Damaged</t>
  </si>
  <si>
    <t>AWBR-2138-2026-6-9-01</t>
  </si>
  <si>
    <t>Pickup Return, wajib bawa form BA Return. Bilang ke Apotek “mau tarik barang”. Jika tidak ada barang, tulis keterangan “tidak ada barang retur” di form BA TMP-INV-2026/03/30/ 2582012 IMBOOST EXTRA VIT C dan D3 KIDS Soho TABLET HISAP DUS, BOTOL PLASTIK @ 21 TABLET HISAP Tarik Barang Damaged</t>
  </si>
  <si>
    <t>AWBR-3316399274</t>
  </si>
  <si>
    <t>260316224124080hYVnb0v7</t>
  </si>
  <si>
    <t>TMP-INV-2026/03/17/ 2543495 Invoice: TMP-INV-2026/03/17/ 2543495
Full Return Tarik Barang</t>
  </si>
  <si>
    <t>AWBR-3316399274-01</t>
  </si>
  <si>
    <t>Pickup Return, wajib bawa form BA Return. Bilang ke Apotek “mau tarik barang”. Jika tidak ada barang, tulis keterangan “tidak ada barang retur” di form BA TMP-INV-2026/03/17/ 2543495 Invoice: TMP-INV-2026/03/17/ 2543495
Full Return Tarik Barang</t>
  </si>
  <si>
    <t>AWBR-3315239673</t>
  </si>
  <si>
    <t>TMP-INV-2026/04/29/ 2690320 Invoice: TMP-INV-2026/04/29/ 2690320
Full Return Tarik Barang</t>
  </si>
  <si>
    <t>AWBR-3315239673-01</t>
  </si>
  <si>
    <t>Pickup Return, wajib bawa form BA Return. Bilang ke Apotek “mau tarik barang”. Jika tidak ada barang, tulis keterangan “tidak ada barang retur” di form BA TMP-INV-2026/04/29/ 2690320 Invoice: TMP-INV-2026/04/29/ 2690320
Full Return Tarik Barang</t>
  </si>
  <si>
    <t>AWBR-3316480875</t>
  </si>
  <si>
    <t>24122304142350VrNbfHE9</t>
  </si>
  <si>
    <t>Apotek Super Saver</t>
  </si>
  <si>
    <t>Jl. Lingkar luar selatan Blok G/A/6 - G/A/7, Kelurahan Cilandak, Kecamatan Lebak Bulus, Jakarta Selatan, DKI Jakarta, 12440</t>
  </si>
  <si>
    <t>TMP-INV-2024/12/23/ 1226467 POLYCROL FORTE Nicholas SUSPENSI Tarik Barang</t>
  </si>
  <si>
    <t>AWBR-3316480875-01</t>
  </si>
  <si>
    <t>Pickup Return, wajib bawa form BA Return. Bilang ke Apotek “mau tarik barang”. Jika tidak ada barang, tulis keterangan “tidak ada barang retur” di form BA TMP-INV-2024/12/23/ 1226467 POLYCROL FORTE Nicholas SUSPENSI Tarik Barang</t>
  </si>
  <si>
    <t>AWBR-3316641702</t>
  </si>
  <si>
    <t>26060803502339qe85yvhUtr</t>
  </si>
  <si>
    <t>TMP-INV-2026/06/08/ 2831456 HUFAGRIPP DEMAM Hufa KAPLET 500 MG
1x NASONEX Organon SEMPROT HIDUNG 50 MCG/DOSIS Tarik Barang</t>
  </si>
  <si>
    <t>AWBR-3316641702-01</t>
  </si>
  <si>
    <t>Pickup Return, wajib bawa form BA Return. Bilang ke Apotek “mau tarik barang”. Jika tidak ada barang, tulis keterangan “tidak ada barang retur” di form BA TMP-INV-2026/06/08/ 2831456 HUFAGRIPP DEMAM Hufa KAPLET 500 MG
1x NASONEX Organon SEMPROT HIDUNG 50 MCG/DOSIS Tarik Barang</t>
  </si>
  <si>
    <t>AWBR-3316412998</t>
  </si>
  <si>
    <t>TMP-INV-2026/06/03/ 2813569 Invoice: TMP-INV-2026/06/03/ 2813569
Full Return Tarik Barang</t>
  </si>
  <si>
    <t>AWBR-3316412998-01</t>
  </si>
  <si>
    <t>Pickup Return, wajib bawa form BA Return. Bilang ke Apotek “mau tarik barang”. Jika tidak ada barang, tulis keterangan “tidak ada barang retur” di form BA TMP-INV-2026/06/03/ 2813569 Invoice: TMP-INV-2026/06/03/ 2813569
Full Return Tarik Barang</t>
  </si>
  <si>
    <t>AWBR-3317081393</t>
  </si>
  <si>
    <t>26040704573994gbgOpnBqqM</t>
  </si>
  <si>
    <t>Apotek Puri Bakti</t>
  </si>
  <si>
    <t>Jalan Mendut Raya No.21 Perumnas 2 RT.002 RW.011 Kelurahan Bencongan, Kecamatan Kelapa Dua, Kota Tangerang 15810</t>
  </si>
  <si>
    <t>TMP-INV-2026/04/08/ 2614556 LYCALVIT Interbat SIRUP Tarik Barang</t>
  </si>
  <si>
    <t>AWBR-3317081393-01</t>
  </si>
  <si>
    <t>Pickup Return, wajib bawa form BA Return. Bilang ke Apotek “mau tarik barang”. Jika tidak ada barang, tulis keterangan “tidak ada barang retur” di form BA TMP-INV-2026/04/08/ 2614556 LYCALVIT Interbat SIRUP Tarik Barang</t>
  </si>
  <si>
    <t>AWBR-3315826456</t>
  </si>
  <si>
    <t>26060204402926p50JO0ef1</t>
  </si>
  <si>
    <t>Apotek Salam</t>
  </si>
  <si>
    <t>Pamulang Estate Jalan Cempedak Raya D-20 No.2 Kelurahan Pamulang Timur, Kecamatan Pamulang, Kota Tangerang Selatan 15417</t>
  </si>
  <si>
    <t>TMP-INV-2026/06/03/ 2813381 Invoice: TMP-INV-2026/06/03/ 2813381
Full Return Tarik Barang</t>
  </si>
  <si>
    <t>AWBR-3315826456-01</t>
  </si>
  <si>
    <t>Pickup Return, wajib bawa form BA Return. Bilang ke Apotek “mau tarik barang”. Jika tidak ada barang, tulis keterangan “tidak ada barang retur” di form BA TMP-INV-2026/06/03/ 2813381 Invoice: TMP-INV-2026/06/03/ 2813381
Full Return Tarik Barang</t>
  </si>
  <si>
    <t>AWBR-3317048027</t>
  </si>
  <si>
    <t>TMP-INV-2026/05/11/ 2733607 OBH Surya Itrasal SIRUP
12x ROHTO COOL Rohto TETES MATA 0.012 % Tarik Barang</t>
  </si>
  <si>
    <t>AWBR-3317048027-01</t>
  </si>
  <si>
    <t>Pickup Return, wajib bawa form BA Return. Bilang ke Apotek “mau tarik barang”. Jika tidak ada barang, tulis keterangan “tidak ada barang retur” di form BA TMP-INV-2026/05/11/ 2733607 OBH Surya Itrasal SIRUP
12x ROHTO COOL Rohto TETES MATA 0.012 % Tarik Barang</t>
  </si>
  <si>
    <t>AWBR-3316533523</t>
  </si>
  <si>
    <t>260605044908000LQgP2QDd</t>
  </si>
  <si>
    <t>Apotek Galang</t>
  </si>
  <si>
    <t>Terminal Pasar Kresek Kampung Kresek RT 01 RW 01 Desa Kresek Kecamatan Kresek Kabupaten Tangerang 15620</t>
  </si>
  <si>
    <t>TMP-INV-2026/06/06/ 2824918 MEFENAMIC ACID Hexpharm KAPLET 500 MG Tarik Barang</t>
  </si>
  <si>
    <t>AWBR-3316533523-01</t>
  </si>
  <si>
    <t>Pickup Return, wajib bawa form BA Return. Bilang ke Apotek “mau tarik barang”. Jika tidak ada barang, tulis keterangan “tidak ada barang retur” di form BA TMP-INV-2026/06/06/ 2824918 MEFENAMIC ACID Hexpharm KAPLET 500 MG Tarik Barang</t>
  </si>
  <si>
    <t>AWBR-3316459242</t>
  </si>
  <si>
    <t>26060703555501p5gwOc91Ym</t>
  </si>
  <si>
    <t>Apotek Akbar Farma</t>
  </si>
  <si>
    <t>Komplek Ruko Taman Adiyasa Blok G No. 11 A Desa Cikasungka Kecamatan Solear Kabupaten Tangerang 15730</t>
  </si>
  <si>
    <t>TMP-INV-2026/06/07/ 2827644 SARI KURMA TJ Ultra Sakti Tarik Barang</t>
  </si>
  <si>
    <t>AWBR-3316459242-01</t>
  </si>
  <si>
    <t>Pickup Return, wajib bawa form BA Return. Bilang ke Apotek “mau tarik barang”. Jika tidak ada barang, tulis keterangan “tidak ada barang retur” di form BA TMP-INV-2026/06/07/ 2827644 SARI KURMA TJ Ultra Sakti Tarik Barang</t>
  </si>
  <si>
    <t>AWBR-3316403531</t>
  </si>
  <si>
    <t>26053007534389r973EOp6n</t>
  </si>
  <si>
    <t>Apotek Perumnas</t>
  </si>
  <si>
    <t>Jalan Karet Raya No. 07 Perumnas 1 Kelurahan Cibodasari Kecamatan Cibodas Tangerang 15138</t>
  </si>
  <si>
    <t>TMP-INV-2026/05/31/ 2801721 Invoice: TMP-INV-2026/05/31/ 2801721
Full Return Tarik Barang</t>
  </si>
  <si>
    <t>AWBR-3316403531-01</t>
  </si>
  <si>
    <t>Pickup Return, wajib bawa form BA Return. Bilang ke Apotek “mau tarik barang”. Jika tidak ada barang, tulis keterangan “tidak ada barang retur” di form BA TMP-INV-2026/05/31/ 2801721 Invoice: TMP-INV-2026/05/31/ 2801721
Full Return Tarik Barang</t>
  </si>
  <si>
    <t>AWBR-3316403720</t>
  </si>
  <si>
    <t>260530075343899rC9lYpImW</t>
  </si>
  <si>
    <t>TMP-INV-2026/05/31/ 2801726 Invoice: TMP-INV-2026/05/31/ 2801726
Full Return Tarik Barang</t>
  </si>
  <si>
    <t>AWBR-3316403720-01</t>
  </si>
  <si>
    <t>Pickup Return, wajib bawa form BA Return. Bilang ke Apotek “mau tarik barang”. Jika tidak ada barang, tulis keterangan “tidak ada barang retur” di form BA TMP-INV-2026/05/31/ 2801726 Invoice: TMP-INV-2026/05/31/ 2801726
Full Return Tarik Barang</t>
  </si>
  <si>
    <t>AWBR-3316460916</t>
  </si>
  <si>
    <t>TMP</t>
  </si>
  <si>
    <t>Apotek Nadara</t>
  </si>
  <si>
    <t>Grand Batavia Ruko Avenue Blok BA No. 3 RT 007 RW 017 Desa/Kelurahan Sindangsari Kecamatan Pasar Kemis Tangerang 15560</t>
  </si>
  <si>
    <t>TMP-INV-2026/06/07/ 2827622;
TMP-INV-2026/05/21/ 2769207 MINYAK KAYU PUTIH CAP LANG Eagle Indo Tarik Barang</t>
  </si>
  <si>
    <t>AWBR-3316460916-01</t>
  </si>
  <si>
    <t>Pickup Return, wajib bawa form BA Return. Bilang ke Apotek “mau tarik barang”. Jika tidak ada barang, tulis keterangan “tidak ada barang retur” di form BA TMP-INV-2026/06/07/ 2827622;
TMP-INV-2026/05/21/ 2769207 MINYAK KAYU PUTIH CAP LANG Eagle Indo Tarik Barang</t>
  </si>
  <si>
    <t>AWBR-3317069906</t>
  </si>
  <si>
    <t>26060223110794rwxVlZCvR</t>
  </si>
  <si>
    <t>Apotek Aliya</t>
  </si>
  <si>
    <t>Jalan Raya Kranggan No.12 RT 001 RW 004 Desa Puspasari Kecamatan Citeureup Kabupaten Bogor 16810</t>
  </si>
  <si>
    <t>TMP-INV-2026/06/03/ 2812983 TRINORDIOL-28 Sunthi TABLET Tarik Barang</t>
  </si>
  <si>
    <t>AWBR-3317069906-01</t>
  </si>
  <si>
    <t>Pickup Return, wajib bawa form BA Return. Bilang ke Apotek “mau tarik barang”. Jika tidak ada barang, tulis keterangan “tidak ada barang retur” di form BA TMP-INV-2026/06/03/ 2812983 TRINORDIOL-28 Sunthi TABLET Tarik Barang</t>
  </si>
  <si>
    <t>AWBR-3316482450</t>
  </si>
  <si>
    <t>25092702404518hbn66ZzDyN</t>
  </si>
  <si>
    <t>Apotek Bahari Raya</t>
  </si>
  <si>
    <t>Jalan Terogong III RW 10 No 75 A, Desa/Kelurahan Cilandak Barat, Kec. Cilandak, Kota Adm. Jakarta Selatan, 12430</t>
  </si>
  <si>
    <t>TMP-INV-2025/09/27/ 1970686 OFLOXACIN Hexpharm TETES TELINGA 3 MG Tarik Barang</t>
  </si>
  <si>
    <t>AWBR-3316482450-01</t>
  </si>
  <si>
    <t>Pickup Return, wajib bawa form BA Return. Bilang ke Apotek “mau tarik barang”. Jika tidak ada barang, tulis keterangan “tidak ada barang retur” di form BA TMP-INV-2025/09/27/ 1970686 OFLOXACIN Hexpharm TETES TELINGA 3 MG Tarik Barang</t>
  </si>
  <si>
    <t>AWBR-3316644675</t>
  </si>
  <si>
    <t>26060601132885KA9lhjXoU</t>
  </si>
  <si>
    <t>Apotek Sumber Sehat 2923</t>
  </si>
  <si>
    <t>Jl.Rajawali Barat No.97 RT005/RW009 Kel. Meleber Kec.Andir , Bandung Jawa Barat 40184</t>
  </si>
  <si>
    <t>TMP-INV-2026/06/06/ 2823268 NOLIPO 500 Sanbe KAPSUL Tarik Barang</t>
  </si>
  <si>
    <t>AWBR-3316644675-01</t>
  </si>
  <si>
    <t>Pickup Return, wajib bawa form BA Return. Bilang ke Apotek “mau tarik barang”. Jika tidak ada barang, tulis keterangan “tidak ada barang retur” di form BA TMP-INV-2026/06/06/ 2823268 NOLIPO 500 Sanbe KAPSUL Tarik Barang</t>
  </si>
  <si>
    <t>AWBR-3316409764</t>
  </si>
  <si>
    <t>26053006425284JG8MCiMtQ</t>
  </si>
  <si>
    <t>Apotek Jaya Medika 5218</t>
  </si>
  <si>
    <t>Jl. Cipaku RT 001 RW 013 Desa Cipaku Kecamatan Paseh Majalaya Kabupaten Bandung 40383</t>
  </si>
  <si>
    <t>TMP-INV-2026/05/31/ 2801069 MICROLAXHERB Prima Medika KAPSUL Tarik Barang</t>
  </si>
  <si>
    <t>AWBR-3316409764-01</t>
  </si>
  <si>
    <t>Pickup Return, wajib bawa form BA Return. Bilang ke Apotek “mau tarik barang”. Jika tidak ada barang, tulis keterangan “tidak ada barang retur” di form BA TMP-INV-2026/05/31/ 2801069 MICROLAXHERB Prima Medika KAPSUL Tarik Barang</t>
  </si>
  <si>
    <t>AWBR-3316411200</t>
  </si>
  <si>
    <t>26053001434005zJyNNpayG</t>
  </si>
  <si>
    <t>Apotek Lathiif Farma</t>
  </si>
  <si>
    <t>Jl Cipamokolan No. 28 RT 01 RW 08 Desa Cipamokolan Kec. Rancasari Kota Bandung 40292</t>
  </si>
  <si>
    <t>TMP-INV-2026/05/30/ 2798158 SUTRA Condom (MERAH) Tarik Barang</t>
  </si>
  <si>
    <t>AWBR-3316411200-01</t>
  </si>
  <si>
    <t>Pickup Return, wajib bawa form BA Return. Bilang ke Apotek “mau tarik barang”. Jika tidak ada barang, tulis keterangan “tidak ada barang retur” di form BA TMP-INV-2026/05/30/ 2798158 SUTRA Condom (MERAH) Tarik Barang</t>
  </si>
  <si>
    <t>AWBR-3315861366</t>
  </si>
  <si>
    <t>26060222204627QnUqfuywGc</t>
  </si>
  <si>
    <t>Apotek Doa Sehat 7617</t>
  </si>
  <si>
    <t>Jl. Miramare Kp. Wanikari RT 01 RW 12 , Desa Sirnabakti, Kec. Pameungpeuk, Kab. Garut, 44175</t>
  </si>
  <si>
    <t>TMP-INV-2026/06/03/ 2810336 CATAFLAM D Novartis TABLET DISPERSIBLE Tarik Barang</t>
  </si>
  <si>
    <t>AWBR-3315861366-01</t>
  </si>
  <si>
    <t>Pickup Return, wajib bawa form BA Return. Bilang ke Apotek “mau tarik barang”. Jika tidak ada barang, tulis keterangan “tidak ada barang retur” di form BA TMP-INV-2026/06/03/ 2810336 CATAFLAM D Novartis TABLET DISPERSIBLE Tarik Barang</t>
  </si>
  <si>
    <t>AWBR-3315915265</t>
  </si>
  <si>
    <t>26060405164224YpYYjqAL</t>
  </si>
  <si>
    <t>Apotek Romeesa</t>
  </si>
  <si>
    <t>Jl. Padasuka No.131 RT. 03 RW.04. Kel. Pasirlayung, Kec. Cibeunying Kidul, Kota Bandung, 40192</t>
  </si>
  <si>
    <t>TMP-INV-2026/06/05/ 2819324 NUTRAFOR CHOL Novell KAPSUL Tarik Barang</t>
  </si>
  <si>
    <t>AWBR-3315915265-01</t>
  </si>
  <si>
    <t>Pickup Return, wajib bawa form BA Return. Bilang ke Apotek “mau tarik barang”. Jika tidak ada barang, tulis keterangan “tidak ada barang retur” di form BA TMP-INV-2026/06/05/ 2819324 NUTRAFOR CHOL Novell KAPSUL Tarik Barang</t>
  </si>
  <si>
    <t>AWBR-3317064210</t>
  </si>
  <si>
    <t>260608002851082TtEpNxmM</t>
  </si>
  <si>
    <t>Apotek Sudimara</t>
  </si>
  <si>
    <t>Jl. Jombang Raya NO 30B RT 003 RW 003, Kel. Jombang, Kec. Ciputat, Kota Tangerang Selatan 15414</t>
  </si>
  <si>
    <t>TMP-INV-2026/06/08/ 2831167 PROVELYN Kalbe KAPSUL 150 MG Tarik Barang</t>
  </si>
  <si>
    <t>AWBR-3317064210-01</t>
  </si>
  <si>
    <t>Pickup Return, wajib bawa form BA Return. Bilang ke Apotek “mau tarik barang”. Jika tidak ada barang, tulis keterangan “tidak ada barang retur” di form BA TMP-INV-2026/06/08/ 2831167 PROVELYN Kalbe KAPSUL 150 MG Tarik Barang</t>
  </si>
  <si>
    <t>AWBR-3315928983</t>
  </si>
  <si>
    <t>26060501331296iRKVLMIBJ</t>
  </si>
  <si>
    <t>Apotek Cipayung 1</t>
  </si>
  <si>
    <t>Jl. Raya Jembatan Serong Blok Sawo No. 115 RT. 002 RW. 003 Kel. Cipayung Kec. Cipayung Kota Depok</t>
  </si>
  <si>
    <t>TMP-INV-2026/06/05/ 2822270 Invoice: TMP-INV-2026/06/05/ 2822270
Full Return Tarik Barang</t>
  </si>
  <si>
    <t>AWBR-3315928983-01</t>
  </si>
  <si>
    <t>Pickup Return, wajib bawa form BA Return. Bilang ke Apotek “mau tarik barang”. Jika tidak ada barang, tulis keterangan “tidak ada barang retur” di form BA TMP-INV-2026/06/05/ 2822270 Invoice: TMP-INV-2026/06/05/ 2822270
Full Return Tarik Barang</t>
  </si>
  <si>
    <t>AWBR-3317076961</t>
  </si>
  <si>
    <t>26060714010668eS2SN1jrAB</t>
  </si>
  <si>
    <t>Apotek An Nur 8412</t>
  </si>
  <si>
    <t>Jalan Raya pengasinan RT. 002 RW. 006, Kelurahan Pengasinan, Kecamatan Sawangan, Kota Depok, Jawa Barat 16518</t>
  </si>
  <si>
    <t>TMP-INV-2026/06/08/ 2831514 BISOLVON Aventis SOLUTION Tarik Barang</t>
  </si>
  <si>
    <t>AWBR-3317076961-01</t>
  </si>
  <si>
    <t>Pickup Return, wajib bawa form BA Return. Bilang ke Apotek “mau tarik barang”. Jika tidak ada barang, tulis keterangan “tidak ada barang retur” di form BA TMP-INV-2026/06/08/ 2831514 BISOLVON Aventis SOLUTION Tarik Barang</t>
  </si>
  <si>
    <t>AWBR-3316401266</t>
  </si>
  <si>
    <t>TMP-INV-2026/05/24/ 2779724 Invoice: TMP-INV-2026/05/24/ 2779724
Full Return Tarik Barang</t>
  </si>
  <si>
    <t>AWBR-3316401266-01</t>
  </si>
  <si>
    <t>Pickup Return, wajib bawa form BA Return. Bilang ke Apotek “mau tarik barang”. Jika tidak ada barang, tulis keterangan “tidak ada barang retur” di form BA TMP-INV-2026/05/24/ 2779724 Invoice: TMP-INV-2026/05/24/ 2779724
Full Return Tarik Barang</t>
  </si>
  <si>
    <t>AWBR-3315839090</t>
  </si>
  <si>
    <t>26060503402081rMXLLdVfjA</t>
  </si>
  <si>
    <t>TMP-INV-2026/06/05/ 2822055 Invoice: TMP-INV-2026/06/05/ 2822055
Full Return Tarik Barang</t>
  </si>
  <si>
    <t>AWBR-3315839090-01</t>
  </si>
  <si>
    <t>Pickup Return, wajib bawa form BA Return. Bilang ke Apotek “mau tarik barang”. Jika tidak ada barang, tulis keterangan “tidak ada barang retur” di form BA TMP-INV-2026/06/05/ 2822055 Invoice: TMP-INV-2026/06/05/ 2822055
Full Return Tarik Barang</t>
  </si>
  <si>
    <t>AWBR-3316405857</t>
  </si>
  <si>
    <t>24102102014744LEQe9fJo</t>
  </si>
  <si>
    <t>Apotek Paledang Campaka Andir</t>
  </si>
  <si>
    <t>Jl. Paledang No. 14 RT 01 RW 02 Kel. Campaka Kec. Andir Kota Bandung 40184</t>
  </si>
  <si>
    <t>TMP-INV-2024/10/21/ 1085309 ACTIFED GSK SIRUP Tarik Barang</t>
  </si>
  <si>
    <t>AWBR-3316405857-01</t>
  </si>
  <si>
    <t>Pickup Return, wajib bawa form BA Return. Bilang ke Apotek “mau tarik barang”. Jika tidak ada barang, tulis keterangan “tidak ada barang retur” di form BA TMP-INV-2024/10/21/ 1085309 ACTIFED GSK SIRUP Tarik Barang</t>
  </si>
  <si>
    <t>AWBR-3314503707</t>
  </si>
  <si>
    <t>26060204393998RTKQHoc6v</t>
  </si>
  <si>
    <t>Apotek Heka Neglasari Cibeunying Kaler</t>
  </si>
  <si>
    <t>Jl. PHH. Mustofa No. 27 RT 003 RW 001, Kel. Neglasari, Kec. Cibeunying Kaler, Kota Bandung 40124</t>
  </si>
  <si>
    <t>TMP-INV-2026/06/03/ 2810028 SUTRA LUBRICANT DKT Tarik Barang</t>
  </si>
  <si>
    <t>AWBR-3314503707-01</t>
  </si>
  <si>
    <t>Pickup Return, wajib bawa form BA Return. Bilang ke Apotek “mau tarik barang”. Jika tidak ada barang, tulis keterangan “tidak ada barang retur” di form BA TMP-INV-2026/06/03/ 2810028 SUTRA LUBRICANT DKT Tarik Barang</t>
  </si>
  <si>
    <t>AWBR-3316676973</t>
  </si>
  <si>
    <t>26060307402457X5simJl08</t>
  </si>
  <si>
    <t>Apotek Yasfi Bahagia Babelan</t>
  </si>
  <si>
    <t>Jalan Ujung Harapan Kavling Assalam III, No. 19A RT. 002 RW. 015, Kelurahan Bahagia, Kecamatan Babelan, Kabupaten Bekasi, Jawa Barat 17612</t>
  </si>
  <si>
    <t>TMP-INV-2026/06/04/ 2814520 Invoice: TMP-INV-2026/06/04/ 2814520
Full Return Tarik Barang</t>
  </si>
  <si>
    <t>AWBR-3316676973-01</t>
  </si>
  <si>
    <t>Pickup Return, wajib bawa form BA Return. Bilang ke Apotek “mau tarik barang”. Jika tidak ada barang, tulis keterangan “tidak ada barang retur” di form BA TMP-INV-2026/06/04/ 2814520 Invoice: TMP-INV-2026/06/04/ 2814520
Full Return Tarik Barang</t>
  </si>
  <si>
    <t>AWBR-3316260502</t>
  </si>
  <si>
    <t>26060602514432C1BKYYetw</t>
  </si>
  <si>
    <t>Apotek K24 Kerkof Leuwigajah Cimahi Selatan</t>
  </si>
  <si>
    <t>Jalan Kerkof No. 34 Kelurahan Leuwigajah, Kecamatan Cimahi Selatan, Kota Cimahi, Jawa Barat 40532</t>
  </si>
  <si>
    <t>TMP-INV-2026/06/06/ 2823992 YOUVIT MULTIVITAMIN KIDS GUMMY RASA STRAWBERRY, JERUK, NANAS Yupi - DUS
1x PROPRANOLOL Dexa Medica TABLET 10 MG Tarik Barang</t>
  </si>
  <si>
    <t>AWBR-3316260502-01</t>
  </si>
  <si>
    <t>Pickup Return, wajib bawa form BA Return. Bilang ke Apotek “mau tarik barang”. Jika tidak ada barang, tulis keterangan “tidak ada barang retur” di form BA TMP-INV-2026/06/06/ 2823992 YOUVIT MULTIVITAMIN KIDS GUMMY RASA STRAWBERRY, JERUK, NANAS Yupi - DUS
1x PROPRANOLOL Dexa Medica TABLET 10 MG Tarik Barang</t>
  </si>
  <si>
    <t>AWBR-3316402980</t>
  </si>
  <si>
    <t>250403033336800MSPoctUu</t>
  </si>
  <si>
    <t>Apotek Sola Gracia Dadap Kosambi</t>
  </si>
  <si>
    <t>Jalan Raya Prancis Villa Taman Bandara N7 Nomor 9 RT. 004 RW. 012 Kelurahan Dadap, Kecamatan Kosambi, Kabupaten Tangerang, Banten 15211</t>
  </si>
  <si>
    <t>TMP-INV-2025/04/03/ 1469552 Invoice: TMP-INV-2025/04/03/ 1469552
Full Return Tarik Barang</t>
  </si>
  <si>
    <t>AWBR-3316402980-01</t>
  </si>
  <si>
    <t>Pickup Return, wajib bawa form BA Return. Bilang ke Apotek “mau tarik barang”. Jika tidak ada barang, tulis keterangan “tidak ada barang retur” di form BA TMP-INV-2025/04/03/ 1469552 Invoice: TMP-INV-2025/04/03/ 1469552
Full Return Tarik Barang</t>
  </si>
  <si>
    <t>AWBR-3316412202</t>
  </si>
  <si>
    <t>24050704520303UWuJ3CzHAx</t>
  </si>
  <si>
    <t>Apotek Ihsani 2 Gunungleutik Ciparay</t>
  </si>
  <si>
    <t>Ruko Pelangi Residence No. 7 RT. 001 RW. 019 Jalan Raya Laswi No. 601, Desa/Kelurahan Serangmekar, Kecamatan Ciparay, Kabupaten Bandung, Jawa Barat 40381</t>
  </si>
  <si>
    <t>TMP-INV-2024/05/08/ 771338 ELOCON Organon KRIM Tarik Barang</t>
  </si>
  <si>
    <t>AWBR-3316412202-01</t>
  </si>
  <si>
    <t>Pickup Return, wajib bawa form BA Return. Bilang ke Apotek “mau tarik barang”. Jika tidak ada barang, tulis keterangan “tidak ada barang retur” di form BA TMP-INV-2024/05/08/ 771338 ELOCON Organon KRIM Tarik Barang</t>
  </si>
  <si>
    <t>AWBR-3316436610</t>
  </si>
  <si>
    <t>26051222531523MsvTzlEwgJ</t>
  </si>
  <si>
    <t>Apotek Bundaku Manjahlega Rancasari</t>
  </si>
  <si>
    <t>Jl. Rancabolang Blok V No.44 RT 01 RW 06 Margahayu Raya Kel. Manjahlega Kec. Rancasari Kota Bandung 40286</t>
  </si>
  <si>
    <t>TMP-INV-2026/05/13/ 2739932 BABYDEX-A DIAPER RASH CREAM WITH NATURAL VITAMIN FOR BABY SKIN HEALTH Meiji Tarik Barang</t>
  </si>
  <si>
    <t>AWBR-3316436610-01</t>
  </si>
  <si>
    <t>Pickup Return, wajib bawa form BA Return. Bilang ke Apotek “mau tarik barang”. Jika tidak ada barang, tulis keterangan “tidak ada barang retur” di form BA TMP-INV-2026/05/13/ 2739932 BABYDEX-A DIAPER RASH CREAM WITH NATURAL VITAMIN FOR BABY SKIN HEALTH Meiji Tarik Barang</t>
  </si>
  <si>
    <t>AWBR-3314544388</t>
  </si>
  <si>
    <t>Apotek Assyaffa Lagoa Koja</t>
  </si>
  <si>
    <t>Jl. Mundu Luar No. 12 RT/RW 11/11 , Desa/Kelurahan Lagoa, Kec. Koja, Kota Adm. Jakarta Utara 14270</t>
  </si>
  <si>
    <t>TMP-INV-2024/03/29/ 703170 Tarik Barang</t>
  </si>
  <si>
    <t>AWBR-3314544388-01</t>
  </si>
  <si>
    <t>Pickup Return, wajib bawa form BA Return. Bilang ke Apotek “mau tarik barang”. Jika tidak ada barang, tulis keterangan “tidak ada barang retur” di form BA TMP-INV-2024/03/29/ 703170 Tarik Barang</t>
  </si>
  <si>
    <t>AWBR-3316461415</t>
  </si>
  <si>
    <t>TMP-INV-2024/12/06/ 1187207 NECIBLOK Dankos SUSPENSI Tarik Barang</t>
  </si>
  <si>
    <t>AWBR-3316461415-01</t>
  </si>
  <si>
    <t>Pickup Return, wajib bawa form BA Return. Bilang ke Apotek “mau tarik barang”. Jika tidak ada barang, tulis keterangan “tidak ada barang retur” di form BA TMP-INV-2024/12/06/ 1187207 NECIBLOK Dankos SUSPENSI Tarik Barang</t>
  </si>
  <si>
    <t>AWBR-3316460779</t>
  </si>
  <si>
    <t>AWBR-3316460779-01</t>
  </si>
  <si>
    <t>AWBR-3316660926</t>
  </si>
  <si>
    <t>26060800174155ESlPjer9y3</t>
  </si>
  <si>
    <t>TMP-INV-2026/06/08/ 2830163 DEXTEEM PLUS Erlimpex TABLET 0.5/2 MG
1x FUNGIDERM Konimex KRIM Tarik Barang</t>
  </si>
  <si>
    <t>AWBR-3316660926-01</t>
  </si>
  <si>
    <t>Pickup Return, wajib bawa form BA Return. Bilang ke Apotek “mau tarik barang”. Jika tidak ada barang, tulis keterangan “tidak ada barang retur” di form BA TMP-INV-2026/06/08/ 2830163 DEXTEEM PLUS Erlimpex TABLET 0.5/2 MG
1x FUNGIDERM Konimex KRIM Tarik Barang</t>
  </si>
  <si>
    <t>AWBR-3317073814</t>
  </si>
  <si>
    <t>TMP-INV-2024/01/02/ 564282 MYCO-Z Taisho SALEP Tarik Barang</t>
  </si>
  <si>
    <t>AWBR-3317073814-01</t>
  </si>
  <si>
    <t>Pickup Return, wajib bawa form BA Return. Bilang ke Apotek “mau tarik barang”. Jika tidak ada barang, tulis keterangan “tidak ada barang retur” di form BA TMP-INV-2024/01/02/ 564282 MYCO-Z Taisho SALEP Tarik Barang</t>
  </si>
  <si>
    <t>AWBR-3317059723</t>
  </si>
  <si>
    <t>25052810423195ROozl4v53E</t>
  </si>
  <si>
    <t>Apotek Dante Sawah Baru Ciputat</t>
  </si>
  <si>
    <t>Ruko UVILLE UA/B-08. Perumahan Bintaro Jaya, Kel. Sawah Baru Kec. Ciputat Kota Tangerang Selatan 15413</t>
  </si>
  <si>
    <t>TMP-INV-2025/05/29/ 1615212 ASTRIA Pertiwi Agung KAPSUL 4 MG Tarik Barang</t>
  </si>
  <si>
    <t>AWBR-3317059723-01</t>
  </si>
  <si>
    <t>Pickup Return, wajib bawa form BA Return. Bilang ke Apotek “mau tarik barang”. Jika tidak ada barang, tulis keterangan “tidak ada barang retur” di form BA TMP-INV-2025/05/29/ 1615212 ASTRIA Pertiwi Agung KAPSUL 4 MG Tarik Barang</t>
  </si>
  <si>
    <t>AWBR-3317062763</t>
  </si>
  <si>
    <t>26060803311118BwgOKtgdPf</t>
  </si>
  <si>
    <t>Apotek Mandiri Tanah Baru Bogor Utara</t>
  </si>
  <si>
    <t>Jl. Raden Kan'an RT 007 RW 005 Kel. Tanah Baru Kec. Bogor Utara??Kota??Bogor 16154</t>
  </si>
  <si>
    <t>TMP-INV-2026/06/08/ 2831165 TRACETATE Pratapa Nirmala SUSPENSI Tarik Barang</t>
  </si>
  <si>
    <t>AWBR-3317062763-01</t>
  </si>
  <si>
    <t>Pickup Return, wajib bawa form BA Return. Bilang ke Apotek “mau tarik barang”. Jika tidak ada barang, tulis keterangan “tidak ada barang retur” di form BA TMP-INV-2026/06/08/ 2831165 TRACETATE Pratapa Nirmala SUSPENSI Tarik Barang</t>
  </si>
  <si>
    <t>AWBR-3313810040</t>
  </si>
  <si>
    <t>26060201141116IuExdxFSTf</t>
  </si>
  <si>
    <t>Apotek Siliwangi Farma Baleendah Baleendah</t>
  </si>
  <si>
    <t>Jl. Siliwangi No.49 RT 008 RW 010 Desa/Kel. Baleendah, Kec. Baleendah, Kab. Bandung</t>
  </si>
  <si>
    <t>TMP-INV-2026/06/02/ 2806848 IMBOOST Soho TABLET Tarik Barang</t>
  </si>
  <si>
    <t>AWBR-3313810040-01</t>
  </si>
  <si>
    <t>Pickup Return, wajib bawa form BA Return. Bilang ke Apotek “mau tarik barang”. Jika tidak ada barang, tulis keterangan “tidak ada barang retur” di form BA TMP-INV-2026/06/02/ 2806848 IMBOOST Soho TABLET Tarik Barang</t>
  </si>
  <si>
    <t>AWBR-3316655689</t>
  </si>
  <si>
    <t>24040103505766X6p3idCe</t>
  </si>
  <si>
    <t>Apotek Hanania Farma Karasak Astanaanyar</t>
  </si>
  <si>
    <t>Jl. H Kurdi 1 No. 10C, RT. 005, RW. 001, Desa/Kel. Karasak, Kec. Astana Anyar, Kota Bandung</t>
  </si>
  <si>
    <t>TMP-INV-2024/04/01/ 708290 PANADOL ANAK 1-6 Thn Gsk SIRUP 160 MG/5 ML Tarik Barang</t>
  </si>
  <si>
    <t>AWBR-3316655689-01</t>
  </si>
  <si>
    <t>Pickup Return, wajib bawa form BA Return. Bilang ke Apotek “mau tarik barang”. Jika tidak ada barang, tulis keterangan “tidak ada barang retur” di form BA TMP-INV-2024/04/01/ 708290 PANADOL ANAK 1-6 Thn Gsk SIRUP 160 MG/5 ML Tarik Barang</t>
  </si>
  <si>
    <t>AWBR-3316499022</t>
  </si>
  <si>
    <t>25041818362388KCddaYACjp</t>
  </si>
  <si>
    <t>Apotek Alang Farma Bahagia Babelan</t>
  </si>
  <si>
    <t>Jl. KH Tajudin RT. 06 RW. 03, Desa/Kelurahan Bahagia, Kec. Babelan, Kab. Bekasi</t>
  </si>
  <si>
    <t>TMP-INV-2025/04/19/ 1510774 ENERVON GOLD Darya-Varia KAPSUL Tarik Barang</t>
  </si>
  <si>
    <t>AWBR-3316499022-01</t>
  </si>
  <si>
    <t>Pickup Return, wajib bawa form BA Return. Bilang ke Apotek “mau tarik barang”. Jika tidak ada barang, tulis keterangan “tidak ada barang retur” di form BA TMP-INV-2025/04/19/ 1510774 ENERVON GOLD Darya-Varia KAPSUL Tarik Barang</t>
  </si>
  <si>
    <t>AWBR-3316488690</t>
  </si>
  <si>
    <t>26060506252671XwaEmCAlf</t>
  </si>
  <si>
    <t>Apotek Diva Farma Tigaraksa Tigaraksa</t>
  </si>
  <si>
    <t>Jalan Aria Wangsakara Kel. Tigaraksa Kec. Tigaraksa Kab. Tangerang</t>
  </si>
  <si>
    <t>TMP-INV-2026/06/06/ 2824682 ELZSA Sydna TABLET Tarik Barang</t>
  </si>
  <si>
    <t>AWBR-3316488690-01</t>
  </si>
  <si>
    <t>Pickup Return, wajib bawa form BA Return. Bilang ke Apotek “mau tarik barang”. Jika tidak ada barang, tulis keterangan “tidak ada barang retur” di form BA TMP-INV-2026/06/06/ 2824682 ELZSA Sydna TABLET Tarik Barang</t>
  </si>
  <si>
    <t>AWBR-3317068685</t>
  </si>
  <si>
    <t>26060212420124cn0ppkUZP</t>
  </si>
  <si>
    <t>Apotek Trunojoyo Citarum Bandung Wetan</t>
  </si>
  <si>
    <t>Jl. Trunojoyo No. 21 RT 003 RW 003 Kel. Citarum Kec. Bandung Wetan Kota Bandung</t>
  </si>
  <si>
    <t>TMP-INV-2026/06/03/ 2810637 Y-RINS Pratapa Nirmala CAIRAN MATA 13% VV Tarik Barang</t>
  </si>
  <si>
    <t>AWBR-3317068685-01</t>
  </si>
  <si>
    <t>Pickup Return, wajib bawa form BA Return. Bilang ke Apotek “mau tarik barang”. Jika tidak ada barang, tulis keterangan “tidak ada barang retur” di form BA TMP-INV-2026/06/03/ 2810637 Y-RINS Pratapa Nirmala CAIRAN MATA 13% VV Tarik Barang</t>
  </si>
  <si>
    <t>AWBR-3316470278</t>
  </si>
  <si>
    <t>TMP-INV-2026/05/23/ 2776477 EGOJI RASA ANGGUR Novell SIRUP
1x EGOJI RASA APPLE-BERRY Novell SIRUP Tarik Barang</t>
  </si>
  <si>
    <t>AWBR-3316470278-01</t>
  </si>
  <si>
    <t>Pickup Return, wajib bawa form BA Return. Bilang ke Apotek “mau tarik barang”. Jika tidak ada barang, tulis keterangan “tidak ada barang retur” di form BA TMP-INV-2026/05/23/ 2776477 EGOJI RASA ANGGUR Novell SIRUP
1x EGOJI RASA APPLE-BERRY Novell SIRUP Tarik Barang</t>
  </si>
  <si>
    <t>AWBR-3314640561</t>
  </si>
  <si>
    <t>26060210501537BX5quqlEG</t>
  </si>
  <si>
    <t>Apotek Indosehat Global Bali Mester Jatinegara</t>
  </si>
  <si>
    <t>Jl. Jatinegara Barat I No.133 F Rt.001 Rw.005, Desa/Kel. Bali Mester, Kec. Jatinegara, Kota Adm. Jakarta Timur</t>
  </si>
  <si>
    <t>TMP-INV-2026/06/03/ 2812108 Invoice: TMP-INV-2026/06/03/ 2812108
Full Return Tarik Barang</t>
  </si>
  <si>
    <t>AWBR-3314640561-01</t>
  </si>
  <si>
    <t>Pickup Return, wajib bawa form BA Return. Bilang ke Apotek “mau tarik barang”. Jika tidak ada barang, tulis keterangan “tidak ada barang retur” di form BA TMP-INV-2026/06/03/ 2812108 Invoice: TMP-INV-2026/06/03/ 2812108
Full Return Tarik Barang</t>
  </si>
  <si>
    <t>AWBR-3316273724</t>
  </si>
  <si>
    <t>26060504421256Sgye1zwi5</t>
  </si>
  <si>
    <t>Apotek Aisylla Farma Cibiru Wetan Cileunyi</t>
  </si>
  <si>
    <t>Jl. Bayangkara RT. 004 RW. 016, Desa/Kelurahan Cibiru Wetan, Kec. Cileunyi, Kab. Bandung</t>
  </si>
  <si>
    <t>TMP-INV-2026/06/06/ 2823770 CATAFLAM D Novartis TABLET DISPERSIBLE Tarik Barang</t>
  </si>
  <si>
    <t>AWBR-3316273724-01</t>
  </si>
  <si>
    <t>Pickup Return, wajib bawa form BA Return. Bilang ke Apotek “mau tarik barang”. Jika tidak ada barang, tulis keterangan “tidak ada barang retur” di form BA TMP-INV-2026/06/06/ 2823770 CATAFLAM D Novartis TABLET DISPERSIBLE Tarik Barang</t>
  </si>
  <si>
    <t>AWBR-3316463177</t>
  </si>
  <si>
    <t>TMP-INV-2025/10/14/ 2025987 VENTOLIN INHALER CFC FREE Gsk 200 Doses Tarik Barang</t>
  </si>
  <si>
    <t>AWBR-3316463177-01</t>
  </si>
  <si>
    <t>Pickup Return, wajib bawa form BA Return. Bilang ke Apotek “mau tarik barang”. Jika tidak ada barang, tulis keterangan “tidak ada barang retur” di form BA TMP-INV-2025/10/14/ 2025987 VENTOLIN INHALER CFC FREE Gsk 200 Doses Tarik Barang</t>
  </si>
  <si>
    <t>AWBR-3316401644</t>
  </si>
  <si>
    <t>TMP-INV-2026/03/30/ 2579692 Invoice: TMP-INV-2026/03/30/ 2579692
Full Return Tarik Barang</t>
  </si>
  <si>
    <t>AWBR-3316401644-01</t>
  </si>
  <si>
    <t>Pickup Return, wajib bawa form BA Return. Bilang ke Apotek “mau tarik barang”. Jika tidak ada barang, tulis keterangan “tidak ada barang retur” di form BA TMP-INV-2026/03/30/ 2579692 Invoice: TMP-INV-2026/03/30/ 2579692
Full Return Tarik Barang</t>
  </si>
  <si>
    <t>AWBR-3316462051</t>
  </si>
  <si>
    <t>TMP-INV-2024/12/29/ 1239591 NELLCO SPESIAL OBH PE UNTUK ANAK-ANAK Nellco SIRUP RASA STRAWBERRY Tarik Barang</t>
  </si>
  <si>
    <t>AWBR-3316462051-01</t>
  </si>
  <si>
    <t>Pickup Return, wajib bawa form BA Return. Bilang ke Apotek “mau tarik barang”. Jika tidak ada barang, tulis keterangan “tidak ada barang retur” di form BA TMP-INV-2024/12/29/ 1239591 NELLCO SPESIAL OBH PE UNTUK ANAK-ANAK Nellco SIRUP RASA STRAWBERRY Tarik Barang</t>
  </si>
  <si>
    <t>AWBR-3316409425</t>
  </si>
  <si>
    <t>TMP-INV-2026/06/01/ 2804832 Invoice: TMP-INV-2026/06/01/ 2804832
Full Return Tarik Barang</t>
  </si>
  <si>
    <t>AWBR-3316409425-01</t>
  </si>
  <si>
    <t>Pickup Return, wajib bawa form BA Return. Bilang ke Apotek “mau tarik barang”. Jika tidak ada barang, tulis keterangan “tidak ada barang retur” di form BA TMP-INV-2026/06/01/ 2804832 Invoice: TMP-INV-2026/06/01/ 2804832
Full Return Tarik Barang</t>
  </si>
  <si>
    <t>AWBR-3316431685</t>
  </si>
  <si>
    <t>26060612310987GtbOYeRyNp</t>
  </si>
  <si>
    <t>Apotek Triarga Larangan Indah Larangan</t>
  </si>
  <si>
    <t>Jl. Swadaya Raya No.16 RT 002 RW 007 Kel. Larangan Indah Kec. Larangan Kota Tangerang</t>
  </si>
  <si>
    <t>TMP-INV-2026/06/07/ 2826840 Invoice: TMP-INV-2026/06/07/ 2826840
Full Return Tarik Barang</t>
  </si>
  <si>
    <t>AWBR-3316431685-01</t>
  </si>
  <si>
    <t>Pickup Return, wajib bawa form BA Return. Bilang ke Apotek “mau tarik barang”. Jika tidak ada barang, tulis keterangan “tidak ada barang retur” di form BA TMP-INV-2026/06/07/ 2826840 Invoice: TMP-INV-2026/06/07/ 2826840
Full Return Tarik Barang</t>
  </si>
  <si>
    <t>AWBR-3316461673</t>
  </si>
  <si>
    <t>25013110572955IV27fdgsd</t>
  </si>
  <si>
    <t>Apotek Zafran Medika Karang Timur Karang Tengah</t>
  </si>
  <si>
    <t>Jalan Dr. Sutomo RT 003 RW 009, Desa/Kelurahan Karang Timur, Kec. Karang Tengah, Kota Tangerang</t>
  </si>
  <si>
    <t>TMP-INV-2025/02/01/ 1319893 DESOLEX-N Surya Dermato KRIM Tarik Barang</t>
  </si>
  <si>
    <t>AWBR-3316461673-01</t>
  </si>
  <si>
    <t>Pickup Return, wajib bawa form BA Return. Bilang ke Apotek “mau tarik barang”. Jika tidak ada barang, tulis keterangan “tidak ada barang retur” di form BA TMP-INV-2025/02/01/ 1319893 DESOLEX-N Surya Dermato KRIM Tarik Barang</t>
  </si>
  <si>
    <t>AWBR-3316411651</t>
  </si>
  <si>
    <t>26060202015152kANfAMQdTA</t>
  </si>
  <si>
    <t>TMP-INV-2026/06/02/ 2809192 BEPANTHEN Bayer SALEP BAYI Tarik Barang</t>
  </si>
  <si>
    <t>AWBR-3316411651-01</t>
  </si>
  <si>
    <t>Pickup Return, wajib bawa form BA Return. Bilang ke Apotek “mau tarik barang”. Jika tidak ada barang, tulis keterangan “tidak ada barang retur” di form BA TMP-INV-2026/06/02/ 2809192 BEPANTHEN Bayer SALEP BAYI Tarik Barang</t>
  </si>
  <si>
    <t>AWBR-3316460134</t>
  </si>
  <si>
    <t>26060303445748e2x9vMNm82</t>
  </si>
  <si>
    <t>Apotek Zaza Farma Curug Badak Maja</t>
  </si>
  <si>
    <t>Citra Maja City, Ruko Green Cove Blok B35 No. 192 Kel. Curug Badak Kec. Maja Kab. Lebak</t>
  </si>
  <si>
    <t>TMP-INV-2026/06/03/ 2814093 ONEMED DERMAFIX SILICON FOAM DRESSING ADHESIVE SUPER SORB Jayamas Medica Tarik Barang</t>
  </si>
  <si>
    <t>AWBR-3316460134-01</t>
  </si>
  <si>
    <t>Pickup Return, wajib bawa form BA Return. Bilang ke Apotek “mau tarik barang”. Jika tidak ada barang, tulis keterangan “tidak ada barang retur” di form BA TMP-INV-2026/06/03/ 2814093 ONEMED DERMAFIX SILICON FOAM DRESSING ADHESIVE SUPER SORB Jayamas Medica Tarik Barang</t>
  </si>
  <si>
    <t>AWBR-3317074065</t>
  </si>
  <si>
    <t>TMP-INV-2025/02/27/ 1385964 GASTIN FORCE Soho SIRUP Tarik Barang</t>
  </si>
  <si>
    <t>AWBR-3317074065-01</t>
  </si>
  <si>
    <t>Pickup Return, wajib bawa form BA Return. Bilang ke Apotek “mau tarik barang”. Jika tidak ada barang, tulis keterangan “tidak ada barang retur” di form BA TMP-INV-2025/02/27/ 1385964 GASTIN FORCE Soho SIRUP Tarik Barang</t>
  </si>
  <si>
    <t>AWBR-3315235098</t>
  </si>
  <si>
    <t>25041402290355s9ugVHSDyR</t>
  </si>
  <si>
    <t>Apotek Mandala Mandalamekar Cimeunyan</t>
  </si>
  <si>
    <t>Jalan Mandala Raya No. 10A RT 02 RW 01, Desa/Kelurahan Mandalamekar, Kec. Cimenyan, Kab. Bandung</t>
  </si>
  <si>
    <t>TMP-INV-2025/04/14/ 1496747 CURVIT Soho SIRUP Tarik Barang</t>
  </si>
  <si>
    <t>AWBR-3315235098-01</t>
  </si>
  <si>
    <t>Pickup Return, wajib bawa form BA Return. Bilang ke Apotek “mau tarik barang”. Jika tidak ada barang, tulis keterangan “tidak ada barang retur” di form BA TMP-INV-2025/04/14/ 1496747 CURVIT Soho SIRUP Tarik Barang</t>
  </si>
  <si>
    <t>AWBR-3316462710</t>
  </si>
  <si>
    <t>TMP-INV-2025/05/10/ 1565368 HERBABLEND DAILY HEALTH Hermed SIRUP Tarik Barang</t>
  </si>
  <si>
    <t>AWBR-3316462710-01</t>
  </si>
  <si>
    <t>Pickup Return, wajib bawa form BA Return. Bilang ke Apotek “mau tarik barang”. Jika tidak ada barang, tulis keterangan “tidak ada barang retur” di form BA TMP-INV-2025/05/10/ 1565368 HERBABLEND DAILY HEALTH Hermed SIRUP Tarik Barang</t>
  </si>
  <si>
    <t>AWBR-3317074402</t>
  </si>
  <si>
    <t>TMP-INV-2026/04/25/ 2678001 EPISAN Sanbe SUSPENSI
1x EPISAN Sanbe SUSPENSI 500 MG/5 ML Tarik Barang</t>
  </si>
  <si>
    <t>AWBR-3317074402-01</t>
  </si>
  <si>
    <t>Pickup Return, wajib bawa form BA Return. Bilang ke Apotek “mau tarik barang”. Jika tidak ada barang, tulis keterangan “tidak ada barang retur” di form BA TMP-INV-2026/04/25/ 2678001 EPISAN Sanbe SUSPENSI
1x EPISAN Sanbe SUSPENSI 500 MG/5 ML Tarik Barang</t>
  </si>
  <si>
    <t>AWBR-3316496205</t>
  </si>
  <si>
    <t>TMP-INV-2025/03/25/ 1452052;
TMP-INV-2025/03/25/ 1452117;
TMP-INV-2025/04/15/ 1500712;
TMP-INV-2025/05/04/ 1549315;
TMP-INV-2025/03/25/ 1452201 HALOWELL C 500 Pertiwi Agung KAPLET Tarik Barang</t>
  </si>
  <si>
    <t>AWBR-3316496205-01</t>
  </si>
  <si>
    <t>Pickup Return, wajib bawa form BA Return. Bilang ke Apotek “mau tarik barang”. Jika tidak ada barang, tulis keterangan “tidak ada barang retur” di form BA TMP-INV-2025/03/25/ 1452052;
TMP-INV-2025/03/25/ 1452117;
TMP-INV-2025/04/15/ 1500712;
TMP-INV-2025/05/04/ 1549315;
TMP-INV-2025/03/25/ 1452201 HALOWELL C 500 Pertiwi Agung KAPLET Tarik Barang</t>
  </si>
  <si>
    <t>AWBR-3316462291</t>
  </si>
  <si>
    <t>TMP-INV-2025/11/13/ 2123848 Tarik Barang</t>
  </si>
  <si>
    <t>AWBR-3316462291-01</t>
  </si>
  <si>
    <t>Pickup Return, wajib bawa form BA Return. Bilang ke Apotek “mau tarik barang”. Jika tidak ada barang, tulis keterangan “tidak ada barang retur” di form BA TMP-INV-2025/11/13/ 2123848 Tarik Barang</t>
  </si>
  <si>
    <t>AWBR-3316459278</t>
  </si>
  <si>
    <t>TMP-INV-2025/11/13/ 2123848;
TMP-INV-2025/11/07/ 2103990 BIOCREAM Merck KRIM Tarik Barang</t>
  </si>
  <si>
    <t>AWBR-3316459278-01</t>
  </si>
  <si>
    <t>Pickup Return, wajib bawa form BA Return. Bilang ke Apotek “mau tarik barang”. Jika tidak ada barang, tulis keterangan “tidak ada barang retur” di form BA TMP-INV-2025/11/13/ 2123848;
TMP-INV-2025/11/07/ 2103990 BIOCREAM Merck KRIM Tarik Barang</t>
  </si>
  <si>
    <t>AWBR-3316406298</t>
  </si>
  <si>
    <t>26041502003050QMTN35Vo</t>
  </si>
  <si>
    <t>Apotek Mina Farma Citaringgul Babakan Madang</t>
  </si>
  <si>
    <t>Jl. Raya Citaringgul No. 15 Kp. Citaringgul RT. 001 RW. 003 Desa Citaringgul Kecamatan Babakan Madang Kabupaten Bogor</t>
  </si>
  <si>
    <t>TMP-INV-2026/04/15/ 2640169 TOLAK ANGIN + MADU Sido Muncul CAIRAN ORAL
1x ERLAMYCETIN Erela TETES TELINGA Tarik Barang</t>
  </si>
  <si>
    <t>AWBR-3316406298-01</t>
  </si>
  <si>
    <t>Pickup Return, wajib bawa form BA Return. Bilang ke Apotek “mau tarik barang”. Jika tidak ada barang, tulis keterangan “tidak ada barang retur” di form BA TMP-INV-2026/04/15/ 2640169 TOLAK ANGIN + MADU Sido Muncul CAIRAN ORAL
1x ERLAMYCETIN Erela TETES TELINGA Tarik Barang</t>
  </si>
  <si>
    <t>AWBR-3315215147</t>
  </si>
  <si>
    <t>26060103171250tQ4r6FGC7</t>
  </si>
  <si>
    <t>Apotek Mandala Medika Leuwigajah Cimahi Selatan</t>
  </si>
  <si>
    <t>Jl. Kihapit Raya Timur No.20 RT.01 RW.08, Kelurahan Leuwigajah, Kec. Cimahi Selatan, Kota Cimahi</t>
  </si>
  <si>
    <t>TMP-INV-2026/06/02/ 2805591 VENTOLIN INHALER CFC FREE Gsk 200 Doses Tarik Barang</t>
  </si>
  <si>
    <t>AWBR-3315215147-01</t>
  </si>
  <si>
    <t>Pickup Return, wajib bawa form BA Return. Bilang ke Apotek “mau tarik barang”. Jika tidak ada barang, tulis keterangan “tidak ada barang retur” di form BA TMP-INV-2026/06/02/ 2805591 VENTOLIN INHALER CFC FREE Gsk 200 Doses Tarik Barang</t>
  </si>
  <si>
    <t>AWBR-3312597598</t>
  </si>
  <si>
    <t>26053002060727XULuJ0Cl3</t>
  </si>
  <si>
    <t>Apotek K24 Taman Semanan Indah Duri Kosambi Cengkareng</t>
  </si>
  <si>
    <t>Taman Semanan Indah Blok D No. 5,RT 015, RW 011, Desa/Kel. Duri Kosambi, Kec. Cengkareng, Kota Jakarta Barat</t>
  </si>
  <si>
    <t>TMP-INV-2026/05/30/ 2799400 Invoice: TMP-INV-2026/05/30/ 2799400
Full Return Tarik Barang</t>
  </si>
  <si>
    <t>AWBR-3312597598-01</t>
  </si>
  <si>
    <t>Pickup Return, wajib bawa form BA Return. Bilang ke Apotek “mau tarik barang”. Jika tidak ada barang, tulis keterangan “tidak ada barang retur” di form BA TMP-INV-2026/05/30/ 2799400 Invoice: TMP-INV-2026/05/30/ 2799400
Full Return Tarik Barang</t>
  </si>
  <si>
    <t>AWBR-3316457135</t>
  </si>
  <si>
    <t>26060502190988t5oOybyxB</t>
  </si>
  <si>
    <t>TMP-INV-2026/06/05/ 2821551 Invoice: TMP-INV-2026/06/05/ 2821551
Full Return Tarik Barang</t>
  </si>
  <si>
    <t>AWBR-3316457135-01</t>
  </si>
  <si>
    <t>Pickup Return, wajib bawa form BA Return. Bilang ke Apotek “mau tarik barang”. Jika tidak ada barang, tulis keterangan “tidak ada barang retur” di form BA TMP-INV-2026/06/05/ 2821551 Invoice: TMP-INV-2026/06/05/ 2821551
Full Return Tarik Barang</t>
  </si>
  <si>
    <t>AWBR-3316471417</t>
  </si>
  <si>
    <t>26052106054091MnONiE0Vh</t>
  </si>
  <si>
    <t>TMP-INV-2026/05/22/ 2773608 Invoice: TMP-INV-2026/05/22/ 2773608
Full Return Tarik Barang</t>
  </si>
  <si>
    <t>AWBR-3316471417-01</t>
  </si>
  <si>
    <t>Pickup Return, wajib bawa form BA Return. Bilang ke Apotek “mau tarik barang”. Jika tidak ada barang, tulis keterangan “tidak ada barang retur” di form BA TMP-INV-2026/05/22/ 2773608 Invoice: TMP-INV-2026/05/22/ 2773608
Full Return Tarik Barang</t>
  </si>
  <si>
    <t>AWBR-3316402267</t>
  </si>
  <si>
    <t>26052401371984JMs2Q5tGy</t>
  </si>
  <si>
    <t>Apotek Zamzam Gunung Batu Gunungbatu Bogor Barat</t>
  </si>
  <si>
    <t>Jl. Mayjend Ishak Djuarsa No.379 Rt.001 RW.012, Kel. Gunungbatu, Kec. Bogor Barat, Kota Bogor</t>
  </si>
  <si>
    <t>TMP-INV-2026/05/24/ 2779533 ALOCLAIR PLUS MOUTHWASH Enseval OBAT KUMUR Tarik Barang</t>
  </si>
  <si>
    <t>AWBR-3316402267-01</t>
  </si>
  <si>
    <t>Pickup Return, wajib bawa form BA Return. Bilang ke Apotek “mau tarik barang”. Jika tidak ada barang, tulis keterangan “tidak ada barang retur” di form BA TMP-INV-2026/05/24/ 2779533 ALOCLAIR PLUS MOUTHWASH Enseval OBAT KUMUR Tarik Barang</t>
  </si>
  <si>
    <t>AWBR-3315231628</t>
  </si>
  <si>
    <t>26041302101862ntWQlASUe</t>
  </si>
  <si>
    <t>Apotek Alka Farma Mekar Bakti Panongan</t>
  </si>
  <si>
    <t>6,29E+11</t>
  </si>
  <si>
    <t>Jl. Citra Raya Boulevard Ruko Blossom, Blok W01 / 05 R, Desa/Kel. Mekar Bakti, Kec. Panongan, Kabupaten Tangerang</t>
  </si>
  <si>
    <t>TMP-INV-2026/04/13/ 2631207 Invoice: TMP-INV-2026/04/13/ 2631207
Full Return Tarik Barang</t>
  </si>
  <si>
    <t>AWBR-3315231628-01</t>
  </si>
  <si>
    <t>Pickup Return, wajib bawa form BA Return. Bilang ke Apotek “mau tarik barang”. Jika tidak ada barang, tulis keterangan “tidak ada barang retur” di form BA TMP-INV-2026/04/13/ 2631207 Invoice: TMP-INV-2026/04/13/ 2631207
Full Return Tarik Barang</t>
  </si>
  <si>
    <t>AWBR-3314581560</t>
  </si>
  <si>
    <t>26021201235345dX9tO75dH</t>
  </si>
  <si>
    <t>Klinik Pratama Biomedilab Cisoka Cisoka</t>
  </si>
  <si>
    <t>Kp. Lukun RT 001 RW 001, Desa/Kelurahan Cisoka, Kec. Cisoka, Kab. Tangerang</t>
  </si>
  <si>
    <t>TMP-INV-2026/02/12/ 2424708 Invoice: TMP-INV-2026/02/12/ 2424708
Full Return Tarik Barang</t>
  </si>
  <si>
    <t>AWBR-3314581560-01</t>
  </si>
  <si>
    <t>Pickup Return, wajib bawa form BA Return. Bilang ke Apotek “mau tarik barang”. Jika tidak ada barang, tulis keterangan “tidak ada barang retur” di form BA TMP-INV-2026/02/12/ 2424708 Invoice: TMP-INV-2026/02/12/ 2424708
Full Return Tarik Barang</t>
  </si>
  <si>
    <t>AWBR-3316447204</t>
  </si>
  <si>
    <t>26060406192408e32sBfZGp</t>
  </si>
  <si>
    <t>Apotek Ceremai Farma 2 Japara Japara</t>
  </si>
  <si>
    <t>Jl.Raya Japara No 1 RT 013 RW 007 Dusun Wage Desa Japara Kec.Japara Kab.Kuningan</t>
  </si>
  <si>
    <t>TMP-INV-2026/06/05/ 2822695 BODREXIN FLU dan BATUK PE Tempo Scan SIRUP RASA JERUK
8x OBH Surya Itrasal SIRUP
4x MINYAK ANGIN CAP KAPAK Yahi Utama
4x VESPERUM Ifars SUSPENSI
10x VICKS VAPORUB Darya-Varia Tarik Barang</t>
  </si>
  <si>
    <t>AWBR-3316447204-01</t>
  </si>
  <si>
    <t>Pickup Return, wajib bawa form BA Return. Bilang ke Apotek “mau tarik barang”. Jika tidak ada barang, tulis keterangan “tidak ada barang retur” di form BA TMP-INV-2026/06/05/ 2822695 BODREXIN FLU dan BATUK PE Tempo Scan SIRUP RASA JERUK
8x OBH Surya Itrasal SIRUP
4x MINYAK ANGIN CAP KAPAK Yahi Utama
4x VESPERUM Ifars SUSPENSI
10x VICKS VAPORUB Darya-Varia Tarik Barang</t>
  </si>
  <si>
    <t>AWBR-3316412495</t>
  </si>
  <si>
    <t>26052710055644eRQ7Te9B4</t>
  </si>
  <si>
    <t>Apotek Mulya 2 Taraju Taraju</t>
  </si>
  <si>
    <t>Jl. Raya Taraju RT. 003 RW. 004 Desa Taraju, Kecamatan Taraju, Kabupaten Tasikmalaya</t>
  </si>
  <si>
    <t>TMP-INV-2026/05/28/ 2793570 OBH COMBI BATUK PLUS FLU RASA JAHE Combiphar SIRUP
5x OBH COMBI BATUK PLUS FLU RASA JAHE Combiphar SIRUP Tarik Barang</t>
  </si>
  <si>
    <t>AWBR-3316412495-01</t>
  </si>
  <si>
    <t>Pickup Return, wajib bawa form BA Return. Bilang ke Apotek “mau tarik barang”. Jika tidak ada barang, tulis keterangan “tidak ada barang retur” di form BA TMP-INV-2026/05/28/ 2793570 OBH COMBI BATUK PLUS FLU RASA JAHE Combiphar SIRUP
5x OBH COMBI BATUK PLUS FLU RASA JAHE Combiphar SIRUP Tarik Barang</t>
  </si>
  <si>
    <t>AWBR-3316410843</t>
  </si>
  <si>
    <t>26060104384503AvAsZwn6r</t>
  </si>
  <si>
    <t>Apotek Pranajaya Sukamaju Majalaya</t>
  </si>
  <si>
    <t>Jl. Raya Laswi, No. 149, RT. 002, RW. 008, Desa/Kelurahan Sukamaju, Kec. Majalaya, Kab. Bandung</t>
  </si>
  <si>
    <t>TMP-INV-2026/06/02/ 2806005 INTERLAC Interbat DROPS Tarik Barang</t>
  </si>
  <si>
    <t>AWBR-3316410843-01</t>
  </si>
  <si>
    <t>Pickup Return, wajib bawa form BA Return. Bilang ke Apotek “mau tarik barang”. Jika tidak ada barang, tulis keterangan “tidak ada barang retur” di form BA TMP-INV-2026/06/02/ 2806005 INTERLAC Interbat DROPS Tarik Barang</t>
  </si>
  <si>
    <t>AWBR-3313809368</t>
  </si>
  <si>
    <t>26060203532922W9rOGOb83</t>
  </si>
  <si>
    <t>Apotek Sugeng</t>
  </si>
  <si>
    <t>Jalan Petemon Barat No. 136 Kelurahan Petemon Kecamatan Sawahan Kota Surabaya 60252</t>
  </si>
  <si>
    <t>TMP-INV-2026/06/02/ 2807703 VOMIZOLE 40 Dexa Medica TABLET 40 MG Tarik Barang</t>
  </si>
  <si>
    <t>AWBR-3313809368-01</t>
  </si>
  <si>
    <t>Pickup Return, wajib bawa form BA Return. Bilang ke Apotek “mau tarik barang”. Jika tidak ada barang, tulis keterangan “tidak ada barang retur” di form BA TMP-INV-2026/06/02/ 2807703 VOMIZOLE 40 Dexa Medica TABLET 40 MG Tarik Barang</t>
  </si>
  <si>
    <t>AWBR-3315932564</t>
  </si>
  <si>
    <t>26060407381253vaNrJJug1</t>
  </si>
  <si>
    <t>Apotek Sumber Waras 3631</t>
  </si>
  <si>
    <t>Jalan Galunggung No.91A, Gading Kasri, Kecamatan Klojen, Kota Malang, Jawa Timur 65115</t>
  </si>
  <si>
    <t>TMP-INV-2026/06/04/ 2818625 ANDALAN ALAT UJI KEHAMILAN MIDSTREAM Dkt Tarik Barang</t>
  </si>
  <si>
    <t>AWBR-3315932564-01</t>
  </si>
  <si>
    <t>Pickup Return, wajib bawa form BA Return. Bilang ke Apotek “mau tarik barang”. Jika tidak ada barang, tulis keterangan “tidak ada barang retur” di form BA TMP-INV-2026/06/04/ 2818625 ANDALAN ALAT UJI KEHAMILAN MIDSTREAM Dkt Tarik Barang</t>
  </si>
  <si>
    <t>AWBR-3315344953</t>
  </si>
  <si>
    <t>26060403040661dOCnjISe</t>
  </si>
  <si>
    <t>Apotek Mira Farma</t>
  </si>
  <si>
    <t>Jl. Bukit Berbunga No 5 RT.03 RW.08, Desa/Kelurahan Sidomulyo,Kecamatan Batu, Kota Batu,Jawa Timur,65317</t>
  </si>
  <si>
    <t>TMP-INV-2026/06/04/ 2818586 ATORVASTATIN CALCIUM Hexpharm TABLET 10 MG Tarik Barang</t>
  </si>
  <si>
    <t>AWBR-3315344953-01</t>
  </si>
  <si>
    <t>Pickup Return, wajib bawa form BA Return. Bilang ke Apotek “mau tarik barang”. Jika tidak ada barang, tulis keterangan “tidak ada barang retur” di form BA TMP-INV-2026/06/04/ 2818586 ATORVASTATIN CALCIUM Hexpharm TABLET 10 MG Tarik Barang</t>
  </si>
  <si>
    <t>AWBR-3315192715</t>
  </si>
  <si>
    <t>26060305422663HpKHomBuG</t>
  </si>
  <si>
    <t>Apotek Blimbing Farma</t>
  </si>
  <si>
    <t>Jalan Blimbing - Gudo no 22 Blimbing, Kecamatan Gudo, Kabupaten Jombang 61463</t>
  </si>
  <si>
    <t>TMP-INV-2026/06/04/ 2818267 SAKATONIK ACTIV MULTIVITAMIN ZAT BESI Saka Farma KAPLET Tarik Barang</t>
  </si>
  <si>
    <t>AWBR-3315192715-01</t>
  </si>
  <si>
    <t>Pickup Return, wajib bawa form BA Return. Bilang ke Apotek “mau tarik barang”. Jika tidak ada barang, tulis keterangan “tidak ada barang retur” di form BA TMP-INV-2026/06/04/ 2818267 SAKATONIK ACTIV MULTIVITAMIN ZAT BESI Saka Farma KAPLET Tarik Barang</t>
  </si>
  <si>
    <t>AWBR-3315512096</t>
  </si>
  <si>
    <t>26052604393871RtTQS52o</t>
  </si>
  <si>
    <t>Klinik Pratama Paradise Gununganyar Rungkut Menanggal</t>
  </si>
  <si>
    <t>Jl. Rungkut Menanggal Harapan J No. 9,Desa/Kelurahan Rungkut Menanggal,Kecamatan Gunung Anyar,Kota Surabaya,Jawa Timur,60293</t>
  </si>
  <si>
    <t>TMP-INV-2026/05/26/ 2788234 PRAXION Pharos DROPS Tarik Barang</t>
  </si>
  <si>
    <t>AWBR-3315512096-01</t>
  </si>
  <si>
    <t>Pickup Return, wajib bawa form BA Return. Bilang ke Apotek “mau tarik barang”. Jika tidak ada barang, tulis keterangan “tidak ada barang retur” di form BA TMP-INV-2026/05/26/ 2788234 PRAXION Pharos DROPS Tarik Barang</t>
  </si>
  <si>
    <t>AWBR-3316409881</t>
  </si>
  <si>
    <t>25020402431048nmpg5BhwV</t>
  </si>
  <si>
    <t>Apotek Umi</t>
  </si>
  <si>
    <t>Jalan Karah Agung No.29 ( Lama : Jalan Karah Agung No. 18 ) , Kelurahan Karah, Kecamatan Jambangan, Kota Surabaya, Jawa Timur 60232</t>
  </si>
  <si>
    <t>TMP-INV-2025/02/04/ 1328383 AKILEN Sanbe TETES MATA Tarik Barang</t>
  </si>
  <si>
    <t>AWBR-3316409881-01</t>
  </si>
  <si>
    <t>Pickup Return, wajib bawa form BA Return. Bilang ke Apotek “mau tarik barang”. Jika tidak ada barang, tulis keterangan “tidak ada barang retur” di form BA TMP-INV-2025/02/04/ 1328383 AKILEN Sanbe TETES MATA Tarik Barang</t>
  </si>
  <si>
    <t>AWBR-3314599015</t>
  </si>
  <si>
    <t>25070211580634U34f7yvyX</t>
  </si>
  <si>
    <t>Apotek HDK Farma</t>
  </si>
  <si>
    <t>Dusun Sumbergesing Kulon RT 1 RW 8 Gedangan, Kecamatan Gedangan, Kabupaten Malang 65178</t>
  </si>
  <si>
    <t>TMP-INV-2025/07/03/ 1706708 LACTOGEN PREMATURE and LBW Nestle Tarik Barang</t>
  </si>
  <si>
    <t>AWBR-3314599015-01</t>
  </si>
  <si>
    <t>Pickup Return, wajib bawa form BA Return. Bilang ke Apotek “mau tarik barang”. Jika tidak ada barang, tulis keterangan “tidak ada barang retur” di form BA TMP-INV-2025/07/03/ 1706708 LACTOGEN PREMATURE and LBW Nestle Tarik Barang</t>
  </si>
  <si>
    <t>AWBR-3316292738</t>
  </si>
  <si>
    <t>26060407574653WMpP7vbQD</t>
  </si>
  <si>
    <t>Apotek Mojogedang</t>
  </si>
  <si>
    <t>Jl.Raya Mojogedang-Jamus, Dersono RT 02 RW 04 Kel.Mojogedang, Kec.Mojogedang, Kabupaten Karanganyar Jawa Tengah 57752</t>
  </si>
  <si>
    <t>TMP-INV-2026/06/04/ 2818661 DUPHASTON Abbott TABLET 10 MG
1x MICROGEST 200 Lapi KAPSUL Tarik Barang</t>
  </si>
  <si>
    <t>AWBR-3316292738-01</t>
  </si>
  <si>
    <t>Pickup Return, wajib bawa form BA Return. Bilang ke Apotek “mau tarik barang”. Jika tidak ada barang, tulis keterangan “tidak ada barang retur” di form BA TMP-INV-2026/06/04/ 2818661 DUPHASTON Abbott TABLET 10 MG
1x MICROGEST 200 Lapi KAPSUL Tarik Barang</t>
  </si>
  <si>
    <t>AWBR-3316406573</t>
  </si>
  <si>
    <t>Apotek K24 Giri</t>
  </si>
  <si>
    <t>Jl. Sunan Prapen No. 31,Desa Klangonan, Kecamatan Kebomas, Kabupaten Gresik, Jawa Timur,61124</t>
  </si>
  <si>
    <t>TMP-INV-2026/05/22/ 2773645;
TMP-INV-2026/05/28/ 2791457 PROVE D3 Kalbe DROPS Tarik Barang</t>
  </si>
  <si>
    <t>AWBR-3316406573-01</t>
  </si>
  <si>
    <t>Pickup Return, wajib bawa form BA Return. Bilang ke Apotek “mau tarik barang”. Jika tidak ada barang, tulis keterangan “tidak ada barang retur” di form BA TMP-INV-2026/05/22/ 2773645;
TMP-INV-2026/05/28/ 2791457 PROVE D3 Kalbe DROPS Tarik Barang</t>
  </si>
  <si>
    <t>AWBR-3316487905</t>
  </si>
  <si>
    <t>25101010484885dGkJKolm</t>
  </si>
  <si>
    <t>Apotek Abima Farma</t>
  </si>
  <si>
    <t>Jl. Pattimura No.77 Banjarsari RT.003 RW.003 Lorog, Tawangsari, Sukoharjo</t>
  </si>
  <si>
    <t>TMP-INV-2025/10/11/ 2014376 BLACKMORES PREGNANCY &amp; BREAST-FEEDING GOLD Kalbe KAPSUL Tarik Barang</t>
  </si>
  <si>
    <t>AWBR-3316487905-01</t>
  </si>
  <si>
    <t>Pickup Return, wajib bawa form BA Return. Bilang ke Apotek “mau tarik barang”. Jika tidak ada barang, tulis keterangan “tidak ada barang retur” di form BA TMP-INV-2025/10/11/ 2014376 BLACKMORES PREGNANCY &amp; BREAST-FEEDING GOLD Kalbe KAPSUL Tarik Barang</t>
  </si>
  <si>
    <t>AWBR-3313862107</t>
  </si>
  <si>
    <t>260602032456496vXWzMWL8H</t>
  </si>
  <si>
    <t>Apotek Banana</t>
  </si>
  <si>
    <t>Jalan Sukodono No. 532 RT. 001 RW. 005 Kelurahan Kebonananom, Kecamatan Gedangan, Kabupaten Sidoarjo, Jawa Timur 61254</t>
  </si>
  <si>
    <t>TMP-INV-2026/06/02/ 2807254 ATORVASTATIN CALCIUM Hexpharm TABLET 20 MG Tarik Barang</t>
  </si>
  <si>
    <t>AWBR-3313862107-01</t>
  </si>
  <si>
    <t>Pickup Return, wajib bawa form BA Return. Bilang ke Apotek “mau tarik barang”. Jika tidak ada barang, tulis keterangan “tidak ada barang retur” di form BA TMP-INV-2026/06/02/ 2807254 ATORVASTATIN CALCIUM Hexpharm TABLET 20 MG Tarik Barang</t>
  </si>
  <si>
    <t>AWBR-3316282253</t>
  </si>
  <si>
    <t>26060600264439DSa1exGcL</t>
  </si>
  <si>
    <t>Apotek Narendra</t>
  </si>
  <si>
    <t>Jalan Raya Bungah No. 8 Dusun Nongkokerep, Desa/Kelurahan Bungah, Kecamatan Bungah, Kabupaten Gresik, Jawa Timur 61152</t>
  </si>
  <si>
    <t>TMP-INV-2026/06/06/ 2824355 CALADINE BABY LIQUID SOAP WITH ANTI IRRITANT Galenium Tarik Barang</t>
  </si>
  <si>
    <t>AWBR-3316282253-01</t>
  </si>
  <si>
    <t>Pickup Return, wajib bawa form BA Return. Bilang ke Apotek “mau tarik barang”. Jika tidak ada barang, tulis keterangan “tidak ada barang retur” di form BA TMP-INV-2026/06/06/ 2824355 CALADINE BABY LIQUID SOAP WITH ANTI IRRITANT Galenium Tarik Barang</t>
  </si>
  <si>
    <t>AWBR-3315271575</t>
  </si>
  <si>
    <t>TMP-INV-2026/06/03/ 2811645;
TMP-INV-2026/06/03/ 2812618 ANADEX Interbat SIRUP Tarik Barang</t>
  </si>
  <si>
    <t>AWBR-3315271575-01</t>
  </si>
  <si>
    <t>Pickup Return, wajib bawa form BA Return. Bilang ke Apotek “mau tarik barang”. Jika tidak ada barang, tulis keterangan “tidak ada barang retur” di form BA TMP-INV-2026/06/03/ 2811645;
TMP-INV-2026/06/03/ 2812618 ANADEX Interbat SIRUP Tarik Barang</t>
  </si>
  <si>
    <t>AWBR-3316632445</t>
  </si>
  <si>
    <t>260608034413196oyCUu5Wa</t>
  </si>
  <si>
    <t>Apotek Jambangan Jambangan Jambangan</t>
  </si>
  <si>
    <t>Jalan Jambangan Kebon Agung No. 39 A Kelurahan Jambangan, Kecamatan Jambangan, Kota Surabaya, Jawa Timur 60232</t>
  </si>
  <si>
    <t>TMP-INV-2026/06/08/ 2830421 D3-1000 Pyridam TABLET Tarik Barang</t>
  </si>
  <si>
    <t>AWBR-3316632445-01</t>
  </si>
  <si>
    <t>Pickup Return, wajib bawa form BA Return. Bilang ke Apotek “mau tarik barang”. Jika tidak ada barang, tulis keterangan “tidak ada barang retur” di form BA TMP-INV-2026/06/08/ 2830421 D3-1000 Pyridam TABLET Tarik Barang</t>
  </si>
  <si>
    <t>AWBR-3315232541</t>
  </si>
  <si>
    <t>241021010259310QwNWXE8VG</t>
  </si>
  <si>
    <t>Apotek Avicenna Sukorame Gresik</t>
  </si>
  <si>
    <t>Jalan Dokter Soetomo No.160 Kelurahan Sukorame, Kecamatan Gresik, Kabupaten Gresik, Jawa Timur 61121</t>
  </si>
  <si>
    <t>TMP-INV-2024/10/21/ 1083722 POLIDENT DENTURE ADHESIVE FLAVOUR FREE Haleon KRIM Tarik Barang</t>
  </si>
  <si>
    <t>AWBR-3315232541-01</t>
  </si>
  <si>
    <t>Pickup Return, wajib bawa form BA Return. Bilang ke Apotek “mau tarik barang”. Jika tidak ada barang, tulis keterangan “tidak ada barang retur” di form BA TMP-INV-2024/10/21/ 1083722 POLIDENT DENTURE ADHESIVE FLAVOUR FREE Haleon KRIM Tarik Barang</t>
  </si>
  <si>
    <t>AWBR-3312465437</t>
  </si>
  <si>
    <t>26053015531586xFSp4Pq2XY</t>
  </si>
  <si>
    <t>Apotek K24 Brigjen Katamso Janti Waru</t>
  </si>
  <si>
    <t>Jalan Brigjen Katamso No. 38B Kelurahan Janti, Kecamatan Waru, Kabupaten Sidoarjo, Jawa Timur 61256</t>
  </si>
  <si>
    <t>TMP-INV-2026/05/31/ 2800982 STERIMAR BLOCKED NOSE BABY Hypens Tarik Barang</t>
  </si>
  <si>
    <t>AWBR-3312465437-01</t>
  </si>
  <si>
    <t>Pickup Return, wajib bawa form BA Return. Bilang ke Apotek “mau tarik barang”. Jika tidak ada barang, tulis keterangan “tidak ada barang retur” di form BA TMP-INV-2026/05/31/ 2800982 STERIMAR BLOCKED NOSE BABY Hypens Tarik Barang</t>
  </si>
  <si>
    <t>AWBR-3314613307</t>
  </si>
  <si>
    <t>26060304280117KOYre9v5</t>
  </si>
  <si>
    <t>Apotek Sumber Waras Sentanan Kranggan</t>
  </si>
  <si>
    <t>Jalan PB. Sudirman No.106, Mergelo, Kelurahan Sentanan, Kecamatan Magersari, Kota Mojokerto, Jawa Timur 61312</t>
  </si>
  <si>
    <t>TMP-INV-2026/06/04/ 2814803 PARASOL SUNCREEN LOTION Surya Dermato SPF 30 Tarik Barang</t>
  </si>
  <si>
    <t>AWBR-3314613307-01</t>
  </si>
  <si>
    <t>Pickup Return, wajib bawa form BA Return. Bilang ke Apotek “mau tarik barang”. Jika tidak ada barang, tulis keterangan “tidak ada barang retur” di form BA TMP-INV-2026/06/04/ 2814803 PARASOL SUNCREEN LOTION Surya Dermato SPF 30 Tarik Barang</t>
  </si>
  <si>
    <t>AWBR-3315167140</t>
  </si>
  <si>
    <t>2606030509130284rK37EEz</t>
  </si>
  <si>
    <t>Apotek Kimi Farma Ngadirejo Kota</t>
  </si>
  <si>
    <t>Jl. Selowarih RT.004 RW 005,Desa/Kelurahan Ngadirejo,Kecamatan Kota,Kota Kediri,Jawa Timur,64122</t>
  </si>
  <si>
    <t>TMP-INV-2026/06/04/ 2818326 SALONPAS Hisamitsu Tarik Barang</t>
  </si>
  <si>
    <t>AWBR-3315167140-01</t>
  </si>
  <si>
    <t>Pickup Return, wajib bawa form BA Return. Bilang ke Apotek “mau tarik barang”. Jika tidak ada barang, tulis keterangan “tidak ada barang retur” di form BA TMP-INV-2026/06/04/ 2818326 SALONPAS Hisamitsu Tarik Barang</t>
  </si>
  <si>
    <t>AWBR-3316444994</t>
  </si>
  <si>
    <t>26060306370241z6NgMHkxk</t>
  </si>
  <si>
    <t>Apotek Bareng Bareng Klojen</t>
  </si>
  <si>
    <t>Jl. IR Rais No. 284,Desa/Kelurahan Bareng,Kecamatan Klojen,Kota Malang, Jawa Timur,65116</t>
  </si>
  <si>
    <t>TMP-INV-2026/06/04/ 2815273 ANDALUT Dkt 5 MG Tarik Barang</t>
  </si>
  <si>
    <t>AWBR-3316444994-01</t>
  </si>
  <si>
    <t>Pickup Return, wajib bawa form BA Return. Bilang ke Apotek “mau tarik barang”. Jika tidak ada barang, tulis keterangan “tidak ada barang retur” di form BA TMP-INV-2026/06/04/ 2815273 ANDALUT Dkt 5 MG Tarik Barang</t>
  </si>
  <si>
    <t>AWBR-3316461759</t>
  </si>
  <si>
    <t>26060603120943hRMO2UEFV</t>
  </si>
  <si>
    <t>Apotek Subur Medika Tegal Harum Denpasar Barat</t>
  </si>
  <si>
    <t>Jalan Gunung Rinjani IX C No 2C, Banjar Sanga Agung, Kel. Tegal Harum, Kec. Denpasar Barat, Kota Denpasar, Provinsi Bali,80119</t>
  </si>
  <si>
    <t>TMP-INV-2026/06/06/ 2825486 Invoice: TMP-INV-2026/06/06/ 2825486
Full Return Tarik Barang</t>
  </si>
  <si>
    <t>AWBR-3316461759-01</t>
  </si>
  <si>
    <t>Pickup Return, wajib bawa form BA Return. Bilang ke Apotek “mau tarik barang”. Jika tidak ada barang, tulis keterangan “tidak ada barang retur” di form BA TMP-INV-2026/06/06/ 2825486 Invoice: TMP-INV-2026/06/06/ 2825486
Full Return Tarik Barang</t>
  </si>
  <si>
    <t>AWBR-3316471432</t>
  </si>
  <si>
    <t>260520044358483PoaH5Gglo</t>
  </si>
  <si>
    <t>Apotek K24 Mlajah Mlajah Bangkalan</t>
  </si>
  <si>
    <t>Jl. RE. Martadinata No.13,Desa/Kelurahan Mlajah,Kecamatan Bangkalan, Kabupaten Bangkalan,Jawa Timur,69116</t>
  </si>
  <si>
    <t>TMP-INV-2026/05/20/ 2767425 ANDALAN STRIP UJI KEHAMILAN PRIBADI Dkt Tarik Barang</t>
  </si>
  <si>
    <t>AWBR-3316471432-01</t>
  </si>
  <si>
    <t>Pickup Return, wajib bawa form BA Return. Bilang ke Apotek “mau tarik barang”. Jika tidak ada barang, tulis keterangan “tidak ada barang retur” di form BA TMP-INV-2026/05/20/ 2767425 ANDALAN STRIP UJI KEHAMILAN PRIBADI Dkt Tarik Barang</t>
  </si>
  <si>
    <t>AWBR-3316413001</t>
  </si>
  <si>
    <t>25032600442022AtocbiDxE</t>
  </si>
  <si>
    <t>Apotek Laras Farma Batubulan Sukawati</t>
  </si>
  <si>
    <t>Jalan Raya Batubulan,Desa/Kelurahan Batubulan,Kecamatan Sukawati,Kabupaten Gianyar,Bali,80238</t>
  </si>
  <si>
    <t>TMP-INV-2025/03/26/ 1455771 MARIMER HYPERTONIC SEA WATER SOLUTION Phapros NASAL SPRAY Tarik Barang</t>
  </si>
  <si>
    <t>AWBR-3316413001-01</t>
  </si>
  <si>
    <t>Pickup Return, wajib bawa form BA Return. Bilang ke Apotek “mau tarik barang”. Jika tidak ada barang, tulis keterangan “tidak ada barang retur” di form BA TMP-INV-2025/03/26/ 1455771 MARIMER HYPERTONIC SEA WATER SOLUTION Phapros NASAL SPRAY Tarik Barang</t>
  </si>
  <si>
    <t>AWBR-3315933594</t>
  </si>
  <si>
    <t>26060503414763y01yloICG4</t>
  </si>
  <si>
    <t>Apotek Indobat Padma Penatih Denpasar Utara</t>
  </si>
  <si>
    <t>Jl. Padma No. 3, Desa/Kelurahan Peguyangan Kangin, Kecamatan Denpasar Utara,Kota Denpasar,Bali,80115</t>
  </si>
  <si>
    <t>TMP-INV-2026/06/05/ 2821856 IMBOOST BONE Soho TABLET EFFERVESCENT Tarik Barang</t>
  </si>
  <si>
    <t>AWBR-3315933594-01</t>
  </si>
  <si>
    <t>Pickup Return, wajib bawa form BA Return. Bilang ke Apotek “mau tarik barang”. Jika tidak ada barang, tulis keterangan “tidak ada barang retur” di form BA TMP-INV-2026/06/05/ 2821856 IMBOOST BONE Soho TABLET EFFERVESCENT Tarik Barang</t>
  </si>
  <si>
    <t>AWBR-3316254885</t>
  </si>
  <si>
    <t>26060502283386bd21QLXyl</t>
  </si>
  <si>
    <t>Apotek K24 Tamantirto Tamantirto Kasihan</t>
  </si>
  <si>
    <t>Jl. Garuda 1-2, Gatak, Desa/Kelurahan Tamantirto, Kecamatan Kasihan,Kabupaten Bantul,Daerah Istimewa Yogyakarta,55184</t>
  </si>
  <si>
    <t>TMP-INV-2026/06/05/ 2819987 YOUVIT OMEGA-3 KIDS RASA PERSIK, JERUK, RASBERI Yupi - DUS Tarik Barang</t>
  </si>
  <si>
    <t>AWBR-3316254885-01</t>
  </si>
  <si>
    <t>Pickup Return, wajib bawa form BA Return. Bilang ke Apotek “mau tarik barang”. Jika tidak ada barang, tulis keterangan “tidak ada barang retur” di form BA TMP-INV-2026/06/05/ 2819987 YOUVIT OMEGA-3 KIDS RASA PERSIK, JERUK, RASBERI Yupi - DUS Tarik Barang</t>
  </si>
  <si>
    <t>AWBR-3315465454</t>
  </si>
  <si>
    <t>Apotek K24 Blok O Banguntapan Banguntapan</t>
  </si>
  <si>
    <t>Perum Janti Residence Kav RK 80 Maguwo RT 27 KD IV Wonocatur,Desa/Kelurahan Banguntapan, Kecamatan Banguntapan, Kabupaten Bantul,Daerah Istimewa Yogyakarta,55198</t>
  </si>
  <si>
    <t>TMP-INV-2025/08/05/ 1804023 GLUMIN XR Dexa Medica KAPLET 750 MG Tarik Barang</t>
  </si>
  <si>
    <t>AWBR-3315465454-01</t>
  </si>
  <si>
    <t>Pickup Return, wajib bawa form BA Return. Bilang ke Apotek “mau tarik barang”. Jika tidak ada barang, tulis keterangan “tidak ada barang retur” di form BA TMP-INV-2025/08/05/ 1804023 GLUMIN XR Dexa Medica KAPLET 750 MG Tarik Barang</t>
  </si>
  <si>
    <t>AWBR-3316456006</t>
  </si>
  <si>
    <t>24112901435900hjsHORuX7</t>
  </si>
  <si>
    <t>Apotek Rahayu Dawuhan Sengon Purwodadi</t>
  </si>
  <si>
    <t>Dusun Sawiran RT.009 RW.006,Desa/Kelurahan Dawuhan Sengon,Kecamatan Purwodadi,Kabupaten Pasuruan,Jawa Timur,67163</t>
  </si>
  <si>
    <t>TMP-INV-2024/11/29/ 1169353 ACTIFED GSK SIRUP Tarik Barang</t>
  </si>
  <si>
    <t>AWBR-3316456006-01</t>
  </si>
  <si>
    <t>Pickup Return, wajib bawa form BA Return. Bilang ke Apotek “mau tarik barang”. Jika tidak ada barang, tulis keterangan “tidak ada barang retur” di form BA TMP-INV-2024/11/29/ 1169353 ACTIFED GSK SIRUP Tarik Barang</t>
  </si>
  <si>
    <t>AWBR-3315901069</t>
  </si>
  <si>
    <t>240605025146430dlESmL8W</t>
  </si>
  <si>
    <t>Apotek Difa Farma Sumberejo Sukodono</t>
  </si>
  <si>
    <t>Jl. Musi RT. 08 RW. 02, Desa/Kelurahan Sumberejo, Kecamatan Sukodono,Kabupaten Lumajang,Jawa Timur,67352</t>
  </si>
  <si>
    <t>TMP-INV-2024/06/05/ 819572 ACTIFED GSK SIRUP Tarik Barang</t>
  </si>
  <si>
    <t>AWBR-3315901069-01</t>
  </si>
  <si>
    <t>Pickup Return, wajib bawa form BA Return. Bilang ke Apotek “mau tarik barang”. Jika tidak ada barang, tulis keterangan “tidak ada barang retur” di form BA TMP-INV-2024/06/05/ 819572 ACTIFED GSK SIRUP Tarik Barang</t>
  </si>
  <si>
    <t>AWBR-3317049828</t>
  </si>
  <si>
    <t>26060713532143jJsNQGjrc</t>
  </si>
  <si>
    <t>Apotek Rachma Farma Kutisari Tenggilis Mejoyo</t>
  </si>
  <si>
    <t>Jalan Kutisari Utara No. 46 B, Desa/Kelurahan Kutisari,Kecamatan Tenggilis Mejoyo,Kota Surabaya,Jawa Timur,60291</t>
  </si>
  <si>
    <t>TMP-INV-2026/06/08/ 2828838 Invoice: TMP-INV-2026/06/08/ 2828838
Full Return Tarik Barang</t>
  </si>
  <si>
    <t>AWBR-3317049828-01</t>
  </si>
  <si>
    <t>Pickup Return, wajib bawa form BA Return. Bilang ke Apotek “mau tarik barang”. Jika tidak ada barang, tulis keterangan “tidak ada barang retur” di form BA TMP-INV-2026/06/08/ 2828838 Invoice: TMP-INV-2026/06/08/ 2828838
Full Return Tarik Barang</t>
  </si>
  <si>
    <t>AWBR-3315238290</t>
  </si>
  <si>
    <t>Apotek Nusantara Kepolorejo Magetan</t>
  </si>
  <si>
    <t>Jl. A Yani No. 51, Desa/Kelurahan Kepolorejo,Kecamatan Magetan,Kabupaten Magetan,Jawa Timur,63311</t>
  </si>
  <si>
    <t>TMP-INV-2026/06/03/ 2810375;
TMP-INV-2026/06/03/ 2813996 Invoice: TMP-INV-2026/06/03/ 2810375
Full Return
----------------------------------------
Invoice: TMP-INV-2026/06/03/ 2813996
Full Return Tarik Barang</t>
  </si>
  <si>
    <t>AWBR-3315238290-01</t>
  </si>
  <si>
    <t>Pickup Return, wajib bawa form BA Return. Bilang ke Apotek “mau tarik barang”. Jika tidak ada barang, tulis keterangan “tidak ada barang retur” di form BA TMP-INV-2026/06/03/ 2810375;
TMP-INV-2026/06/03/ 2813996 Invoice: TMP-INV-2026/06/03/ 2810375
Full Return
----------------------------------------
Invoice: TMP-INV-2026/06/03/ 2813996
Full Return Tarik Barang</t>
  </si>
  <si>
    <t>AWBR-3316495106</t>
  </si>
  <si>
    <t>26060403420116WnkPbDnho</t>
  </si>
  <si>
    <t>Apotek Heka Majapahit Palebon Pedurungan</t>
  </si>
  <si>
    <t>Jl Brigjen Sudiarto No 330 , Desa/Kelurahan Palebon,Kecamatan Pedurungan,Kota Semarang,Jawa Tengah,50246</t>
  </si>
  <si>
    <t>TMP-INV-2026/06/04/ 2818540 AMMELTZ YOKO YOKO Eagle Indo Tarik Barang</t>
  </si>
  <si>
    <t>AWBR-3316495106-01</t>
  </si>
  <si>
    <t>Pickup Return, wajib bawa form BA Return. Bilang ke Apotek “mau tarik barang”. Jika tidak ada barang, tulis keterangan “tidak ada barang retur” di form BA TMP-INV-2026/06/04/ 2818540 AMMELTZ YOKO YOKO Eagle Indo Tarik Barang</t>
  </si>
  <si>
    <t>AWBR-3316675114</t>
  </si>
  <si>
    <t>26060802201429ewFgUZFG1X</t>
  </si>
  <si>
    <t>Apotek Berkah One Bringinbendo Taman</t>
  </si>
  <si>
    <t>Jl. Bringin Barat No. 2, Desa/Kelurahan Bringinbendo,Kecamatan Taman,Kabupaten Sidoarjo,Jawa Timur,61257</t>
  </si>
  <si>
    <t>TMP-INV-2026/06/08/ 2830771 ASTHIN FORCE 12 Soho KAPSUL Tarik Barang</t>
  </si>
  <si>
    <t>AWBR-3316675114-01</t>
  </si>
  <si>
    <t>Pickup Return, wajib bawa form BA Return. Bilang ke Apotek “mau tarik barang”. Jika tidak ada barang, tulis keterangan “tidak ada barang retur” di form BA TMP-INV-2026/06/08/ 2830771 ASTHIN FORCE 12 Soho KAPSUL Tarik Barang</t>
  </si>
  <si>
    <t>AWBR-3315225604</t>
  </si>
  <si>
    <t>25080506191227TZBs2Ig0I</t>
  </si>
  <si>
    <t>Apotek Althaf Farma Maguwoharjo Depok</t>
  </si>
  <si>
    <t>Jl.Pangeran Diponegoro Dusun Bedreg Desa/Kelurahan Maguwoharjo, Kecamatan Depok, Kabupaten Sleman,DI Yogyakarta,55282</t>
  </si>
  <si>
    <t>TMP-INV-2025/08/05/ 1804550 BLACKMORES I-FOLIC Kalbe TABLET Tarik Barang</t>
  </si>
  <si>
    <t>AWBR-3315225604-01</t>
  </si>
  <si>
    <t>Pickup Return, wajib bawa form BA Return. Bilang ke Apotek “mau tarik barang”. Jika tidak ada barang, tulis keterangan “tidak ada barang retur” di form BA TMP-INV-2025/08/05/ 1804550 BLACKMORES I-FOLIC Kalbe TABLET Tarik Barang</t>
  </si>
  <si>
    <t>AWBR-3317058484</t>
  </si>
  <si>
    <t>250922174524843YkdDQv1kg</t>
  </si>
  <si>
    <t>Apotek Indo Sehat Tegal Siwalan Tegal Siwalan</t>
  </si>
  <si>
    <t>Dusun Klobungan RT. 28 RW. 05 Desa Tegalsiwalan,Kecamatan Tegalsiwalan, Kabupaten Probolinggo,Jawa Timur,67274</t>
  </si>
  <si>
    <t>TMP-INV-2025/09/23/ 1957590 IMUNPED SIRUP Darya-Varia Tarik Barang</t>
  </si>
  <si>
    <t>AWBR-3317058484-01</t>
  </si>
  <si>
    <t>Pickup Return, wajib bawa form BA Return. Bilang ke Apotek “mau tarik barang”. Jika tidak ada barang, tulis keterangan “tidak ada barang retur” di form BA TMP-INV-2025/09/23/ 1957590 IMUNPED SIRUP Darya-Varia Tarik Barang</t>
  </si>
  <si>
    <t>AWBR-3316288055</t>
  </si>
  <si>
    <t>AWBR-3316288055-01</t>
  </si>
  <si>
    <t>AWBR-3316289082</t>
  </si>
  <si>
    <t>25120402442995z9iQruJ1d</t>
  </si>
  <si>
    <t>TMP-INV-2025/12/04/ 2193103 IMUNPED DROPS Darya-Varia Tarik Barang</t>
  </si>
  <si>
    <t>AWBR-3316289082-01</t>
  </si>
  <si>
    <t>Pickup Return, wajib bawa form BA Return. Bilang ke Apotek “mau tarik barang”. Jika tidak ada barang, tulis keterangan “tidak ada barang retur” di form BA TMP-INV-2025/12/04/ 2193103 IMUNPED DROPS Darya-Varia Tarik Barang</t>
  </si>
  <si>
    <t>AWBR-3316466507</t>
  </si>
  <si>
    <t>260602033526694kBX5dvc4S</t>
  </si>
  <si>
    <t>Apotek Lentera Brengkok Brondong</t>
  </si>
  <si>
    <t>Jl. Poros Dusun Cumpleng, RT 003 RW 013, Desa/Kelurahan Brengkok, Kecamatan Brondong,Kabupaten Lamongan, Jawa Timur, 62263</t>
  </si>
  <si>
    <t>TMP-INV-2026/06/02/ 2809499 MINYAK ANGIN CAP KAPAK Yahi Utama Tarik Barang</t>
  </si>
  <si>
    <t>AWBR-3316466507-01</t>
  </si>
  <si>
    <t>Pickup Return, wajib bawa form BA Return. Bilang ke Apotek “mau tarik barang”. Jika tidak ada barang, tulis keterangan “tidak ada barang retur” di form BA TMP-INV-2026/06/02/ 2809499 MINYAK ANGIN CAP KAPAK Yahi Utama Tarik Barang</t>
  </si>
  <si>
    <t>AWBR-3317055606</t>
  </si>
  <si>
    <t>26060515142779h85PJEjOgR</t>
  </si>
  <si>
    <t>Apotek D La Tisnonegaran Kanigaran</t>
  </si>
  <si>
    <t>Jalan A.A. Maramis No. 116, Desa/Kelurahan Kanigaran, Kecamatan Kanigaran, Kota Probolinggo, Jawa Timur, 67213</t>
  </si>
  <si>
    <t>TMP-INV-2026/06/06/ 2825926 CATAFLAM D Novartis TABLET DISPERSIBLE Tarik Barang</t>
  </si>
  <si>
    <t>AWBR-3317055606-01</t>
  </si>
  <si>
    <t>Pickup Return, wajib bawa form BA Return. Bilang ke Apotek “mau tarik barang”. Jika tidak ada barang, tulis keterangan “tidak ada barang retur” di form BA TMP-INV-2026/06/06/ 2825926 CATAFLAM D Novartis TABLET DISPERSIBLE Tarik Barang</t>
  </si>
  <si>
    <t>AWBR-3316404457</t>
  </si>
  <si>
    <t>26060404524185rTpkSm7niU</t>
  </si>
  <si>
    <t>Apotek An Nuur Pesurungan Kidul Tegal Barat</t>
  </si>
  <si>
    <t>Jl. Dewi Sartika No. 8 RT 05 / RW 03, Desa/Kel. Pesurungan Kidul, Kec. Tegal Barat, Kota Tegal, Jawa Tengah, 52117</t>
  </si>
  <si>
    <t>TMP-INV-2026/06/05/ 2821951 CATAFLAM D Novartis TABLET DISPERSIBLE Tarik Barang</t>
  </si>
  <si>
    <t>AWBR-3316404457-01</t>
  </si>
  <si>
    <t>Pickup Return, wajib bawa form BA Return. Bilang ke Apotek “mau tarik barang”. Jika tidak ada barang, tulis keterangan “tidak ada barang retur” di form BA TMP-INV-2026/06/05/ 2821951 CATAFLAM D Novartis TABLET DISPERSIBLE Tarik Barang</t>
  </si>
  <si>
    <t>AWBR-3316418485</t>
  </si>
  <si>
    <t>26060501350505SVDkpYbEo</t>
  </si>
  <si>
    <t>Apotek Anvi Farma Klepu Sumbermanjing Wetan</t>
  </si>
  <si>
    <t>JI. Raya Pasar RT.01 RW.01 Desa/ Kel. Klepu, Kec. Sumbermanjing Wetan, Kabupaten Malang, Jawa Timur, 65176</t>
  </si>
  <si>
    <t>TMP-INV-2026/06/05/ 2819945 Invoice: TMP-INV-2026/06/05/ 2819945
Full Return Tarik Barang</t>
  </si>
  <si>
    <t>AWBR-3316418485-01</t>
  </si>
  <si>
    <t>Pickup Return, wajib bawa form BA Return. Bilang ke Apotek “mau tarik barang”. Jika tidak ada barang, tulis keterangan “tidak ada barang retur” di form BA TMP-INV-2026/06/05/ 2819945 Invoice: TMP-INV-2026/06/05/ 2819945
Full Return Tarik Barang</t>
  </si>
  <si>
    <t>AWBR-3316419472</t>
  </si>
  <si>
    <t>26053113005958VAicW7Uas</t>
  </si>
  <si>
    <t>TMP-INV-2026/06/01/ 2802609 Invoice: TMP-INV-2026/06/01/ 2802609
Full Return Tarik Barang</t>
  </si>
  <si>
    <t>AWBR-3316419472-01</t>
  </si>
  <si>
    <t>Pickup Return, wajib bawa form BA Return. Bilang ke Apotek “mau tarik barang”. Jika tidak ada barang, tulis keterangan “tidak ada barang retur” di form BA TMP-INV-2026/06/01/ 2802609 Invoice: TMP-INV-2026/06/01/ 2802609
Full Return Tarik Barang</t>
  </si>
  <si>
    <t>AWBR-12078-2026-6-10</t>
  </si>
  <si>
    <t>25042210592222VvExm9uch</t>
  </si>
  <si>
    <t>Apotek A Plus Telagamurni Cikarang Barat</t>
  </si>
  <si>
    <t>Kampung Bojong Koneng, RT 01/RW 02, Desa/Kel. Telagamurni, Kec. Cikarang Barat, Kab. Bekasi</t>
  </si>
  <si>
    <t>TMP-INV-2025/04/23/ 1520443 / TMP-INV-2025/05/04/ 1548567 ZINC SULFATE MONOHYDRATE Combiphar DROPS DUS, 1 BOTOL @ 15 ML ASTRIA Pertiwi Agung KAPSUL 4 MG DUS, 2 STRIP @ 6 KAPSUL LUNAK Tarik Barang Retur</t>
  </si>
  <si>
    <t>AWBR-12078-2026-6-10-01</t>
  </si>
  <si>
    <t>Pickup Return, wajib bawa form BA Return. Bilang ke Apotek “mau tarik barang”. Jika tidak ada barang, tulis keterangan “tidak ada barang retur” di form BA TMP-INV-2025/04/23/ 1520443 / TMP-INV-2025/05/04/ 1548567 ZINC SULFATE MONOHYDRATE Combiphar DROPS DUS, 1 BOTOL @ 15 ML ASTRIA Pertiwi Agung KAPSUL 4 MG DUS, 2 STRIP @ 6 KAPSUL LUNAK Tarik Barang Retur</t>
  </si>
  <si>
    <t>AWBR-2343-2026-6-10</t>
  </si>
  <si>
    <t>TMP-INV-2026/06/03/ 2812983 TRINORDIOL-28 Sunthi TABLET DUS, 2 BLISTER @ 28 TABLET SALUT GULA Tarik Barang Retur</t>
  </si>
  <si>
    <t>AWBR-2343-2026-6-10-01</t>
  </si>
  <si>
    <t>Pickup Return, wajib bawa form BA Return. Bilang ke Apotek “mau tarik barang”. Jika tidak ada barang, tulis keterangan “tidak ada barang retur” di form BA TMP-INV-2026/06/03/ 2812983 TRINORDIOL-28 Sunthi TABLET DUS, 2 BLISTER @ 28 TABLET SALUT GULA Tarik Barang Retur</t>
  </si>
  <si>
    <t>AWBR-15738-2026-6-10</t>
  </si>
  <si>
    <t>25101303573870drSx2IFG5</t>
  </si>
  <si>
    <t>TMP-INV-2025/10/14/ 2022305 VENTOLIN INHALER CFC FREE Gsk 200 Doses DUS, 1 BOTOL @ 200 DOSIS Tarik Barang Retur</t>
  </si>
  <si>
    <t>AWBR-15738-2026-6-10-01</t>
  </si>
  <si>
    <t>Pickup Return, wajib bawa form BA Return. Bilang ke Apotek “mau tarik barang”. Jika tidak ada barang, tulis keterangan “tidak ada barang retur” di form BA TMP-INV-2025/10/14/ 2022305 VENTOLIN INHALER CFC FREE Gsk 200 Doses DUS, 1 BOTOL @ 200 DOSIS Tarik Barang Retur</t>
  </si>
  <si>
    <t>AWBR-1467-2026-6-10</t>
  </si>
  <si>
    <t>24100208393449Gl5jeQQnaA</t>
  </si>
  <si>
    <t>Apotek Cinta Sehat 1467</t>
  </si>
  <si>
    <t>Jl KH. Agus Salim No 50 V Rt 07 Rw 06 bekasi jaya Kecamatan Bekasi Timur kota Bekasi</t>
  </si>
  <si>
    <t>TMP-INV-2024/10/03/ 1046777 MEBO Pharma Health DUS, 1 TUBE 20 g Tarik Barang Retur</t>
  </si>
  <si>
    <t>AWBR-1467-2026-6-10-01</t>
  </si>
  <si>
    <t>Pickup Return, wajib bawa form BA Return. Bilang ke Apotek “mau tarik barang”. Jika tidak ada barang, tulis keterangan “tidak ada barang retur” di form BA TMP-INV-2024/10/03/ 1046777 MEBO Pharma Health DUS, 1 TUBE 20 g Tarik Barang Retur</t>
  </si>
  <si>
    <t>AWBR-15247-2026-6-10</t>
  </si>
  <si>
    <t>25052512085245L0FAs9BxVK</t>
  </si>
  <si>
    <t>Apotek Dzahira Mustika Jaya Mustika Jaya</t>
  </si>
  <si>
    <t>Perumahan Pondok Timur Indah Blok. C 164, Jl. Titiran II Kel. Mustika Jaya Kec. Mustika Jaya, Kota Bekasi</t>
  </si>
  <si>
    <t>TMP-INV-2025/05/26/ 1605922 CENDO CARPINE 2% Cendo TETES MATA Minidose CATCH COVER, 5 BOTOL PLASTIK @ 0,6 ML VERNACEL Cendo TETES MATA BOTOL 5 ML Tarik Barang Retur</t>
  </si>
  <si>
    <t>AWBR-15247-2026-6-10-01</t>
  </si>
  <si>
    <t>Pickup Return, wajib bawa form BA Return. Bilang ke Apotek “mau tarik barang”. Jika tidak ada barang, tulis keterangan “tidak ada barang retur” di form BA TMP-INV-2025/05/26/ 1605922 CENDO CARPINE 2% Cendo TETES MATA Minidose CATCH COVER, 5 BOTOL PLASTIK @ 0,6 ML VERNACEL Cendo TETES MATA BOTOL 5 ML Tarik Barang Retur</t>
  </si>
  <si>
    <t>AWBR-12122-2026-6-10</t>
  </si>
  <si>
    <t>26041715282137f28bJNKw</t>
  </si>
  <si>
    <t>Apotek Eka Mandiri Kaliabang Tengah Bekasi Utara</t>
  </si>
  <si>
    <t>Jl. Raya Kaliabang Tengah No 06, Kel. Kaliabang Tengah, Kec. Bekasi Utara, Kota Bekasi</t>
  </si>
  <si>
    <t>TMP-INV-2026/04/18/ 2651184 IMBOOST EXTRA VIT C dan D3 KIDS Soho TABLET HISAP DUS, BOTOL PLASTIK @ 21 TABLET HISAP Tarik Barang Retur</t>
  </si>
  <si>
    <t>AWBR-12122-2026-6-10-01</t>
  </si>
  <si>
    <t>Pickup Return, wajib bawa form BA Return. Bilang ke Apotek “mau tarik barang”. Jika tidak ada barang, tulis keterangan “tidak ada barang retur” di form BA TMP-INV-2026/04/18/ 2651184 IMBOOST EXTRA VIT C dan D3 KIDS Soho TABLET HISAP DUS, BOTOL PLASTIK @ 21 TABLET HISAP Tarik Barang Retur</t>
  </si>
  <si>
    <t>AWBR-2958-2026-6-10</t>
  </si>
  <si>
    <t>260525030333048l0WtPCoM7</t>
  </si>
  <si>
    <t>Apotek Hayy Farma</t>
  </si>
  <si>
    <t>Kp. Kamansari RT 002/005 No 18. Desa Cikande. Kec. Cikande. Kab. Serang Banten 42186</t>
  </si>
  <si>
    <t>TMP-INV-2026/05/25/ 2783623 TRINORDIOL-28 Sunthi TABLET DUS, 2 BLISTER @ 28 TABLET SALUT GULA Tarik Barang Retur</t>
  </si>
  <si>
    <t>AWBR-2958-2026-6-10-01</t>
  </si>
  <si>
    <t>Pickup Return, wajib bawa form BA Return. Bilang ke Apotek “mau tarik barang”. Jika tidak ada barang, tulis keterangan “tidak ada barang retur” di form BA TMP-INV-2026/05/25/ 2783623 TRINORDIOL-28 Sunthi TABLET DUS, 2 BLISTER @ 28 TABLET SALUT GULA Tarik Barang Retur</t>
  </si>
  <si>
    <t>AWBR-14029-2026-6-10</t>
  </si>
  <si>
    <t>26051903255916OUCXfXQmW0</t>
  </si>
  <si>
    <t>Apotek Inofarma Pulogebang</t>
  </si>
  <si>
    <t>Jl. Pulo Gebang No. 63 RT 001 RW 006, Pulo Gebang, Cakung, Kota Jakarta Timur</t>
  </si>
  <si>
    <t>TMP-INV-2026/05/20/ 2763745 TMP-INV-2026/05/25/ 2783879 SELECTION FACIAL COTTON PACK @ 75 GRAM TRINORDIOL-28 Sunthi TABLET DUS, 2 BLISTER @ 28 TABLET SALUT GULA Tarik Barang Damaged</t>
  </si>
  <si>
    <t>AWBR-14029-2026-6-10-01</t>
  </si>
  <si>
    <t>Pickup Return, wajib bawa form BA Return. Bilang ke Apotek “mau tarik barang”. Jika tidak ada barang, tulis keterangan “tidak ada barang retur” di form BA TMP-INV-2026/05/20/ 2763745 TMP-INV-2026/05/25/ 2783879 SELECTION FACIAL COTTON PACK @ 75 GRAM TRINORDIOL-28 Sunthi TABLET DUS, 2 BLISTER @ 28 TABLET SALUT GULA Tarik Barang Damaged</t>
  </si>
  <si>
    <t>AWBR-14025-2026-6-10</t>
  </si>
  <si>
    <t>260522040021418H2ovaumx4</t>
  </si>
  <si>
    <t>Apotek Inofarma Syahdan</t>
  </si>
  <si>
    <t>Jl. K.H. Syahdan No. 02 RT 003 RW 011, Kel. Palmerah, Kec. Pal Merah, Kota Jakarta Barat</t>
  </si>
  <si>
    <t>TMP-INV-2026/05/22/ 2774884 IMBOOST Soho TABLET DUS, 5 AMPLOP @ 1 STRIP @ 10 TABLET SALUT SELAPUT Tarik Barang Damaged</t>
  </si>
  <si>
    <t>AWBR-14025-2026-6-10-01</t>
  </si>
  <si>
    <t>Pickup Return, wajib bawa form BA Return. Bilang ke Apotek “mau tarik barang”. Jika tidak ada barang, tulis keterangan “tidak ada barang retur” di form BA TMP-INV-2026/05/22/ 2774884 IMBOOST Soho TABLET DUS, 5 AMPLOP @ 1 STRIP @ 10 TABLET SALUT SELAPUT Tarik Barang Damaged</t>
  </si>
  <si>
    <t>AWBR-1695-2026-6-10</t>
  </si>
  <si>
    <t>25052904223636FepAEDAtK7</t>
  </si>
  <si>
    <t>Apotek K24 Pondok Kopi</t>
  </si>
  <si>
    <t>Jalan Pondok Kopi Raya No.7 RT 05 RW 10 Kelurahan Pondok Kopi Kecamatan Duren Sawit Jakarta Timur 13460</t>
  </si>
  <si>
    <t>TMP-INV-2025/05/30/ 1617061 CURVIT Soho SIRUP DUS, BOTOL KACA @ 120 ML Tarik Barang Retur</t>
  </si>
  <si>
    <t>AWBR-1695-2026-6-10-01</t>
  </si>
  <si>
    <t>Pickup Return, wajib bawa form BA Return. Bilang ke Apotek “mau tarik barang”. Jika tidak ada barang, tulis keterangan “tidak ada barang retur” di form BA TMP-INV-2025/05/30/ 1617061 CURVIT Soho SIRUP DUS, BOTOL KACA @ 120 ML Tarik Barang Retur</t>
  </si>
  <si>
    <t>AWBR-699-2026-6-10</t>
  </si>
  <si>
    <t>26050703225619lHl9ovVxyH</t>
  </si>
  <si>
    <t>Apotek Kessy</t>
  </si>
  <si>
    <t>Jalan Margahayu Raya Blok C No.85 RT.004 RW.015 Kelurahan Margahayu, Kecamatan Bekasi Timur, Kota Bekasi 17113</t>
  </si>
  <si>
    <t>TMP-INV-2026/05/07/ 2718749 SUTRA LUBRICANT DKT TUBE, 50 ML Tarik Barang Retur</t>
  </si>
  <si>
    <t>AWBR-699-2026-6-10-01</t>
  </si>
  <si>
    <t>Pickup Return, wajib bawa form BA Return. Bilang ke Apotek “mau tarik barang”. Jika tidak ada barang, tulis keterangan “tidak ada barang retur” di form BA TMP-INV-2026/05/07/ 2718749 SUTRA LUBRICANT DKT TUBE, 50 ML Tarik Barang Retur</t>
  </si>
  <si>
    <t>AWBR-1725-2026-6-10</t>
  </si>
  <si>
    <t>26050907582633k8LQVdWyM</t>
  </si>
  <si>
    <t>TMP-INV-2026/05/10/ 2729745 DEXTAMINE Phapros SIRUP DUS, BOTOL 60 ML Tarik Barang Retur</t>
  </si>
  <si>
    <t>AWBR-1725-2026-6-10-01</t>
  </si>
  <si>
    <t>Pickup Return, wajib bawa form BA Return. Bilang ke Apotek “mau tarik barang”. Jika tidak ada barang, tulis keterangan “tidak ada barang retur” di form BA TMP-INV-2026/05/10/ 2729745 DEXTAMINE Phapros SIRUP DUS, BOTOL 60 ML Tarik Barang Retur</t>
  </si>
  <si>
    <t>AWBR-13495-2026-6-10</t>
  </si>
  <si>
    <t>26052903571137TFcimbtF6M</t>
  </si>
  <si>
    <t>Apotek Mandiri Farma Sampora Cisauk</t>
  </si>
  <si>
    <t>Ruko Campton Blok A Nomor 6, BSD City, Desa/Kelurahan Sampora, Kec. Cisauk, Kab. Tangerang</t>
  </si>
  <si>
    <t>TMP-INV-2026/05/29/ 2795937 TRINORDIOL-28 Sunthi TABLET DUS, 2 BLISTER @ 28 TABLET SALUT GULA Tarik Barang Retur</t>
  </si>
  <si>
    <t>AWBR-13495-2026-6-10-01</t>
  </si>
  <si>
    <t>Pickup Return, wajib bawa form BA Return. Bilang ke Apotek “mau tarik barang”. Jika tidak ada barang, tulis keterangan “tidak ada barang retur” di form BA TMP-INV-2026/05/29/ 2795937 TRINORDIOL-28 Sunthi TABLET DUS, 2 BLISTER @ 28 TABLET SALUT GULA Tarik Barang Retur</t>
  </si>
  <si>
    <t>AWBR-350-2026-6-10</t>
  </si>
  <si>
    <t>25012807431641NtozTFr07</t>
  </si>
  <si>
    <t>Apotek Medicastore</t>
  </si>
  <si>
    <t>Jalan Pos Pengumben Lama No. 24 RT 009 RW 003 Kelurahan Srengseng, Kecamatan Kembangan 11630</t>
  </si>
  <si>
    <t>TMP-INV-2025/01/29/ 1312680 OBH COMBI BATUK PLUS FLU RASA JAHE Combiphar SIRUP DUS, 1 BOTOL PLASTIK @ 100 ML OBH COMBI BATUK PLUS FLU RASA JAHE Combiphar SIRUP DUS, 1 BOTOL PLASTIK @ 60 ML Tarik Barang Retur</t>
  </si>
  <si>
    <t>AWBR-350-2026-6-10-01</t>
  </si>
  <si>
    <t>Pickup Return, wajib bawa form BA Return. Bilang ke Apotek “mau tarik barang”. Jika tidak ada barang, tulis keterangan “tidak ada barang retur” di form BA TMP-INV-2025/01/29/ 1312680 OBH COMBI BATUK PLUS FLU RASA JAHE Combiphar SIRUP DUS, 1 BOTOL PLASTIK @ 100 ML OBH COMBI BATUK PLUS FLU RASA JAHE Combiphar SIRUP DUS, 1 BOTOL PLASTIK @ 60 ML Tarik Barang Retur</t>
  </si>
  <si>
    <t>AWBR-1601-2026-6-10</t>
  </si>
  <si>
    <t>25030414110053j9wEFXYSo</t>
  </si>
  <si>
    <t>Apotek Medicastore 1601</t>
  </si>
  <si>
    <t>Jalan Kelapa Gading Boulevard Blok CN-2 Kav. No. 26 RT 03 RW 012 Kelurahan Kelapa Gading Timur Kecamatan Kelapa Gading Jakarta Utara 14240</t>
  </si>
  <si>
    <t>TMP-INV-2025/03/05/ 1400818 NASONEX Organon SEMPROT HIDUNG 50 MCG/DOSIS DUS, 1 BOTOL PLASTIK @ 60 DOSIS Tarik Barang Retur</t>
  </si>
  <si>
    <t>AWBR-1601-2026-6-10-01</t>
  </si>
  <si>
    <t>Pickup Return, wajib bawa form BA Return. Bilang ke Apotek “mau tarik barang”. Jika tidak ada barang, tulis keterangan “tidak ada barang retur” di form BA TMP-INV-2025/03/05/ 1400818 NASONEX Organon SEMPROT HIDUNG 50 MCG/DOSIS DUS, 1 BOTOL PLASTIK @ 60 DOSIS Tarik Barang Retur</t>
  </si>
  <si>
    <t>AWBR-9143-2026-6-10</t>
  </si>
  <si>
    <t>24060309355521NXQWlN9d7</t>
  </si>
  <si>
    <t>Apotek Mypharma Pluit Penjaringan</t>
  </si>
  <si>
    <t>Jl. Muara Karang Blok D7 No. 49-50, RT 007 RW 008, Kel. Pluit, Kec. Penjaringan, Jakarta Utara 14450</t>
  </si>
  <si>
    <t>TMP-INV-2024/06/04/ 815642 TERMOREX PATCH DUS, 6 SACHET Tarik Barang Retur</t>
  </si>
  <si>
    <t>AWBR-9143-2026-6-10-01</t>
  </si>
  <si>
    <t>Pickup Return, wajib bawa form BA Return. Bilang ke Apotek “mau tarik barang”. Jika tidak ada barang, tulis keterangan “tidak ada barang retur” di form BA TMP-INV-2024/06/04/ 815642 TERMOREX PATCH DUS, 6 SACHET Tarik Barang Retur</t>
  </si>
  <si>
    <t>AWBR-3042-2026-6-10</t>
  </si>
  <si>
    <t>25020600434635QHBgST0he</t>
  </si>
  <si>
    <t>TMP-INV-2025/02/06/ 1334223 VENTOLIN Gsk SIRUP 2 MG/5 ML DUS, 1 BOTOL @ 100 ML Tarik Barang Retur</t>
  </si>
  <si>
    <t>AWBR-3042-2026-6-10-01</t>
  </si>
  <si>
    <t>Pickup Return, wajib bawa form BA Return. Bilang ke Apotek “mau tarik barang”. Jika tidak ada barang, tulis keterangan “tidak ada barang retur” di form BA TMP-INV-2025/02/06/ 1334223 VENTOLIN Gsk SIRUP 2 MG/5 ML DUS, 1 BOTOL @ 100 ML Tarik Barang Retur</t>
  </si>
  <si>
    <t>AWBR-15476-2026-6-10</t>
  </si>
  <si>
    <t>25070414441993y6XfjZuh</t>
  </si>
  <si>
    <t>Apotek Omega Wijaya Kusuma Grogol Petamburan</t>
  </si>
  <si>
    <t>Jalan Anyar Raya 6 Rt 7 Rw 10 Wijaya Kusuma Grogol Petamburan Jakarta Barat, Desa/Kelurahan Wijaya Kusuma, Kec. Grogol Petamburan, Kota Adm. Jakarta Barat</t>
  </si>
  <si>
    <t>TMP-INV-2025/07/05/ 1714751 DUPHALAC Abbott SIRUP 3.335 G DUS, 1 BOTOL PLASTIK @ 200 ML Tarik Barang Retur</t>
  </si>
  <si>
    <t>AWBR-15476-2026-6-10-01</t>
  </si>
  <si>
    <t>Pickup Return, wajib bawa form BA Return. Bilang ke Apotek “mau tarik barang”. Jika tidak ada barang, tulis keterangan “tidak ada barang retur” di form BA TMP-INV-2025/07/05/ 1714751 DUPHALAC Abbott SIRUP 3.335 G DUS, 1 BOTOL PLASTIK @ 200 ML Tarik Barang Retur</t>
  </si>
  <si>
    <t>AWBR-1211-2026-6-10</t>
  </si>
  <si>
    <t>26053012233465ULZjsmtxTT</t>
  </si>
  <si>
    <t>TMP-INV-2026/05/31/ 2801725 TRINORDIOL-28 Sunthi TABLET DUS, 2 BLISTER @ 28 TABLET SALUT GULA Tarik Barang Retur</t>
  </si>
  <si>
    <t>AWBR-1211-2026-6-10-01</t>
  </si>
  <si>
    <t>Pickup Return, wajib bawa form BA Return. Bilang ke Apotek “mau tarik barang”. Jika tidak ada barang, tulis keterangan “tidak ada barang retur” di form BA TMP-INV-2026/05/31/ 2801725 TRINORDIOL-28 Sunthi TABLET DUS, 2 BLISTER @ 28 TABLET SALUT GULA Tarik Barang Retur</t>
  </si>
  <si>
    <t>AWBR-13296-2026-6-10</t>
  </si>
  <si>
    <t>25060705113774q1f8yhylak</t>
  </si>
  <si>
    <t>Apotek Saya Sehat</t>
  </si>
  <si>
    <t>Jl Permata Taman Palem Blok D9 No 36 RT 02 RW 03 Kel. Pegadungan Kec. Kalideres Kota Jakarta Barat</t>
  </si>
  <si>
    <t>TMP-INV-2025/06/07/ 1639267 NOROID DERMA RASH Soho KRIM TUBE 60 ML Tarik Barang Retur</t>
  </si>
  <si>
    <t>AWBR-13296-2026-6-10-01</t>
  </si>
  <si>
    <t>Pickup Return, wajib bawa form BA Return. Bilang ke Apotek “mau tarik barang”. Jika tidak ada barang, tulis keterangan “tidak ada barang retur” di form BA TMP-INV-2025/06/07/ 1639267 NOROID DERMA RASH Soho KRIM TUBE 60 ML Tarik Barang Retur</t>
  </si>
  <si>
    <t>AWBR-15523-2026-6-10</t>
  </si>
  <si>
    <t>25101310140856XdyaujAF2</t>
  </si>
  <si>
    <t>Apotek Shibuya Lemo Teluknaga</t>
  </si>
  <si>
    <t>Rukan Shibuya Blok E No 19, Desa/Kelurahan Lemo, Kec. Teluknaga, Kab. Tangeran</t>
  </si>
  <si>
    <t>TMP-INV-2025/10/14/ 2022851 TMP-INV-2025/12/29/ 2274325 TMP-INV-2026/02/06/ 2404497 YOUVIT MULTIVITAMIN GUMMY RASA STRAWBERRY, GOJIBERRY, CANBERRY, RASPBERRY, BLUEBERRY Yupi - POUCH POUCH @ 30 GUMMIES 120 G / KIRANTI SEHAT DATANG BULAN Cayadewi ORIGINAL BOTOL @ 150 ML / MOXIBAT Interbat KAPLET 400 MG DUS, 1 BLISTER @ 5 KAPLET SALUT SELAPUT Tarik Barang Retur</t>
  </si>
  <si>
    <t>AWBR-15523-2026-6-10-01</t>
  </si>
  <si>
    <t>Pickup Return, wajib bawa form BA Return. Bilang ke Apotek “mau tarik barang”. Jika tidak ada barang, tulis keterangan “tidak ada barang retur” di form BA TMP-INV-2025/10/14/ 2022851 TMP-INV-2025/12/29/ 2274325 TMP-INV-2026/02/06/ 2404497 YOUVIT MULTIVITAMIN GUMMY RASA STRAWBERRY, GOJIBERRY, CANBERRY, RASPBERRY, BLUEBERRY Yupi - POUCH POUCH @ 30 GUMMIES 120 G / KIRANTI SEHAT DATANG BULAN Cayadewi ORIGINAL BOTOL @ 150 ML / MOXIBAT Interbat KAPLET 400 MG DUS, 1 BLISTER @ 5 KAPLET SALUT SELAPUT Tarik Barang Retur</t>
  </si>
  <si>
    <t>AWBR-7692-2026-6-10</t>
  </si>
  <si>
    <t>25061605454811mCyan1KI6j</t>
  </si>
  <si>
    <t>Apotek Taman Asri 7692</t>
  </si>
  <si>
    <t>Jl. HOS Cokroaminoto RT. 004 RW 001 No. 9 Kel. Larangan Utara Kec. Larangan Kota Tangerang 15154</t>
  </si>
  <si>
    <t>TMP-INV-2025/06/17/ 1663639 FRESHLIVING BEBIO ITCHY Ultra Sakti DUS, BOTOL KACA ROL ON 9 ML Tarik Barang Retur</t>
  </si>
  <si>
    <t>AWBR-7692-2026-6-10-01</t>
  </si>
  <si>
    <t>Pickup Return, wajib bawa form BA Return. Bilang ke Apotek “mau tarik barang”. Jika tidak ada barang, tulis keterangan “tidak ada barang retur” di form BA TMP-INV-2025/06/17/ 1663639 FRESHLIVING BEBIO ITCHY Ultra Sakti DUS, BOTOL KACA ROL ON 9 ML Tarik Barang Retur</t>
  </si>
  <si>
    <t>AWBR-5092-2026-6-10</t>
  </si>
  <si>
    <t>25101500353833Oh08SomtrP</t>
  </si>
  <si>
    <t>Apotek Timmy Farma</t>
  </si>
  <si>
    <t>Rukan Gading Park View Jalan Boulevard Timur Blok ZC1 No.29, RT 05 RW 11, Kelurahan Pegangsaan Dua Kecamatan Kelapa Gading, Kota Jakarta Utara 14250</t>
  </si>
  <si>
    <t>TMP-INV-2025/10/15/ 2028661 PROKIDS GUMMY Inasentra RASA JERUK DUS, 100 G (5 SACHET @ 10 BUTIR @ 2 G) Tarik Barang Retur</t>
  </si>
  <si>
    <t>AWBR-5092-2026-6-10-01</t>
  </si>
  <si>
    <t>Pickup Return, wajib bawa form BA Return. Bilang ke Apotek “mau tarik barang”. Jika tidak ada barang, tulis keterangan “tidak ada barang retur” di form BA TMP-INV-2025/10/15/ 2028661 PROKIDS GUMMY Inasentra RASA JERUK DUS, 100 G (5 SACHET @ 10 BUTIR @ 2 G) Tarik Barang Retur</t>
  </si>
  <si>
    <t>AWBR-11155-2026-6-10</t>
  </si>
  <si>
    <t>24032701364916NFZMVE9Oas</t>
  </si>
  <si>
    <t>TMP-INV-2024/03/27/ 700069 PANADOL ANAK 1-6 Thn Gsk SIRUP 160 MG/5 ML DUS, 1 BOTOL PLASTIK @ 60 ML Tarik Barang Retur</t>
  </si>
  <si>
    <t>AWBR-11155-2026-6-10-01</t>
  </si>
  <si>
    <t>Pickup Return, wajib bawa form BA Return. Bilang ke Apotek “mau tarik barang”. Jika tidak ada barang, tulis keterangan “tidak ada barang retur” di form BA TMP-INV-2024/03/27/ 700069 PANADOL ANAK 1-6 Thn Gsk SIRUP 160 MG/5 ML DUS, 1 BOTOL PLASTIK @ 60 ML Tarik Barang Retur</t>
  </si>
  <si>
    <t>AWBR-519-2026-6-10</t>
  </si>
  <si>
    <t>2405220608369104VEc6yHk</t>
  </si>
  <si>
    <t>Apotek Zam Zam</t>
  </si>
  <si>
    <t>Jalan RC Veteran No. 2-3, RT 002 RW 011, Kelurahan Bintaro, Kecamatan Pesanggrahan, Kota Administrasi Jakarta Selatan, DKI Jakarta 12330</t>
  </si>
  <si>
    <t>TMP-INV-2024/05/22/ 796137 PANADOL ANAK-ANAK Gsk TABLET KUNYAH 120 MG DUS, 10 AMPLOP @ 1 BLISTER @ 10 TABLET KUNYAH Tarik Barang Retur</t>
  </si>
  <si>
    <t>AWBR-519-2026-6-10-01</t>
  </si>
  <si>
    <t>Pickup Return, wajib bawa form BA Return. Bilang ke Apotek “mau tarik barang”. Jika tidak ada barang, tulis keterangan “tidak ada barang retur” di form BA TMP-INV-2024/05/22/ 796137 PANADOL ANAK-ANAK Gsk TABLET KUNYAH 120 MG DUS, 10 AMPLOP @ 1 BLISTER @ 10 TABLET KUNYAH Tarik Barang Retur</t>
  </si>
  <si>
    <t>AWBR-12391-2026-6-10</t>
  </si>
  <si>
    <t>25032703043358jUD87Hvo</t>
  </si>
  <si>
    <t>Apotek Zidna Cijengkol Setu</t>
  </si>
  <si>
    <t>Jl. Raya Letjen R Suprapto RT/RW 04/03 Desa Cijengkol, Kec. Setu, Kabupaten Bekasi</t>
  </si>
  <si>
    <t>TMP-INV-2025/03/28/ 1460121 BLACKMORES MULTI B PERFORMANCE Kalbe TABLET BOTOL KACA 30 TABLET Tarik Barang Retur</t>
  </si>
  <si>
    <t>AWBR-12391-2026-6-10-01</t>
  </si>
  <si>
    <t>Pickup Return, wajib bawa form BA Return. Bilang ke Apotek “mau tarik barang”. Jika tidak ada barang, tulis keterangan “tidak ada barang retur” di form BA TMP-INV-2025/03/28/ 1460121 BLACKMORES MULTI B PERFORMANCE Kalbe TABLET BOTOL KACA 30 TABLET Tarik Barang Retur</t>
  </si>
  <si>
    <t>AWBR-4773-2026-6-10</t>
  </si>
  <si>
    <t>26052204021175HMhDyPbCYo</t>
  </si>
  <si>
    <t>TMP-INV-2026/05/23/ 2778142 TMP-INV-2026/05/24/ 2779609 COMBIVENT UDV Tunggal Idaman CAIRAN INHALASI DUS, 20 VIAL @ 2,5 ML PULMICORT RESPULES AstraZeneca CAIRAN INHALASI 0.25 MG/ML BOX, 4 PAK @ 5 RESPULES @ 2 ML Tarik Barang Retur</t>
  </si>
  <si>
    <t>AWBR-4773-2026-6-10-01</t>
  </si>
  <si>
    <t>Pickup Return, wajib bawa form BA Return. Bilang ke Apotek “mau tarik barang”. Jika tidak ada barang, tulis keterangan “tidak ada barang retur” di form BA TMP-INV-2026/05/23/ 2778142 TMP-INV-2026/05/24/ 2779609 COMBIVENT UDV Tunggal Idaman CAIRAN INHALASI DUS, 20 VIAL @ 2,5 ML PULMICORT RESPULES AstraZeneca CAIRAN INHALASI 0.25 MG/ML BOX, 4 PAK @ 5 RESPULES @ 2 ML Tarik Barang Retur</t>
  </si>
  <si>
    <t>AWBR-1130-2026-6-10</t>
  </si>
  <si>
    <t>26052518085364LNedbj3xlY</t>
  </si>
  <si>
    <t>TMP-INV-2026/05/26/ 2786686 LOTASBAT Interbat KRIM DUS, TUBE @ 10 G Tukar Guling</t>
  </si>
  <si>
    <t>AWBR-1130-2026-6-10-01</t>
  </si>
  <si>
    <t>Pickup Return, wajib bawa form BA Return. Bilang ke Apotek “mau tarik barang”. Jika tidak ada barang, tulis keterangan “tidak ada barang retur” di form BA TMP-INV-2026/05/26/ 2786686 LOTASBAT Interbat KRIM DUS, TUBE @ 10 G Tukar Guling</t>
  </si>
  <si>
    <t>AWBR-916-2026-6-10</t>
  </si>
  <si>
    <t>TMP-INV-2026/06/01/ 2804943 IMBOOST FORCE FCT+ Soho KAPLET DUS, 3 STRIP @ 10 KAPLET SALUT SELAPUT Tukar Guling</t>
  </si>
  <si>
    <t>AWBR-916-2026-6-10-01</t>
  </si>
  <si>
    <t>Pickup Return, wajib bawa form BA Return. Bilang ke Apotek “mau tarik barang”. Jika tidak ada barang, tulis keterangan “tidak ada barang retur” di form BA TMP-INV-2026/06/01/ 2804943 IMBOOST FORCE FCT+ Soho KAPLET DUS, 3 STRIP @ 10 KAPLET SALUT SELAPUT Tukar Guling</t>
  </si>
  <si>
    <t>AWBR-11005-2026-6-10</t>
  </si>
  <si>
    <t>26060111213926g3BVxvL9N</t>
  </si>
  <si>
    <t>Apotek Enggal Sehat Bedahan Sawangan</t>
  </si>
  <si>
    <t>Jalan H. Sulaiman RT 04, RW 02, Desa/Kelurahan Bedahan, Kec. Sawangan, Kota Depok 16519</t>
  </si>
  <si>
    <t>TMP-INV-2026/06/02/ 2809133 VELACOM PLUS 2/500 Novell KAPLET DUS, 3 STRIP @ 10 KAPLET SALUT SELAPUT Kirim Susulan</t>
  </si>
  <si>
    <t>AWBR-11005-2026-6-10-01</t>
  </si>
  <si>
    <t>Pickup Return, wajib bawa form BA Return. Bilang ke Apotek “mau tarik barang”. Jika tidak ada barang, tulis keterangan “tidak ada barang retur” di form BA TMP-INV-2026/06/02/ 2809133 VELACOM PLUS 2/500 Novell KAPLET DUS, 3 STRIP @ 10 KAPLET SALUT SELAPUT Kirim Susulan</t>
  </si>
  <si>
    <t>AWBR-10778-2026-6-10</t>
  </si>
  <si>
    <t>26052604574580tpDK18uUEz</t>
  </si>
  <si>
    <t>TMP-INV-2026/05/27/ 2789811 SGM EKSPLOR GAIN OPTIGROW Sarihusada DUS, ALUMUNIUM FOIL @ 400 G Tukar Guling</t>
  </si>
  <si>
    <t>AWBR-10778-2026-6-10-01</t>
  </si>
  <si>
    <t>Pickup Return, wajib bawa form BA Return. Bilang ke Apotek “mau tarik barang”. Jika tidak ada barang, tulis keterangan “tidak ada barang retur” di form BA TMP-INV-2026/05/27/ 2789811 SGM EKSPLOR GAIN OPTIGROW Sarihusada DUS, ALUMUNIUM FOIL @ 400 G Tukar Guling</t>
  </si>
  <si>
    <t>AWBR-10838-2026-6-10</t>
  </si>
  <si>
    <t>26060205465130adp79XjQfZ</t>
  </si>
  <si>
    <t>TMP-INV-2026/06/03/ 2812629 LARUTAN PENYEGAR CAP BADAK Sinde BOTOL 200 ML Kirim Susulan</t>
  </si>
  <si>
    <t>AWBR-10838-2026-6-10-01</t>
  </si>
  <si>
    <t>Pickup Return, wajib bawa form BA Return. Bilang ke Apotek “mau tarik barang”. Jika tidak ada barang, tulis keterangan “tidak ada barang retur” di form BA TMP-INV-2026/06/03/ 2812629 LARUTAN PENYEGAR CAP BADAK Sinde BOTOL 200 ML Kirim Susulan</t>
  </si>
  <si>
    <t>AWBR-3316416289</t>
  </si>
  <si>
    <t>MUCOS Mepro SIRUP 15 MG/5 ML
1x MUCOS Mepro TABLET 30 MG</t>
  </si>
  <si>
    <t>AWBR-3316416289-01</t>
  </si>
  <si>
    <t>Pickup Return, wajib bawa form BA Return. Bilang ke Apotek “mau tarik barang”. Jika tidak ada barang, tulis keterangan “tidak ada barang retur” di form BA TMP-INV-2026/06/02/ 2809156 / TMP-INV-2026/06/02/ 2809145 SHEN NONG SHI DIE DA YAO JING Saras subur DUS, BOTOL @ 30 ML Tarik Barang Retur MUCOS Mepro SIRUP 15 MG/5 ML
1x MUCOS Mepro TABLET 30 MG</t>
  </si>
  <si>
    <t>AWBR-3316285509</t>
  </si>
  <si>
    <t>Apotek Aditya Farma Talagasari Cikupa</t>
  </si>
  <si>
    <t>Jl. Otonom Cikupa - Pasar Kemis RT. 010 RW. 002 , Desa/Kel. Talagasari, Kec. Cikupa, Kab. Tangerang</t>
  </si>
  <si>
    <t>CATAFLAM D Novartis TABLET DISPERSIBLE</t>
  </si>
  <si>
    <t>AWBR-3316285509-01</t>
  </si>
  <si>
    <t>Pickup Return, wajib bawa form BA Return. Bilang ke Apotek “mau tarik barang”. Jika tidak ada barang, tulis keterangan “tidak ada barang retur” di form BA TMP-INV-2026/05/29/ 2796206 / TMP-INV-2026/05/29/ 2796204 HANSAPLAST KAIN ELASTIS JUMBO Beiersdorf DUS, 50 LEMBAR (32 x 65 mm) / BALSEM LANG Eagle Indo DUS, POT KACA @ 40 G Tarik Barang Retur CATAFLAM D Novartis TABLET DISPERSIBLE</t>
  </si>
  <si>
    <t>AWBR-3316408665</t>
  </si>
  <si>
    <t>260601111900230MZvbNYUw3</t>
  </si>
  <si>
    <t>HANSAPLAST KAIN ELASTIS JUMBO Beiersdorf</t>
  </si>
  <si>
    <t>AWBR-3316408665-01</t>
  </si>
  <si>
    <t>Pickup Return, wajib bawa form BA Return. Bilang ke Apotek “mau tarik barang”. Jika tidak ada barang, tulis keterangan “tidak ada barang retur” di form BA TMP-INV-2026/06/03/ 2812233 REMABREX Kalbe KAPSUL 100 MG DUS, 3 BLISTER @ 10 KAPSUL Tarik Barang Retur HANSAPLAST KAIN ELASTIS JUMBO Beiersdorf</t>
  </si>
  <si>
    <t>AWBR-3315166008</t>
  </si>
  <si>
    <t>Apotek Alina Farma Munjul Solear</t>
  </si>
  <si>
    <t>Jl. Raya Munjul RT 003 RW 004 Desa/Kel. Munjul, Kec. Solear, Kab Tangerang 15730</t>
  </si>
  <si>
    <t>TRINORDIOL-28 Sunthi TABLET</t>
  </si>
  <si>
    <t>AWBR-3315166008-01</t>
  </si>
  <si>
    <t>Pickup Return, wajib bawa form BA Return. Bilang ke Apotek “mau tarik barang”. Jika tidak ada barang, tulis keterangan “tidak ada barang retur” di form BA TMP-INV-2024/12/17/ 1212681 DICLOFENAC POTASSIUM Nulab TABLET 25 MG DUS, 10 BLISTER @ 10 TABLET SALUT SELAPUT Tarik Barang Retur TRINORDIOL-28 Sunthi TABLET</t>
  </si>
  <si>
    <t>AWBR-3316406084</t>
  </si>
  <si>
    <t>XENICAL Tunggal Idaman KAPSUL 120 MG
1x NEPHROLIT Kalbe KAPSUL</t>
  </si>
  <si>
    <t>AWBR-3316406084-01</t>
  </si>
  <si>
    <t>Pickup Return, wajib bawa form BA Return. Bilang ke Apotek “mau tarik barang”. Jika tidak ada barang, tulis keterangan “tidak ada barang retur” di form BA TMP-INV-2026/05/29/ 2796212 GANDAPURA Ika MINYAK GOSOK BOTOL 60 ML Tarik Barang Damaged XENICAL Tunggal Idaman KAPSUL 120 MG
1x NEPHROLIT Kalbe KAPSUL</t>
  </si>
  <si>
    <t>AWBR-3316390569</t>
  </si>
  <si>
    <t>CETAPHIL HYDRATING FOAMING CREAM CLEANSER</t>
  </si>
  <si>
    <t>AWBR-3316390569-01</t>
  </si>
  <si>
    <t>Pickup Return, wajib bawa form BA Return. Bilang ke Apotek “mau tarik barang”. Jika tidak ada barang, tulis keterangan “tidak ada barang retur” di form BA TMP-INV-2026/04/27/ 2681985 SERETIDE DISKUS Gsk SERBUK INHALER 50/500 MCG DUS, 1 DISKUS @ 60 INHALASI Tarik Barang Damaged CETAPHIL HYDRATING FOAMING CREAM CLEANSER</t>
  </si>
  <si>
    <t>AWBR-3315239500</t>
  </si>
  <si>
    <t>26060403054870pFpXhodU74</t>
  </si>
  <si>
    <t>HEROCYN Coronet Crown</t>
  </si>
  <si>
    <t>AWBR-3315239500-01</t>
  </si>
  <si>
    <t>Pickup Return, wajib bawa form BA Return. Bilang ke Apotek “mau tarik barang”. Jika tidak ada barang, tulis keterangan “tidak ada barang retur” di form BA TMP-INV-2026/06/03/ 2812555 ANDALAN LAKTASI Sydna Farma TABLET 0.5 MG DUS, 30 AMPLOP @ 1 BLISTER @ 28 TABLET Tarik Barang Retur HEROCYN Coronet Crown</t>
  </si>
  <si>
    <t>AWBR-3316416895</t>
  </si>
  <si>
    <t>REMABREX Kalbe KAPSUL 100 MG</t>
  </si>
  <si>
    <t>AWBR-3316416895-01</t>
  </si>
  <si>
    <t>Pickup Return, wajib bawa form BA Return. Bilang ke Apotek “mau tarik barang”. Jika tidak ada barang, tulis keterangan “tidak ada barang retur” di form BA TMP-INV-2024/12/06/ 1187207 NECIBLOK Dankos SUSPENSI DUS, BOTOL 100 ML Tarik Barang Retur REMABREX Kalbe KAPSUL 100 MG</t>
  </si>
  <si>
    <t>AWBR-3316290801</t>
  </si>
  <si>
    <t>AWBR-3315163368</t>
  </si>
  <si>
    <t>OBESLIM Lapi KAPSUL 120 MG</t>
  </si>
  <si>
    <t>AWBR-3316290801-01</t>
  </si>
  <si>
    <t>Pickup Return, wajib bawa form BA Return. Bilang ke Apotek “mau tarik barang”. Jika tidak ada barang, tulis keterangan “tidak ada barang retur” di form BA TMP-INV-2025/01/23/ 1300249 FITKOM MULTIVITAMIN (RASA STRAWBERRY) Soho TABLET BOTOL PLASTIK @ 21 TABLET HISAP Tarik Barang Retur OBESLIM Lapi KAPSUL 120 MG</t>
  </si>
  <si>
    <t>AWBR-3316404803</t>
  </si>
  <si>
    <t>AWBR-3315239321</t>
  </si>
  <si>
    <t>DETTOL ANTISEPTIK CAIR</t>
  </si>
  <si>
    <t>AWBR-3316404803-01</t>
  </si>
  <si>
    <t>Pickup Return, wajib bawa form BA Return. Bilang ke Apotek “mau tarik barang”. Jika tidak ada barang, tulis keterangan “tidak ada barang retur” di form BA TMP-INV-2026/06/01/ 2804868 / TMP-INV-2026/06/02/ 2809176 
ASTHIN FORCE 12 Soho KAPSUL DUS, 2 STRIP @ 10 KAPSUL
ASTHIN FORCE 6 Soho KAPSUL DUS, 2 STRIP @ 10 KAPSUL
CAL-95 Lapi KAPLET DUS, 5 STRIP @ 6 KAPLET SALUT SELAPUT
L-VIT D3 5000 Lapi TABLET DUS, 3 BLISTER @ 10 TABLET SALUT SELAPUT
HUFAGRIPP DEMAM Hufa KAPLET 500 MG DUS, 10 AMPLOP @ 1 STRIP @ 10 KAPLET
NASONEX Organon SEMPROT HIDUNG 50 MCG/DOSIS DUS, 1 BOTOL PLASTIK @ 60 DOSIS
 Tarik Barang Retur DETTOL ANTISEPTIK CAIR</t>
  </si>
  <si>
    <t>AWBR-3314529280</t>
  </si>
  <si>
    <t>AWBR-3314540623</t>
  </si>
  <si>
    <t>Apotek D71</t>
  </si>
  <si>
    <t>Jalan Kelapa Dua RT 03 RW 08 Kelurahan Pedurenan Kecamatan Mustikajaya Kota Bekasi 17156</t>
  </si>
  <si>
    <t>HOLISTICARE SUPER ESTER C Indocare TABLET</t>
  </si>
  <si>
    <t>AWBR-3314529280-01</t>
  </si>
  <si>
    <t>Pickup Return, wajib bawa form BA Return. Bilang ke Apotek “mau tarik barang”. Jika tidak ada barang, tulis keterangan “tidak ada barang retur” di form BA TMP-INV-2026/05/27/ 2789359 ACCU-CHECK GUIDE TEST STRIPS Roche DUS, BOTOL @ 50 Strips Tarik Barang Retur HOLISTICARE SUPER ESTER C Indocare TABLET</t>
  </si>
  <si>
    <t>AWBR-3316413340</t>
  </si>
  <si>
    <t>AWBR-3315212273</t>
  </si>
  <si>
    <t>IMBOOST FORCE FCT+ Soho KAPLET</t>
  </si>
  <si>
    <t>AWBR-3316413340-01</t>
  </si>
  <si>
    <t>Pickup Return, wajib bawa form BA Return. Bilang ke Apotek “mau tarik barang”. Jika tidak ada barang, tulis keterangan “tidak ada barang retur” di form BA TMP-INV-2026/06/03/ 2813569 SUTRA Condom (MERAH) DUS, 24 CONDOM Tarik Barang Retur IMBOOST FORCE FCT+ Soho KAPLET</t>
  </si>
  <si>
    <t>AWBR-3316404936</t>
  </si>
  <si>
    <t>AWBR-3315222074</t>
  </si>
  <si>
    <t>DICLOFENAC POTASSIUM Hexpharm TABLET 50 MG</t>
  </si>
  <si>
    <t>AWBR-3316404936-01</t>
  </si>
  <si>
    <t>Pickup Return, wajib bawa form BA Return. Bilang ke Apotek “mau tarik barang”. Jika tidak ada barang, tulis keterangan “tidak ada barang retur” di form BA TMP-INV-2026/06/02/ 2808907 / TMP-INV-2026/06/02/ 2809192 HANSAPLAST FUN KAIN ELASTIS Beiersdorf DUS, 100 LEMBAR / KLODERMA Surya Dermato KRIM 0.05 % DUS, TUBE @ 5 G Tarik Barang Retur DICLOFENAC POTASSIUM Hexpharm TABLET 50 MG</t>
  </si>
  <si>
    <t>AWBR-3316411414</t>
  </si>
  <si>
    <t>AWBR-3315242809</t>
  </si>
  <si>
    <t>Apotek Djamat Farma</t>
  </si>
  <si>
    <t>Jalan Otonom Cikupa Pasar kemis Kp. Pasir gadung RT 003 RW 001 Kelurahan Sukaharja Kecamatan Sindang Jaya Kabupaten Tangerang 15560</t>
  </si>
  <si>
    <t>ERDOBAT Interbat KAPSUL 300 MG
2x SERETIDE 125 Gsk INHALER 25/125 MCG</t>
  </si>
  <si>
    <t>AWBR-3316411414-01</t>
  </si>
  <si>
    <t>Pickup Return, wajib bawa form BA Return. Bilang ke Apotek “mau tarik barang”. Jika tidak ada barang, tulis keterangan “tidak ada barang retur” di form BA TMP-INV-2026/06/01/ 2804721 SISTENOL Dexa Medica KAPLET 500/200 MG DUS, 6 DUS @ 1 BOTOL @ 10 KAPLET SALUT SELAPUT Tarik Barang Retur ERDOBAT Interbat KAPSUL 300 MG
2x SERETIDE 125 Gsk INHALER 25/125 MCG</t>
  </si>
  <si>
    <t>AWBR-3316401899</t>
  </si>
  <si>
    <t>26053008524978DXOdpGb3dg</t>
  </si>
  <si>
    <t>Apotek Doa Ibu Cihuni Pagedangan</t>
  </si>
  <si>
    <t>Maggiore Square, Lausanne Boulevard D/07, Kel. Cihuni, Kec. Pagedangan, Kab. Tangerang, Banten 15332</t>
  </si>
  <si>
    <t>RYVEL Novell SIRUP 5 MG / 5ML
2x BAYCUTEN-N Bayer KRIM
3x SANJIN WATERMELON FROST LOZENGES Saras subur</t>
  </si>
  <si>
    <t>AWBR-3316401899-01</t>
  </si>
  <si>
    <t>Pickup Return, wajib bawa form BA Return. Bilang ke Apotek “mau tarik barang”. Jika tidak ada barang, tulis keterangan “tidak ada barang retur” di form BA TMP-INV-2026/06/02/ 2809156 / TMP-INV-2026/06/02/ 2809145 SHEN NONG SHI DIE DA YAO JING Saras subur DUS, BOTOL @ 30 ML Tarik Barang Retur RYVEL Novell SIRUP 5 MG / 5ML
2x BAYCUTEN-N Bayer KRIM
3x SANJIN WATERMELON FROST LOZENGES Saras subur</t>
  </si>
  <si>
    <t>AWBR-3315399349</t>
  </si>
  <si>
    <t>Apotek Dunia Sehat</t>
  </si>
  <si>
    <t>Jalan Muara Karang Raya no 4 Kota Jakarta Utara</t>
  </si>
  <si>
    <t>FAMOCID 20 Sanbe TABLET 20 MG</t>
  </si>
  <si>
    <t>AWBR-3315399349-01</t>
  </si>
  <si>
    <t>Pickup Return, wajib bawa form BA Return. Bilang ke Apotek “mau tarik barang”. Jika tidak ada barang, tulis keterangan “tidak ada barang retur” di form BA TMP-INV-2026/05/29/ 2796206 / TMP-INV-2026/05/29/ 2796204 HANSAPLAST KAIN ELASTIS JUMBO Beiersdorf DUS, 50 LEMBAR (32 x 65 mm) / BALSEM LANG Eagle Indo DUS, POT KACA @ 40 G Tarik Barang Retur FAMOCID 20 Sanbe TABLET 20 MG</t>
  </si>
  <si>
    <t>AWBR-3315407870</t>
  </si>
  <si>
    <t>BETADINE ANTISEPTIC GEL CLEAR Mbf
6x BETADINE ANTISEPTIC SPRAY CLEAR Mbf
1x COMTUSI FORTE Combiphar KAPSUL
23x DEGIROL Darya-Varia TABLET HISAP 0.25 MG
5x SUMAGESIC Medifarma TABLET 600 MG
3x THROMBO ASPILETS Darya-Varia TABLET 100 MG
3x ZOVIRAX Gsk KRIM 5 %</t>
  </si>
  <si>
    <t>AWBR-3315407870-01</t>
  </si>
  <si>
    <t>Pickup Return, wajib bawa form BA Return. Bilang ke Apotek “mau tarik barang”. Jika tidak ada barang, tulis keterangan “tidak ada barang retur” di form BA TMP-INV-2026/06/03/ 2812233 REMABREX Kalbe KAPSUL 100 MG DUS, 3 BLISTER @ 10 KAPSUL Tarik Barang Retur BETADINE ANTISEPTIC GEL CLEAR Mbf
6x BETADINE ANTISEPTIC SPRAY CLEAR Mbf
1x COMTUSI FORTE Combiphar KAPSUL
23x DEGIROL Darya-Varia TABLET HISAP 0.25 MG
5x SUMAGESIC Medifarma TABLET 600 MG
3x THROMBO ASPILETS Darya-Varia TABLET 100 MG
3x ZOVIRAX Gsk KRIM 5 %</t>
  </si>
  <si>
    <t>AWBR-3316404318</t>
  </si>
  <si>
    <t>IMBOOST FORCE ES Soho KAPLET</t>
  </si>
  <si>
    <t>AWBR-3316404318-01</t>
  </si>
  <si>
    <t>Pickup Return, wajib bawa form BA Return. Bilang ke Apotek “mau tarik barang”. Jika tidak ada barang, tulis keterangan “tidak ada barang retur” di form BA TMP-INV-2024/12/17/ 1212681 DICLOFENAC POTASSIUM Nulab TABLET 25 MG DUS, 10 BLISTER @ 10 TABLET SALUT SELAPUT Tarik Barang Retur IMBOOST FORCE ES Soho KAPLET</t>
  </si>
  <si>
    <t>AWBR-3312621638</t>
  </si>
  <si>
    <t>26060213551778JyeSJqmI0Q</t>
  </si>
  <si>
    <t>Apotek EL Madani Kmp Melayu Tim Teluknaga</t>
  </si>
  <si>
    <t>Jalan Raya Kampung Melayu, Desa/Kel. Kmp Melayu Tim, Kec. Teluknaga, Kab. Tangerang</t>
  </si>
  <si>
    <t>COOL-VITA DHA GUMMY RASA APEL, MANGGA dan JERUK</t>
  </si>
  <si>
    <t>AWBR-3312621638-01</t>
  </si>
  <si>
    <t>Pickup Return, wajib bawa form BA Return. Bilang ke Apotek “mau tarik barang”. Jika tidak ada barang, tulis keterangan “tidak ada barang retur” di form BA TMP-INV-2026/05/29/ 2796212 GANDAPURA Ika MINYAK GOSOK BOTOL 60 ML Tarik Barang Damaged COOL-VITA DHA GUMMY RASA APEL, MANGGA dan JERUK</t>
  </si>
  <si>
    <t>AWBR-3315240449</t>
  </si>
  <si>
    <t>26060322441705LUUOrhJtI</t>
  </si>
  <si>
    <t>STERIMAR NOSE HYGIENE AND COMFORT Hyphens</t>
  </si>
  <si>
    <t>AWBR-3315240449-01</t>
  </si>
  <si>
    <t>Pickup Return, wajib bawa form BA Return. Bilang ke Apotek “mau tarik barang”. Jika tidak ada barang, tulis keterangan “tidak ada barang retur” di form BA TMP-INV-2026/04/27/ 2681985 SERETIDE DISKUS Gsk SERBUK INHALER 50/500 MCG DUS, 1 DISKUS @ 60 INHALASI Tarik Barang Damaged STERIMAR NOSE HYGIENE AND COMFORT Hyphens</t>
  </si>
  <si>
    <t>AWBR-3315241203</t>
  </si>
  <si>
    <t>26060208560705MDfrCFy01H</t>
  </si>
  <si>
    <t>CONCOR AM Merck TABLET 5/10 MG</t>
  </si>
  <si>
    <t>AWBR-3315241203-01</t>
  </si>
  <si>
    <t>Pickup Return, wajib bawa form BA Return. Bilang ke Apotek “mau tarik barang”. Jika tidak ada barang, tulis keterangan “tidak ada barang retur” di form BA TMP-INV-2026/06/03/ 2812555 ANDALAN LAKTASI Sydna Farma TABLET 0.5 MG DUS, 30 AMPLOP @ 1 BLISTER @ 28 TABLET Tarik Barang Retur CONCOR AM Merck TABLET 5/10 MG</t>
  </si>
  <si>
    <t>AWBR-3315218266</t>
  </si>
  <si>
    <t>Apotek Farhanah</t>
  </si>
  <si>
    <t>Jl. Kalisari Raya No. 61 RT. 009 RW.003 Kelurahan Kalisari, Kecamatan Pasar Rebo, Kota Administrasi Jakarta Timur 13790</t>
  </si>
  <si>
    <t>HANSAPLAST KAIN ELASTIS
1x HANSAPLAST KAIN ELASTIS JUMBO Beiersdorf
6x HANSAPLAST KAIN ELASTIS JUMBO Beiersdorf
24x ONEMED KASA STERIL Jayamas Medica</t>
  </si>
  <si>
    <t>AWBR-3315218266-01</t>
  </si>
  <si>
    <t>Pickup Return, wajib bawa form BA Return. Bilang ke Apotek “mau tarik barang”. Jika tidak ada barang, tulis keterangan “tidak ada barang retur” di form BA TMP-INV-2024/12/06/ 1187207 NECIBLOK Dankos SUSPENSI DUS, BOTOL 100 ML Tarik Barang Retur HANSAPLAST KAIN ELASTIS
1x HANSAPLAST KAIN ELASTIS JUMBO Beiersdorf
6x HANSAPLAST KAIN ELASTIS JUMBO Beiersdorf
24x ONEMED KASA STERIL Jayamas Medica</t>
  </si>
  <si>
    <t>AWBR-3316404226</t>
  </si>
  <si>
    <t>BECOM C Sanbe KAPLET</t>
  </si>
  <si>
    <t>AWBR-3316404226-01</t>
  </si>
  <si>
    <t>Pickup Return, wajib bawa form BA Return. Bilang ke Apotek “mau tarik barang”. Jika tidak ada barang, tulis keterangan “tidak ada barang retur” di form BA TMP-INV-2025/01/23/ 1300249 FITKOM MULTIVITAMIN (RASA STRAWBERRY) Soho TABLET BOTOL PLASTIK @ 21 TABLET HISAP Tarik Barang Retur BECOM C Sanbe KAPLET</t>
  </si>
  <si>
    <t>AWBR-3316182891</t>
  </si>
  <si>
    <t>2606060244339635St4EQLW</t>
  </si>
  <si>
    <t>Apotek Fostina Rambutan Ciracas</t>
  </si>
  <si>
    <t>Jl Tanah Merdeka No 1 RT 16 RW 03 Kel. Rambutan Kec. Ciracas Kota Jakarta Timur</t>
  </si>
  <si>
    <t>REBAMID Lapi TABLET 100 MG</t>
  </si>
  <si>
    <t>AWBR-3316182891-01</t>
  </si>
  <si>
    <t>Pickup Return, wajib bawa form BA Return. Bilang ke Apotek “mau tarik barang”. Jika tidak ada barang, tulis keterangan “tidak ada barang retur” di form BA TMP-INV-2026/06/01/ 2804868 / TMP-INV-2026/06/02/ 2809176 
ASTHIN FORCE 12 Soho KAPSUL DUS, 2 STRIP @ 10 KAPSUL
ASTHIN FORCE 6 Soho KAPSUL DUS, 2 STRIP @ 10 KAPSUL
CAL-95 Lapi KAPLET DUS, 5 STRIP @ 6 KAPLET SALUT SELAPUT
L-VIT D3 5000 Lapi TABLET DUS, 3 BLISTER @ 10 TABLET SALUT SELAPUT
HUFAGRIPP DEMAM Hufa KAPLET 500 MG DUS, 10 AMPLOP @ 1 STRIP @ 10 KAPLET
NASONEX Organon SEMPROT HIDUNG 50 MCG/DOSIS DUS, 1 BOTOL PLASTIK @ 60 DOSIS
 Tarik Barang Retur REBAMID Lapi TABLET 100 MG</t>
  </si>
  <si>
    <t>AWBR-3316402904</t>
  </si>
  <si>
    <t>25110708365486iTaVMami1</t>
  </si>
  <si>
    <t>Apotek Gebang Farma Sangiang Jaya Periuk</t>
  </si>
  <si>
    <t>Jln. Prabu Kian Santang, Kp. Sangiang No.36 RT.001 RW.005 Kel. Gebang Raya Kec. Periuk Kota Tangerang</t>
  </si>
  <si>
    <t>ANDALAN LAKTASI Sydna Farma TABLET 0.5 MG</t>
  </si>
  <si>
    <t>AWBR-3316402904-01</t>
  </si>
  <si>
    <t>Pickup Return, wajib bawa form BA Return. Bilang ke Apotek “mau tarik barang”. Jika tidak ada barang, tulis keterangan “tidak ada barang retur” di form BA TMP-INV-2026/05/27/ 2789359 ACCU-CHECK GUIDE TEST STRIPS Roche DUS, BOTOL @ 50 Strips Tarik Barang Retur ANDALAN LAKTASI Sydna Farma TABLET 0.5 MG</t>
  </si>
  <si>
    <t>AWBR-3315230367</t>
  </si>
  <si>
    <t>251030034929560oivZ1VJw</t>
  </si>
  <si>
    <t>Apotek Gerbang Sentul</t>
  </si>
  <si>
    <t>Jalan Raya Sirkuit Sentul Blok R9 Gerbang Sentul Estate Desa Sentul Kecamatan Babakan Madang Kabupaten Bogor 16810</t>
  </si>
  <si>
    <t>MASKER BEDAH KARET EARLOOP BIRU</t>
  </si>
  <si>
    <t>AWBR-3315230367-01</t>
  </si>
  <si>
    <t>Pickup Return, wajib bawa form BA Return. Bilang ke Apotek “mau tarik barang”. Jika tidak ada barang, tulis keterangan “tidak ada barang retur” di form BA TMP-INV-2026/06/03/ 2813569 SUTRA Condom (MERAH) DUS, 24 CONDOM Tarik Barang Retur MASKER BEDAH KARET EARLOOP BIRU</t>
  </si>
  <si>
    <t>AWBR-3316410269</t>
  </si>
  <si>
    <t>VOLTAREN Gsk EMULGEL 1 %</t>
  </si>
  <si>
    <t>AWBR-3316410269-01</t>
  </si>
  <si>
    <t>Pickup Return, wajib bawa form BA Return. Bilang ke Apotek “mau tarik barang”. Jika tidak ada barang, tulis keterangan “tidak ada barang retur” di form BA TMP-INV-2026/06/02/ 2808907 / TMP-INV-2026/06/02/ 2809192 HANSAPLAST FUN KAIN ELASTIS Beiersdorf DUS, 100 LEMBAR / KLODERMA Surya Dermato KRIM 0.05 % DUS, TUBE @ 5 G Tarik Barang Retur VOLTAREN Gsk EMULGEL 1 %</t>
  </si>
  <si>
    <t>AWBR-3315234351</t>
  </si>
  <si>
    <t>26060303104348DZV9jdinQ</t>
  </si>
  <si>
    <t>FUFANG E JIAO ORAL SOLUTION</t>
  </si>
  <si>
    <t>AWBR-3315234351-01</t>
  </si>
  <si>
    <t>Pickup Return, wajib bawa form BA Return. Bilang ke Apotek “mau tarik barang”. Jika tidak ada barang, tulis keterangan “tidak ada barang retur” di form BA TMP-INV-2026/06/01/ 2804721 SISTENOL Dexa Medica KAPLET 500/200 MG DUS, 6 DUS @ 1 BOTOL @ 10 KAPLET SALUT SELAPUT Tarik Barang Retur FUFANG E JIAO ORAL SOLUTION</t>
  </si>
  <si>
    <t>AWBR-3316185965</t>
  </si>
  <si>
    <t>2606051149081931Kt8hE1Ew</t>
  </si>
  <si>
    <t>AWBR-3316185965-01</t>
  </si>
  <si>
    <t>Pickup Return, wajib bawa form BA Return. Bilang ke Apotek “mau tarik barang”. Jika tidak ada barang, tulis keterangan “tidak ada barang retur” di form BA TMP-INV-2026/06/02/ 2809156 / TMP-INV-2026/06/02/ 2809145 SHEN NONG SHI DIE DA YAO JING Saras subur DUS, BOTOL @ 30 ML Tarik Barang Retur CATAFLAM D Novartis TABLET DISPERSIBLE</t>
  </si>
  <si>
    <t>AWBR-3316401301</t>
  </si>
  <si>
    <t>Apotek Hiyuna Sindangsari Pasar Kemis</t>
  </si>
  <si>
    <t>Grand Batavia Ruko Arcade Blok D2 No. 15, Desa/Kelurahan Sindangsari, Kec. Pasar Kemis, Kab. Tangerang</t>
  </si>
  <si>
    <t>MEXTRIL Saka Farma TABLET</t>
  </si>
  <si>
    <t>AWBR-3316401301-01</t>
  </si>
  <si>
    <t>Pickup Return, wajib bawa form BA Return. Bilang ke Apotek “mau tarik barang”. Jika tidak ada barang, tulis keterangan “tidak ada barang retur” di form BA TMP-INV-2026/05/29/ 2796206 / TMP-INV-2026/05/29/ 2796204 HANSAPLAST KAIN ELASTIS JUMBO Beiersdorf DUS, 50 LEMBAR (32 x 65 mm) / BALSEM LANG Eagle Indo DUS, POT KACA @ 40 G Tarik Barang Retur MEXTRIL Saka Farma TABLET</t>
  </si>
  <si>
    <t>AWBR-3315912601</t>
  </si>
  <si>
    <t>26060310502282rrorDcp5h</t>
  </si>
  <si>
    <t>SELSUN GOLD Rohto SHAMPOO</t>
  </si>
  <si>
    <t>AWBR-3315912601-01</t>
  </si>
  <si>
    <t>Pickup Return, wajib bawa form BA Return. Bilang ke Apotek “mau tarik barang”. Jika tidak ada barang, tulis keterangan “tidak ada barang retur” di form BA TMP-INV-2026/06/03/ 2812233 REMABREX Kalbe KAPSUL 100 MG DUS, 3 BLISTER @ 10 KAPSUL Tarik Barang Retur SELSUN GOLD Rohto SHAMPOO</t>
  </si>
  <si>
    <t>AWBR-3315915405</t>
  </si>
  <si>
    <t>26060602214046fbUWZJl9a</t>
  </si>
  <si>
    <t>AWBR-3315915405-01</t>
  </si>
  <si>
    <t>Pickup Return, wajib bawa form BA Return. Bilang ke Apotek “mau tarik barang”. Jika tidak ada barang, tulis keterangan “tidak ada barang retur” di form BA TMP-INV-2024/12/17/ 1212681 DICLOFENAC POTASSIUM Nulab TABLET 25 MG DUS, 10 BLISTER @ 10 TABLET SALUT SELAPUT Tarik Barang Retur SELSUN GOLD Rohto SHAMPOO</t>
  </si>
  <si>
    <t>AWBR-3316404710</t>
  </si>
  <si>
    <t>OBAT SAKIT GIGI CAP BURUNG KAKAK TUA Samco Farma</t>
  </si>
  <si>
    <t>AWBR-3316404710-01</t>
  </si>
  <si>
    <t>Pickup Return, wajib bawa form BA Return. Bilang ke Apotek “mau tarik barang”. Jika tidak ada barang, tulis keterangan “tidak ada barang retur” di form BA TMP-INV-2026/05/29/ 2796212 GANDAPURA Ika MINYAK GOSOK BOTOL 60 ML Tarik Barang Damaged OBAT SAKIT GIGI CAP BURUNG KAKAK TUA Samco Farma</t>
  </si>
  <si>
    <t>AWBR-3316413399</t>
  </si>
  <si>
    <t>26060123364373toXxYrx6S5</t>
  </si>
  <si>
    <t>VENTOLIN INHALER CFC FREE Gsk 200 Doses</t>
  </si>
  <si>
    <t>AWBR-3316413399-01</t>
  </si>
  <si>
    <t>Pickup Return, wajib bawa form BA Return. Bilang ke Apotek “mau tarik barang”. Jika tidak ada barang, tulis keterangan “tidak ada barang retur” di form BA TMP-INV-2026/04/27/ 2681985 SERETIDE DISKUS Gsk SERBUK INHALER 50/500 MCG DUS, 1 DISKUS @ 60 INHALASI Tarik Barang Damaged VENTOLIN INHALER CFC FREE Gsk 200 Doses</t>
  </si>
  <si>
    <t>AWBR-3316401834</t>
  </si>
  <si>
    <t>26052303172603HcjAENO8X0</t>
  </si>
  <si>
    <t>Apotek K24 Buaran Klender Duren Sawit</t>
  </si>
  <si>
    <t>Ruko Arlin Blok L No. 10 Jl. Buaran Raya, Desa/Kelurahan Duren Sawit, Kec. Duren Sawit, Kota Jakarta Timur</t>
  </si>
  <si>
    <t>D-VIT FT Gracia TABLET</t>
  </si>
  <si>
    <t>AWBR-3316401834-01</t>
  </si>
  <si>
    <t>Pickup Return, wajib bawa form BA Return. Bilang ke Apotek “mau tarik barang”. Jika tidak ada barang, tulis keterangan “tidak ada barang retur” di form BA TMP-INV-2026/06/03/ 2812555 ANDALAN LAKTASI Sydna Farma TABLET 0.5 MG DUS, 30 AMPLOP @ 1 BLISTER @ 28 TABLET Tarik Barang Retur D-VIT FT Gracia TABLET</t>
  </si>
  <si>
    <t>AWBR-3315218016</t>
  </si>
  <si>
    <t>26060400375470ia9nPpk3D</t>
  </si>
  <si>
    <t>Apotek K24 Bumi Indah City Sukamantri Pasar Kemis</t>
  </si>
  <si>
    <t>Ruko RMR 08 Bumi Indah City, Desa/Kel Sukamantri Kec. Pasar Kemis Kab. Tangerang</t>
  </si>
  <si>
    <t>PEPTISOL Sanghiang Perkasa FRENCH VANILLA</t>
  </si>
  <si>
    <t>AWBR-3315218016-01</t>
  </si>
  <si>
    <t>Pickup Return, wajib bawa form BA Return. Bilang ke Apotek “mau tarik barang”. Jika tidak ada barang, tulis keterangan “tidak ada barang retur” di form BA TMP-INV-2024/12/06/ 1187207 NECIBLOK Dankos SUSPENSI DUS, BOTOL 100 ML Tarik Barang Retur PEPTISOL Sanghiang Perkasa FRENCH VANILLA</t>
  </si>
  <si>
    <t>AWBR-3316180729</t>
  </si>
  <si>
    <t>26060602482120tqvFUu6N6</t>
  </si>
  <si>
    <t>Apotek K24 Ciledug Jatiseeng Ciledug</t>
  </si>
  <si>
    <t>Jl. Merdeka Barat PS-D 33-166 RT. 004 RW. 003 , Desa/Kel. Jatiseeng, Kec. Ciledug, Kab. Cirebon</t>
  </si>
  <si>
    <t>MINYAK ANGIN CAP KAPAK Yahi Utama</t>
  </si>
  <si>
    <t>AWBR-3316180729-01</t>
  </si>
  <si>
    <t>Pickup Return, wajib bawa form BA Return. Bilang ke Apotek “mau tarik barang”. Jika tidak ada barang, tulis keterangan “tidak ada barang retur” di form BA TMP-INV-2025/01/23/ 1300249 FITKOM MULTIVITAMIN (RASA STRAWBERRY) Soho TABLET BOTOL PLASTIK @ 21 TABLET HISAP Tarik Barang Retur MINYAK ANGIN CAP KAPAK Yahi Utama</t>
  </si>
  <si>
    <t>AWBR-3315233883</t>
  </si>
  <si>
    <t>26060214400064U1bi5RCXo</t>
  </si>
  <si>
    <t>BIO-OIL Radiant Body Lotion</t>
  </si>
  <si>
    <t>AWBR-3315233883-01</t>
  </si>
  <si>
    <t>Pickup Return, wajib bawa form BA Return. Bilang ke Apotek “mau tarik barang”. Jika tidak ada barang, tulis keterangan “tidak ada barang retur” di form BA TMP-INV-2026/06/01/ 2804868 / TMP-INV-2026/06/02/ 2809176 
ASTHIN FORCE 12 Soho KAPSUL DUS, 2 STRIP @ 10 KAPSUL
ASTHIN FORCE 6 Soho KAPSUL DUS, 2 STRIP @ 10 KAPSUL
CAL-95 Lapi KAPLET DUS, 5 STRIP @ 6 KAPLET SALUT SELAPUT
L-VIT D3 5000 Lapi TABLET DUS, 3 BLISTER @ 10 TABLET SALUT SELAPUT
HUFAGRIPP DEMAM Hufa KAPLET 500 MG DUS, 10 AMPLOP @ 1 STRIP @ 10 KAPLET
NASONEX Organon SEMPROT HIDUNG 50 MCG/DOSIS DUS, 1 BOTOL PLASTIK @ 60 DOSIS
 Tarik Barang Retur BIO-OIL Radiant Body Lotion</t>
  </si>
  <si>
    <t>AWBR-3316410208</t>
  </si>
  <si>
    <t>ALPENTIN Actavis KAPSUL 100 MG
1x TRINORDIOL-28 Sunthi TABLET</t>
  </si>
  <si>
    <t>AWBR-3316410208-01</t>
  </si>
  <si>
    <t>Pickup Return, wajib bawa form BA Return. Bilang ke Apotek “mau tarik barang”. Jika tidak ada barang, tulis keterangan “tidak ada barang retur” di form BA TMP-INV-2026/05/27/ 2789359 ACCU-CHECK GUIDE TEST STRIPS Roche DUS, BOTOL @ 50 Strips Tarik Barang Retur ALPENTIN Actavis KAPSUL 100 MG
1x TRINORDIOL-28 Sunthi TABLET</t>
  </si>
  <si>
    <t>PANTOZOL Takeda TABLET 40 MG</t>
  </si>
  <si>
    <t>AWBR-3315163368-01</t>
  </si>
  <si>
    <t>Pickup Return, wajib bawa form BA Return. Bilang ke Apotek “mau tarik barang”. Jika tidak ada barang, tulis keterangan “tidak ada barang retur” di form BA TMP-INV-2026/06/03/ 2813569 SUTRA Condom (MERAH) DUS, 24 CONDOM Tarik Barang Retur PANTOZOL Takeda TABLET 40 MG</t>
  </si>
  <si>
    <t>AWBR-3315173190</t>
  </si>
  <si>
    <t>SALONPAS JET SPRAY Hisamitsu</t>
  </si>
  <si>
    <t>AWBR-3315173190-01</t>
  </si>
  <si>
    <t>Pickup Return, wajib bawa form BA Return. Bilang ke Apotek “mau tarik barang”. Jika tidak ada barang, tulis keterangan “tidak ada barang retur” di form BA TMP-INV-2026/06/02/ 2808907 / TMP-INV-2026/06/02/ 2809192 HANSAPLAST FUN KAIN ELASTIS Beiersdorf DUS, 100 LEMBAR / KLODERMA Surya Dermato KRIM 0.05 % DUS, TUBE @ 5 G Tarik Barang Retur SALONPAS JET SPRAY Hisamitsu</t>
  </si>
  <si>
    <t>AWBR-3316405629</t>
  </si>
  <si>
    <t>MEFINAL Sanbe KAPSUL 250 MG</t>
  </si>
  <si>
    <t>AWBR-3316405629-01</t>
  </si>
  <si>
    <t>Pickup Return, wajib bawa form BA Return. Bilang ke Apotek “mau tarik barang”. Jika tidak ada barang, tulis keterangan “tidak ada barang retur” di form BA TMP-INV-2026/06/01/ 2804721 SISTENOL Dexa Medica KAPLET 500/200 MG DUS, 6 DUS @ 1 BOTOL @ 10 KAPLET SALUT SELAPUT Tarik Barang Retur MEFINAL Sanbe KAPSUL 250 MG</t>
  </si>
  <si>
    <t>AWBR-3316257963</t>
  </si>
  <si>
    <t>26060505214136sAvP6ccI9H</t>
  </si>
  <si>
    <t>Apotek K24 Pondok Kelapa 1184</t>
  </si>
  <si>
    <t>Jalan Pondok Kelapa Blok E 10 No.2 RT 007 RW 011 Kelurahan Pondok Kelapa Kecamatan Duren Sawit Jakarta Timur 13450</t>
  </si>
  <si>
    <t>ANTIMO ANAK (RASA JERUK) Phapros SIRUP
4x ANTIMO ANAK (RASA STRAWBERRY) Phapros SIRUP
1x DEXTAMINE Phapros SIRUP
1x HIALID Meiji TETES MATA
1x MARCKS Kimia Farma BEDAK BEAUTY POWDER CREME
1x MARCKS Kimia Farma BEDAK BEAUTY POWDER PUTIH
2x MUCOVY Lapi SIRUP</t>
  </si>
  <si>
    <t>AWBR-3316257963-01</t>
  </si>
  <si>
    <t>Pickup Return, wajib bawa form BA Return. Bilang ke Apotek “mau tarik barang”. Jika tidak ada barang, tulis keterangan “tidak ada barang retur” di form BA TMP-INV-2026/06/02/ 2809156 / TMP-INV-2026/06/02/ 2809145 SHEN NONG SHI DIE DA YAO JING Saras subur DUS, BOTOL @ 30 ML Tarik Barang Retur ANTIMO ANAK (RASA JERUK) Phapros SIRUP
4x ANTIMO ANAK (RASA STRAWBERRY) Phapros SIRUP
1x DEXTAMINE Phapros SIRUP
1x HIALID Meiji TETES MATA
1x MARCKS Kimia Farma BEDAK BEAUTY POWDER CREME
1x MARCKS Kimia Farma BEDAK BEAUTY POWDER PUTIH
2x MUCOVY Lapi SIRUP</t>
  </si>
  <si>
    <t>AWBR-3316404172</t>
  </si>
  <si>
    <t>AWBR-3316404172-01</t>
  </si>
  <si>
    <t>Pickup Return, wajib bawa form BA Return. Bilang ke Apotek “mau tarik barang”. Jika tidak ada barang, tulis keterangan “tidak ada barang retur” di form BA TMP-INV-2026/05/29/ 2796206 / TMP-INV-2026/05/29/ 2796204 HANSAPLAST KAIN ELASTIS JUMBO Beiersdorf DUS, 50 LEMBAR (32 x 65 mm) / BALSEM LANG Eagle Indo DUS, POT KACA @ 40 G Tarik Barang Retur MINYAK ANGIN CAP KAPAK Yahi Utama</t>
  </si>
  <si>
    <t>AWBR-3316312789</t>
  </si>
  <si>
    <t>25051502255198DGhX9ooVN</t>
  </si>
  <si>
    <t>BLACKMORES BIO C 1000 Kalbe TABLET</t>
  </si>
  <si>
    <t>AWBR-3316312789-01</t>
  </si>
  <si>
    <t>Pickup Return, wajib bawa form BA Return. Bilang ke Apotek “mau tarik barang”. Jika tidak ada barang, tulis keterangan “tidak ada barang retur” di form BA TMP-INV-2026/06/03/ 2812233 REMABREX Kalbe KAPSUL 100 MG DUS, 3 BLISTER @ 10 KAPSUL Tarik Barang Retur BLACKMORES BIO C 1000 Kalbe TABLET</t>
  </si>
  <si>
    <t>AWBR-3316412716</t>
  </si>
  <si>
    <t>26060111165813PnxflbvXK</t>
  </si>
  <si>
    <t>AWBR-3316412716-01</t>
  </si>
  <si>
    <t>Pickup Return, wajib bawa form BA Return. Bilang ke Apotek “mau tarik barang”. Jika tidak ada barang, tulis keterangan “tidak ada barang retur” di form BA TMP-INV-2024/12/17/ 1212681 DICLOFENAC POTASSIUM Nulab TABLET 25 MG DUS, 10 BLISTER @ 10 TABLET SALUT SELAPUT Tarik Barang Retur ANDALAN LAKTASI Sydna Farma TABLET 0.5 MG</t>
  </si>
  <si>
    <t>AWBR-3316405329</t>
  </si>
  <si>
    <t>ALOCLAIR PLUS MOUTHWASH Enseval OBAT KUMUR</t>
  </si>
  <si>
    <t>AWBR-3316405329-01</t>
  </si>
  <si>
    <t>Pickup Return, wajib bawa form BA Return. Bilang ke Apotek “mau tarik barang”. Jika tidak ada barang, tulis keterangan “tidak ada barang retur” di form BA TMP-INV-2026/05/29/ 2796212 GANDAPURA Ika MINYAK GOSOK BOTOL 60 ML Tarik Barang Damaged ALOCLAIR PLUS MOUTHWASH Enseval OBAT KUMUR</t>
  </si>
  <si>
    <t>AWBR-3316395510</t>
  </si>
  <si>
    <t>25050115351363PU4XujtvB</t>
  </si>
  <si>
    <t>Apotek Madani Junti Jawilan</t>
  </si>
  <si>
    <t>Kp. Wanasari Jalan RT003 RW001 Desa/Kel Junti Kec. Jawilan Kab. Serang</t>
  </si>
  <si>
    <t>AWBR-3316395510-01</t>
  </si>
  <si>
    <t>Pickup Return, wajib bawa form BA Return. Bilang ke Apotek “mau tarik barang”. Jika tidak ada barang, tulis keterangan “tidak ada barang retur” di form BA TMP-INV-2026/04/27/ 2681985 SERETIDE DISKUS Gsk SERBUK INHALER 50/500 MCG DUS, 1 DISKUS @ 60 INHALASI Tarik Barang Damaged CATAFLAM D Novartis TABLET DISPERSIBLE</t>
  </si>
  <si>
    <t>AWBR-3316435618</t>
  </si>
  <si>
    <t>26012704215080rx30ANZod</t>
  </si>
  <si>
    <t>AMOXSAN FORTE Capri SIRUP KERING
9x EPEXOL Sanbe SIRUP 15 MG/5 ML</t>
  </si>
  <si>
    <t>AWBR-3316435618-01</t>
  </si>
  <si>
    <t>Pickup Return, wajib bawa form BA Return. Bilang ke Apotek “mau tarik barang”. Jika tidak ada barang, tulis keterangan “tidak ada barang retur” di form BA TMP-INV-2026/06/03/ 2812555 ANDALAN LAKTASI Sydna Farma TABLET 0.5 MG DUS, 30 AMPLOP @ 1 BLISTER @ 28 TABLET Tarik Barang Retur AMOXSAN FORTE Capri SIRUP KERING
9x EPEXOL Sanbe SIRUP 15 MG/5 ML</t>
  </si>
  <si>
    <t>AWBR-3312600584</t>
  </si>
  <si>
    <t>26060202341280C2FmRaE9F</t>
  </si>
  <si>
    <t>Apotek Manggala Sehat</t>
  </si>
  <si>
    <t>Ruko Daan Mogot Arcadia Blok H4 No.6 Kelurahan Batuceper, Kecamatan Batuceper, Kota Tangerang 15122</t>
  </si>
  <si>
    <t>MASKER BEDAH KARET HIJAB BIRU</t>
  </si>
  <si>
    <t>AWBR-3312600584-01</t>
  </si>
  <si>
    <t>Pickup Return, wajib bawa form BA Return. Bilang ke Apotek “mau tarik barang”. Jika tidak ada barang, tulis keterangan “tidak ada barang retur” di form BA TMP-INV-2024/12/06/ 1187207 NECIBLOK Dankos SUSPENSI DUS, BOTOL 100 ML Tarik Barang Retur MASKER BEDAH KARET HIJAB BIRU</t>
  </si>
  <si>
    <t>AWBR-3314646388</t>
  </si>
  <si>
    <t>26060323422472XkxcUxfvU</t>
  </si>
  <si>
    <t>HANSAPLAST AQUA PROTECT STERIL Beiersdorf 4XL</t>
  </si>
  <si>
    <t>AWBR-3314646388-01</t>
  </si>
  <si>
    <t>Pickup Return, wajib bawa form BA Return. Bilang ke Apotek “mau tarik barang”. Jika tidak ada barang, tulis keterangan “tidak ada barang retur” di form BA TMP-INV-2025/01/23/ 1300249 FITKOM MULTIVITAMIN (RASA STRAWBERRY) Soho TABLET BOTOL PLASTIK @ 21 TABLET HISAP Tarik Barang Retur HANSAPLAST AQUA PROTECT STERIL Beiersdorf 4XL</t>
  </si>
  <si>
    <t>AWBR-3316403542</t>
  </si>
  <si>
    <t>PARACETAMOL Holi KAPLET 500 MG</t>
  </si>
  <si>
    <t>AWBR-3316403542-01</t>
  </si>
  <si>
    <t>Pickup Return, wajib bawa form BA Return. Bilang ke Apotek “mau tarik barang”. Jika tidak ada barang, tulis keterangan “tidak ada barang retur” di form BA TMP-INV-2026/06/01/ 2804868 / TMP-INV-2026/06/02/ 2809176 
ASTHIN FORCE 12 Soho KAPSUL DUS, 2 STRIP @ 10 KAPSUL
ASTHIN FORCE 6 Soho KAPSUL DUS, 2 STRIP @ 10 KAPSUL
CAL-95 Lapi KAPLET DUS, 5 STRIP @ 6 KAPLET SALUT SELAPUT
L-VIT D3 5000 Lapi TABLET DUS, 3 BLISTER @ 10 TABLET SALUT SELAPUT
HUFAGRIPP DEMAM Hufa KAPLET 500 MG DUS, 10 AMPLOP @ 1 STRIP @ 10 KAPLET
NASONEX Organon SEMPROT HIDUNG 50 MCG/DOSIS DUS, 1 BOTOL PLASTIK @ 60 DOSIS
 Tarik Barang Retur PARACETAMOL Holi KAPLET 500 MG</t>
  </si>
  <si>
    <t>AWBR-3316291437</t>
  </si>
  <si>
    <t>Apotek Masagus Regol Wetan Sumedang Selatan</t>
  </si>
  <si>
    <t>Jalan Pangeran Geusan Ulun, Desa/Kelurahan Regolwetan, Kec.Sumedang Selatan, Kab. Sumedang</t>
  </si>
  <si>
    <t>NOURISH SKIN ULTIMATE Pharos TABLET</t>
  </si>
  <si>
    <t>AWBR-3316291437-01</t>
  </si>
  <si>
    <t>Pickup Return, wajib bawa form BA Return. Bilang ke Apotek “mau tarik barang”. Jika tidak ada barang, tulis keterangan “tidak ada barang retur” di form BA TMP-INV-2026/05/27/ 2789359 ACCU-CHECK GUIDE TEST STRIPS Roche DUS, BOTOL @ 50 Strips Tarik Barang Retur NOURISH SKIN ULTIMATE Pharos TABLET</t>
  </si>
  <si>
    <t>AWBR-3315224029</t>
  </si>
  <si>
    <t>26060401171832U10IJNhFI8</t>
  </si>
  <si>
    <t>Apotek Medika Prima Tambora</t>
  </si>
  <si>
    <t>Jalan KH. Moh. Mansyur No.150 B, RT.03 RW.03 Kode Pos 11270 Kelurahan. Duri Utara, Kecaatan Tambora, Kota Jakarta Barat, DKI Jakarta 11270</t>
  </si>
  <si>
    <t>HOTIN CREAM Ultrasakti KRIM
3x MINYAK ANGIN CAP KAPAK Yahi Utama
1x VENOSMIL Dankos GEL
24x YOU C 1000 LEMON
24x YOU C 1000 ORANGE</t>
  </si>
  <si>
    <t>AWBR-3315224029-01</t>
  </si>
  <si>
    <t>Pickup Return, wajib bawa form BA Return. Bilang ke Apotek “mau tarik barang”. Jika tidak ada barang, tulis keterangan “tidak ada barang retur” di form BA TMP-INV-2026/06/03/ 2813569 SUTRA Condom (MERAH) DUS, 24 CONDOM Tarik Barang Retur HOTIN CREAM Ultrasakti KRIM
3x MINYAK ANGIN CAP KAPAK Yahi Utama
1x VENOSMIL Dankos GEL
24x YOU C 1000 LEMON
24x YOU C 1000 ORANGE</t>
  </si>
  <si>
    <t>AWBR-3316404458</t>
  </si>
  <si>
    <t>CITICOLINE Bernofarm TABLET 500 MG</t>
  </si>
  <si>
    <t>AWBR-3316404458-01</t>
  </si>
  <si>
    <t>Pickup Return, wajib bawa form BA Return. Bilang ke Apotek “mau tarik barang”. Jika tidak ada barang, tulis keterangan “tidak ada barang retur” di form BA TMP-INV-2026/06/02/ 2808907 / TMP-INV-2026/06/02/ 2809192 HANSAPLAST FUN KAIN ELASTIS Beiersdorf DUS, 100 LEMBAR / KLODERMA Surya Dermato KRIM 0.05 % DUS, TUBE @ 5 G Tarik Barang Retur CITICOLINE Bernofarm TABLET 500 MG</t>
  </si>
  <si>
    <t>AWBR-3314601391</t>
  </si>
  <si>
    <t>260604015808475eT3xJ2Bl</t>
  </si>
  <si>
    <t>LAXING Soho KAPSUL</t>
  </si>
  <si>
    <t>AWBR-3314601391-01</t>
  </si>
  <si>
    <t>Pickup Return, wajib bawa form BA Return. Bilang ke Apotek “mau tarik barang”. Jika tidak ada barang, tulis keterangan “tidak ada barang retur” di form BA TMP-INV-2026/06/01/ 2804721 SISTENOL Dexa Medica KAPLET 500/200 MG DUS, 6 DUS @ 1 BOTOL @ 10 KAPLET SALUT SELAPUT Tarik Barang Retur LAXING Soho KAPSUL</t>
  </si>
  <si>
    <t>AWBR-3314506719</t>
  </si>
  <si>
    <t>260603025404280k1CmT0bn</t>
  </si>
  <si>
    <t>Apotek Meds</t>
  </si>
  <si>
    <t>Jalan Percetakan Negara II Blok J/14, No 15, Kelurahan Johar Baru Kecamatan Johar Baru Jakarta Pusat 10560</t>
  </si>
  <si>
    <t>ASTHIN B-OND 6 Soho KAPSUL</t>
  </si>
  <si>
    <t>AWBR-3314506719-01</t>
  </si>
  <si>
    <t>Pickup Return, wajib bawa form BA Return. Bilang ke Apotek “mau tarik barang”. Jika tidak ada barang, tulis keterangan “tidak ada barang retur” di form BA TMP-INV-2026/06/02/ 2809156 / TMP-INV-2026/06/02/ 2809145 SHEN NONG SHI DIE DA YAO JING Saras subur DUS, BOTOL @ 30 ML Tarik Barang Retur ASTHIN B-OND 6 Soho KAPSUL</t>
  </si>
  <si>
    <t>AWBR-3316409957</t>
  </si>
  <si>
    <t>HUFAGRIPP DEMAM Hufa KAPLET 500 MG
1x NASONEX Organon SEMPROT HIDUNG 50 MCG/DOSIS</t>
  </si>
  <si>
    <t>AWBR-3316409957-01</t>
  </si>
  <si>
    <t>Pickup Return, wajib bawa form BA Return. Bilang ke Apotek “mau tarik barang”. Jika tidak ada barang, tulis keterangan “tidak ada barang retur” di form BA TMP-INV-2026/05/29/ 2796206 / TMP-INV-2026/05/29/ 2796204 HANSAPLAST KAIN ELASTIS JUMBO Beiersdorf DUS, 50 LEMBAR (32 x 65 mm) / BALSEM LANG Eagle Indo DUS, POT KACA @ 40 G Tarik Barang Retur HUFAGRIPP DEMAM Hufa KAPLET 500 MG
1x NASONEX Organon SEMPROT HIDUNG 50 MCG/DOSIS</t>
  </si>
  <si>
    <t>AWBR-3316410309</t>
  </si>
  <si>
    <t>ASTHIN FORCE 12 Soho KAPSUL
1x ASTHIN FORCE 6 Soho KAPSUL
3x CAL-95 Lapi KAPLET
3x L-VIT D3 5000 Lapi TABLET</t>
  </si>
  <si>
    <t>AWBR-3316410309-01</t>
  </si>
  <si>
    <t>Pickup Return, wajib bawa form BA Return. Bilang ke Apotek “mau tarik barang”. Jika tidak ada barang, tulis keterangan “tidak ada barang retur” di form BA TMP-INV-2026/06/03/ 2812233 REMABREX Kalbe KAPSUL 100 MG DUS, 3 BLISTER @ 10 KAPSUL Tarik Barang Retur ASTHIN FORCE 12 Soho KAPSUL
1x ASTHIN FORCE 6 Soho KAPSUL
3x CAL-95 Lapi KAPLET
3x L-VIT D3 5000 Lapi TABLET</t>
  </si>
  <si>
    <t>AWBR-3316410556</t>
  </si>
  <si>
    <t>ASTHIN FORCE 12 Soho KAPSUL
2x ASTHIN FORCE 6 Soho KAPSUL
0x CAL-95 Lapi KAPLET
0x L-VIT D3 5000 Lapi TABLET</t>
  </si>
  <si>
    <t>AWBR-3316410556-01</t>
  </si>
  <si>
    <t>Pickup Return, wajib bawa form BA Return. Bilang ke Apotek “mau tarik barang”. Jika tidak ada barang, tulis keterangan “tidak ada barang retur” di form BA TMP-INV-2024/12/17/ 1212681 DICLOFENAC POTASSIUM Nulab TABLET 25 MG DUS, 10 BLISTER @ 10 TABLET SALUT SELAPUT Tarik Barang Retur ASTHIN FORCE 12 Soho KAPSUL
2x ASTHIN FORCE 6 Soho KAPSUL
0x CAL-95 Lapi KAPLET
0x L-VIT D3 5000 Lapi TABLET</t>
  </si>
  <si>
    <t>Apotek Miracle</t>
  </si>
  <si>
    <t>Ruko Tematic Pasar Modern Paramount Serpong Blok R19 Lt. 1 Jalan Raya Pasar Serpong Desa/Kelurahan Curug Sangereng Kecamatan Kelapa Dua Tangerang 15810</t>
  </si>
  <si>
    <t>CALIBERI Abbott 20 MG</t>
  </si>
  <si>
    <t>AWBR-3315239321-01</t>
  </si>
  <si>
    <t>Pickup Return, wajib bawa form BA Return. Bilang ke Apotek “mau tarik barang”. Jika tidak ada barang, tulis keterangan “tidak ada barang retur” di form BA TMP-INV-2026/05/29/ 2796212 GANDAPURA Ika MINYAK GOSOK BOTOL 60 ML Tarik Barang Damaged CALIBERI Abbott 20 MG</t>
  </si>
  <si>
    <t>AWBR-3312477530</t>
  </si>
  <si>
    <t>240317001443419nctnfg2A</t>
  </si>
  <si>
    <t>Apotek Mulana Farma Jatirasa Jatiasih</t>
  </si>
  <si>
    <t>Jl. Swatantra 5 No. 8 RT. 008 RW. 003 Kel. Jatirasa Kec. Jatiasih, Kota Bekasi</t>
  </si>
  <si>
    <t>ATORVASTATIN CALCIUM Hexpharm TABLET 20 MG
2x SUCRALFATE Combiphar TABLET 500 MG</t>
  </si>
  <si>
    <t>AWBR-3312477530-01</t>
  </si>
  <si>
    <t>Pickup Return, wajib bawa form BA Return. Bilang ke Apotek “mau tarik barang”. Jika tidak ada barang, tulis keterangan “tidak ada barang retur” di form BA TMP-INV-2026/04/27/ 2681985 SERETIDE DISKUS Gsk SERBUK INHALER 50/500 MCG DUS, 1 DISKUS @ 60 INHALASI Tarik Barang Damaged ATORVASTATIN CALCIUM Hexpharm TABLET 20 MG
2x SUCRALFATE Combiphar TABLET 500 MG</t>
  </si>
  <si>
    <t>AWBR-3316412758</t>
  </si>
  <si>
    <t>Apotek Murni Health Kelapa Indah Tangerang</t>
  </si>
  <si>
    <t>Ruko SRB 20, Jln. Hartono Raya Kota Modern The Modern Golf Apartement, Tower Merah Kel. Kelapa Indah Kec. Tangerang Kota Tangerang</t>
  </si>
  <si>
    <t>TRAPASIN Combiphar TABLET</t>
  </si>
  <si>
    <t>AWBR-3316412758-01</t>
  </si>
  <si>
    <t>Pickup Return, wajib bawa form BA Return. Bilang ke Apotek “mau tarik barang”. Jika tidak ada barang, tulis keterangan “tidak ada barang retur” di form BA TMP-INV-2026/06/03/ 2812555 ANDALAN LAKTASI Sydna Farma TABLET 0.5 MG DUS, 30 AMPLOP @ 1 BLISTER @ 28 TABLET Tarik Barang Retur TRAPASIN Combiphar TABLET</t>
  </si>
  <si>
    <t>AWBR-3314504370</t>
  </si>
  <si>
    <t>26060403513552HS2Nq0TFT</t>
  </si>
  <si>
    <t>CLOPIDOGREL BISULFATE Beta Pharmacon TABLET 75 MG
2x OBH Surya Itrasal SIRUP</t>
  </si>
  <si>
    <t>AWBR-3314504370-01</t>
  </si>
  <si>
    <t>Pickup Return, wajib bawa form BA Return. Bilang ke Apotek “mau tarik barang”. Jika tidak ada barang, tulis keterangan “tidak ada barang retur” di form BA TMP-INV-2024/12/06/ 1187207 NECIBLOK Dankos SUSPENSI DUS, BOTOL 100 ML Tarik Barang Retur CLOPIDOGREL BISULFATE Beta Pharmacon TABLET 75 MG
2x OBH Surya Itrasal SIRUP</t>
  </si>
  <si>
    <t>ILIADIN Merck TETES HIDUNG ANAK 0.025%</t>
  </si>
  <si>
    <t>AWBR-3314540623-01</t>
  </si>
  <si>
    <t>Pickup Return, wajib bawa form BA Return. Bilang ke Apotek “mau tarik barang”. Jika tidak ada barang, tulis keterangan “tidak ada barang retur” di form BA TMP-INV-2025/01/23/ 1300249 FITKOM MULTIVITAMIN (RASA STRAWBERRY) Soho TABLET BOTOL PLASTIK @ 21 TABLET HISAP Tarik Barang Retur ILIADIN Merck TETES HIDUNG ANAK 0.025%</t>
  </si>
  <si>
    <t>AWBR-3316181927</t>
  </si>
  <si>
    <t>Apotek Natan</t>
  </si>
  <si>
    <t>Jalan Angkasa Dalam I No.50 AB RT.013 RW.003 Kelurahan Gunung Sahari Selatan, Kecamatan Kemayoran, Kota Jakarta Pusat 10610</t>
  </si>
  <si>
    <t>FARMACROL FORTE Pratapa Nirmala SUSPENSI</t>
  </si>
  <si>
    <t>AWBR-3316181927-01</t>
  </si>
  <si>
    <t>Pickup Return, wajib bawa form BA Return. Bilang ke Apotek “mau tarik barang”. Jika tidak ada barang, tulis keterangan “tidak ada barang retur” di form BA TMP-INV-2026/06/01/ 2804868 / TMP-INV-2026/06/02/ 2809176 
ASTHIN FORCE 12 Soho KAPSUL DUS, 2 STRIP @ 10 KAPSUL
ASTHIN FORCE 6 Soho KAPSUL DUS, 2 STRIP @ 10 KAPSUL
CAL-95 Lapi KAPLET DUS, 5 STRIP @ 6 KAPLET SALUT SELAPUT
L-VIT D3 5000 Lapi TABLET DUS, 3 BLISTER @ 10 TABLET SALUT SELAPUT
HUFAGRIPP DEMAM Hufa KAPLET 500 MG DUS, 10 AMPLOP @ 1 STRIP @ 10 KAPLET
NASONEX Organon SEMPROT HIDUNG 50 MCG/DOSIS DUS, 1 BOTOL PLASTIK @ 60 DOSIS
 Tarik Barang Retur FARMACROL FORTE Pratapa Nirmala SUSPENSI</t>
  </si>
  <si>
    <t>AWBR-3316189585</t>
  </si>
  <si>
    <t>Apotek Pakuan Farma</t>
  </si>
  <si>
    <t>Jalan Pandawa Raya Blok A1 No. 14 RT. 07 RW. 15 Kelurahan Bantarjati Kecamatan Bogor Utara Kota Bogor 16153</t>
  </si>
  <si>
    <t>ASTRIA Pertiwi Agung KAPSUL 4 MG</t>
  </si>
  <si>
    <t>AWBR-3316189585-01</t>
  </si>
  <si>
    <t>Pickup Return, wajib bawa form BA Return. Bilang ke Apotek “mau tarik barang”. Jika tidak ada barang, tulis keterangan “tidak ada barang retur” di form BA TMP-INV-2026/05/27/ 2789359 ACCU-CHECK GUIDE TEST STRIPS Roche DUS, BOTOL @ 50 Strips Tarik Barang Retur ASTRIA Pertiwi Agung KAPSUL 4 MG</t>
  </si>
  <si>
    <t>AWBR-3314636351</t>
  </si>
  <si>
    <t>26032823554026w0jYB9PDti</t>
  </si>
  <si>
    <t>Apotek Pekapuran</t>
  </si>
  <si>
    <t>Jalan Raya Pekapuran No. 106 RT 001 RW 022, Kelurahan Sukatani, Kecamatan Tapos Kota Depok 16454</t>
  </si>
  <si>
    <t>AWBR-3314636351-01</t>
  </si>
  <si>
    <t>Pickup Return, wajib bawa form BA Return. Bilang ke Apotek “mau tarik barang”. Jika tidak ada barang, tulis keterangan “tidak ada barang retur” di form BA TMP-INV-2026/06/03/ 2813569 SUTRA Condom (MERAH) DUS, 24 CONDOM Tarik Barang Retur TRINORDIOL-28 Sunthi TABLET</t>
  </si>
  <si>
    <t>AWBR-3314526617</t>
  </si>
  <si>
    <t>26060202414537nFuoe46A3</t>
  </si>
  <si>
    <t>Apotek Permata 668</t>
  </si>
  <si>
    <t>Jl. Regency II Blok DC-2 No. 53 Kelurahan: Gelam Jaya Kecamatan: Pasar Kemis Kab/Kota: Kab. Tangerang</t>
  </si>
  <si>
    <t>ALOCLAIR PLUS Enseval GEL</t>
  </si>
  <si>
    <t>AWBR-3314526617-01</t>
  </si>
  <si>
    <t>Pickup Return, wajib bawa form BA Return. Bilang ke Apotek “mau tarik barang”. Jika tidak ada barang, tulis keterangan “tidak ada barang retur” di form BA TMP-INV-2026/06/02/ 2808907 / TMP-INV-2026/06/02/ 2809192 HANSAPLAST FUN KAIN ELASTIS Beiersdorf DUS, 100 LEMBAR / KLODERMA Surya Dermato KRIM 0.05 % DUS, TUBE @ 5 G Tarik Barang Retur ALOCLAIR PLUS Enseval GEL</t>
  </si>
  <si>
    <t>AWBR-3316407018</t>
  </si>
  <si>
    <t>BLACKMORES FISH OIL MINI CAPS ODOURLESS Kalbe KAPSUL</t>
  </si>
  <si>
    <t>AWBR-3316407018-01</t>
  </si>
  <si>
    <t>Pickup Return, wajib bawa form BA Return. Bilang ke Apotek “mau tarik barang”. Jika tidak ada barang, tulis keterangan “tidak ada barang retur” di form BA TMP-INV-2026/06/01/ 2804721 SISTENOL Dexa Medica KAPLET 500/200 MG DUS, 6 DUS @ 1 BOTOL @ 10 KAPLET SALUT SELAPUT Tarik Barang Retur BLACKMORES FISH OIL MINI CAPS ODOURLESS Kalbe KAPSUL</t>
  </si>
  <si>
    <t>AWBR-3316290055</t>
  </si>
  <si>
    <t>26060700492823tSkNp3ap8I</t>
  </si>
  <si>
    <t>NEO RHEUMACYL NEURO Tempo Scan KAPLET</t>
  </si>
  <si>
    <t>AWBR-3316290055-01</t>
  </si>
  <si>
    <t>Pickup Return, wajib bawa form BA Return. Bilang ke Apotek “mau tarik barang”. Jika tidak ada barang, tulis keterangan “tidak ada barang retur” di form BA TMP-INV-2026/06/02/ 2809156 / TMP-INV-2026/06/02/ 2809145 SHEN NONG SHI DIE DA YAO JING Saras subur DUS, BOTOL @ 30 ML Tarik Barang Retur NEO RHEUMACYL NEURO Tempo Scan KAPLET</t>
  </si>
  <si>
    <t>AWBR-3316403854</t>
  </si>
  <si>
    <t>26060700461028qYhEdiFVrM</t>
  </si>
  <si>
    <t>AWBR-3316403854-01</t>
  </si>
  <si>
    <t>Pickup Return, wajib bawa form BA Return. Bilang ke Apotek “mau tarik barang”. Jika tidak ada barang, tulis keterangan “tidak ada barang retur” di form BA TMP-INV-2026/05/29/ 2796206 / TMP-INV-2026/05/29/ 2796204 HANSAPLAST KAIN ELASTIS JUMBO Beiersdorf DUS, 50 LEMBAR (32 x 65 mm) / BALSEM LANG Eagle Indo DUS, POT KACA @ 40 G Tarik Barang Retur PEPTISOL Sanghiang Perkasa FRENCH VANILLA</t>
  </si>
  <si>
    <t>AWBR-3316407979</t>
  </si>
  <si>
    <t>AWBR-3316407979-01</t>
  </si>
  <si>
    <t>Pickup Return, wajib bawa form BA Return. Bilang ke Apotek “mau tarik barang”. Jika tidak ada barang, tulis keterangan “tidak ada barang retur” di form BA TMP-INV-2026/06/03/ 2812233 REMABREX Kalbe KAPSUL 100 MG DUS, 3 BLISTER @ 10 KAPSUL Tarik Barang Retur IMBOOST FORCE FCT+ Soho KAPLET</t>
  </si>
  <si>
    <t>AWBR-3316402396</t>
  </si>
  <si>
    <t>BEPANTHEN Bayer SALEP BAYI</t>
  </si>
  <si>
    <t>AWBR-3316402396-01</t>
  </si>
  <si>
    <t>Pickup Return, wajib bawa form BA Return. Bilang ke Apotek “mau tarik barang”. Jika tidak ada barang, tulis keterangan “tidak ada barang retur” di form BA TMP-INV-2024/12/17/ 1212681 DICLOFENAC POTASSIUM Nulab TABLET 25 MG DUS, 10 BLISTER @ 10 TABLET SALUT SELAPUT Tarik Barang Retur BEPANTHEN Bayer SALEP BAYI</t>
  </si>
  <si>
    <t>AWBR-3314635586</t>
  </si>
  <si>
    <t>Apotek Sadar Sehat</t>
  </si>
  <si>
    <t>Jalan Sadar Raya No. 33A Blok W-02 RT 002 RW 004 Kelurahan Ciganjur, Kecamatan Jagakarsa, Kota adm Jakarta Selatan, DKI Jakarta 12630</t>
  </si>
  <si>
    <t>SHEN NONG SHI DIE DA YAO JING Saras subur</t>
  </si>
  <si>
    <t>AWBR-3314635586-01</t>
  </si>
  <si>
    <t>Pickup Return, wajib bawa form BA Return. Bilang ke Apotek “mau tarik barang”. Jika tidak ada barang, tulis keterangan “tidak ada barang retur” di form BA TMP-INV-2026/05/29/ 2796212 GANDAPURA Ika MINYAK GOSOK BOTOL 60 ML Tarik Barang Damaged SHEN NONG SHI DIE DA YAO JING Saras subur</t>
  </si>
  <si>
    <t>AWBR-3316402449</t>
  </si>
  <si>
    <t>25050907234012cgyT6rdg</t>
  </si>
  <si>
    <t>DISOLF Dexa Medica TABLET 490 MG</t>
  </si>
  <si>
    <t>AWBR-3316402449-01</t>
  </si>
  <si>
    <t>Pickup Return, wajib bawa form BA Return. Bilang ke Apotek “mau tarik barang”. Jika tidak ada barang, tulis keterangan “tidak ada barang retur” di form BA TMP-INV-2026/04/27/ 2681985 SERETIDE DISKUS Gsk SERBUK INHALER 50/500 MCG DUS, 1 DISKUS @ 60 INHALASI Tarik Barang Damaged DISOLF Dexa Medica TABLET 490 MG</t>
  </si>
  <si>
    <t>AWBR-3316404045</t>
  </si>
  <si>
    <t>VEGEBLEND Pharos KAPSUL</t>
  </si>
  <si>
    <t>AWBR-3316404045-01</t>
  </si>
  <si>
    <t>Pickup Return, wajib bawa form BA Return. Bilang ke Apotek “mau tarik barang”. Jika tidak ada barang, tulis keterangan “tidak ada barang retur” di form BA TMP-INV-2026/06/03/ 2812555 ANDALAN LAKTASI Sydna Farma TABLET 0.5 MG DUS, 30 AMPLOP @ 1 BLISTER @ 28 TABLET Tarik Barang Retur VEGEBLEND Pharos KAPSUL</t>
  </si>
  <si>
    <t>AWBR-3316252868</t>
  </si>
  <si>
    <t>Apotek Sinar Terbit Mekarsari Banjar</t>
  </si>
  <si>
    <t>Jalan Tentara Pelajar Lingk. Cikabuyutan Barat RT.002 RW.010, Desa/Kelurahan Hegarsari, Kec. Pataruman, Kota Banjar</t>
  </si>
  <si>
    <t>VELUTINE Novell CAIRAN INHALASI 2.5 MG
1x NEUROBION Merck TABLET</t>
  </si>
  <si>
    <t>AWBR-3316252868-01</t>
  </si>
  <si>
    <t>Pickup Return, wajib bawa form BA Return. Bilang ke Apotek “mau tarik barang”. Jika tidak ada barang, tulis keterangan “tidak ada barang retur” di form BA TMP-INV-2024/12/06/ 1187207 NECIBLOK Dankos SUSPENSI DUS, BOTOL 100 ML Tarik Barang Retur VELUTINE Novell CAIRAN INHALASI 2.5 MG
1x NEUROBION Merck TABLET</t>
  </si>
  <si>
    <t>AWBR-3316403095</t>
  </si>
  <si>
    <t>MOLOCO B12 Darya-Varia TABLET</t>
  </si>
  <si>
    <t>AWBR-3316403095-01</t>
  </si>
  <si>
    <t>Pickup Return, wajib bawa form BA Return. Bilang ke Apotek “mau tarik barang”. Jika tidak ada barang, tulis keterangan “tidak ada barang retur” di form BA TMP-INV-2025/01/23/ 1300249 FITKOM MULTIVITAMIN (RASA STRAWBERRY) Soho TABLET BOTOL PLASTIK @ 21 TABLET HISAP Tarik Barang Retur MOLOCO B12 Darya-Varia TABLET</t>
  </si>
  <si>
    <t>AWBR-3316400317</t>
  </si>
  <si>
    <t>Apotek Terang Embun</t>
  </si>
  <si>
    <t>Cluster Jesisca 3, Blk. R No.3, Peusar, Kec. Panongan, Kab. Tangerang 15710</t>
  </si>
  <si>
    <t>RHINOFED Dexa Medica SIRUP</t>
  </si>
  <si>
    <t>AWBR-3316400317-01</t>
  </si>
  <si>
    <t>Pickup Return, wajib bawa form BA Return. Bilang ke Apotek “mau tarik barang”. Jika tidak ada barang, tulis keterangan “tidak ada barang retur” di form BA TMP-INV-2026/06/01/ 2804868 / TMP-INV-2026/06/02/ 2809176 
ASTHIN FORCE 12 Soho KAPSUL DUS, 2 STRIP @ 10 KAPSUL
ASTHIN FORCE 6 Soho KAPSUL DUS, 2 STRIP @ 10 KAPSUL
CAL-95 Lapi KAPLET DUS, 5 STRIP @ 6 KAPLET SALUT SELAPUT
L-VIT D3 5000 Lapi TABLET DUS, 3 BLISTER @ 10 TABLET SALUT SELAPUT
HUFAGRIPP DEMAM Hufa KAPLET 500 MG DUS, 10 AMPLOP @ 1 STRIP @ 10 KAPLET
NASONEX Organon SEMPROT HIDUNG 50 MCG/DOSIS DUS, 1 BOTOL PLASTIK @ 60 DOSIS
 Tarik Barang Retur RHINOFED Dexa Medica SIRUP</t>
  </si>
  <si>
    <t>AWBR-3316412725</t>
  </si>
  <si>
    <t>26011413541925kQPMp30W</t>
  </si>
  <si>
    <t>Apotek Titik Sehat Medang Pagedangan</t>
  </si>
  <si>
    <t>Ruko Melody 2, Blok/Nomor : MLDD/001 Kelurahan/Desa Medang Kecamatan Pagedangan Kabupaten Tangerang</t>
  </si>
  <si>
    <t>OXYCAN GREEN Samator Gas</t>
  </si>
  <si>
    <t>AWBR-3316412725-01</t>
  </si>
  <si>
    <t>Pickup Return, wajib bawa form BA Return. Bilang ke Apotek “mau tarik barang”. Jika tidak ada barang, tulis keterangan “tidak ada barang retur” di form BA TMP-INV-2026/05/27/ 2789359 ACCU-CHECK GUIDE TEST STRIPS Roche DUS, BOTOL @ 50 Strips Tarik Barang Retur OXYCAN GREEN Samator Gas</t>
  </si>
  <si>
    <t>AWBR-3315448557</t>
  </si>
  <si>
    <t>26060501243139JWsh71zynZ</t>
  </si>
  <si>
    <t>Apotek Tugu Asem</t>
  </si>
  <si>
    <t>Kp. Ciketing Asem Jaya RT. 001 RW. 006 No. 70 Kel. Mustika Jaya Kec. Mustika Jaya, Kota Bekasi</t>
  </si>
  <si>
    <t>FOLAMIL GENIO Dexa Medica KAPSUL</t>
  </si>
  <si>
    <t>AWBR-3315448557-01</t>
  </si>
  <si>
    <t>Pickup Return, wajib bawa form BA Return. Bilang ke Apotek “mau tarik barang”. Jika tidak ada barang, tulis keterangan “tidak ada barang retur” di form BA TMP-INV-2026/06/03/ 2813569 SUTRA Condom (MERAH) DUS, 24 CONDOM Tarik Barang Retur FOLAMIL GENIO Dexa Medica KAPSUL</t>
  </si>
  <si>
    <t>AWBR-3316408096</t>
  </si>
  <si>
    <t>DIPROGENTA Organon SALEP</t>
  </si>
  <si>
    <t>AWBR-3316408096-01</t>
  </si>
  <si>
    <t>Pickup Return, wajib bawa form BA Return. Bilang ke Apotek “mau tarik barang”. Jika tidak ada barang, tulis keterangan “tidak ada barang retur” di form BA TMP-INV-2026/06/02/ 2808907 / TMP-INV-2026/06/02/ 2809192 HANSAPLAST FUN KAIN ELASTIS Beiersdorf DUS, 100 LEMBAR / KLODERMA Surya Dermato KRIM 0.05 % DUS, TUBE @ 5 G Tarik Barang Retur DIPROGENTA Organon SALEP</t>
  </si>
  <si>
    <t>JANUMET MSD TABLET 50/500 MG</t>
  </si>
  <si>
    <t>AWBR-3315212273-01</t>
  </si>
  <si>
    <t>Pickup Return, wajib bawa form BA Return. Bilang ke Apotek “mau tarik barang”. Jika tidak ada barang, tulis keterangan “tidak ada barang retur” di form BA TMP-INV-2026/06/01/ 2804721 SISTENOL Dexa Medica KAPLET 500/200 MG DUS, 6 DUS @ 1 BOTOL @ 10 KAPLET SALUT SELAPUT Tarik Barang Retur JANUMET MSD TABLET 50/500 MG</t>
  </si>
  <si>
    <t>AWBR-3314648308</t>
  </si>
  <si>
    <t>Apotek W4H Farma</t>
  </si>
  <si>
    <t>Jalan Raya Cibarusah Desa Cibarusah Kota Kecamatan Cibarusah Kabupaten Bekasi 17340</t>
  </si>
  <si>
    <t>CITICOLINE Novell KAPLET 1000 MG</t>
  </si>
  <si>
    <t>AWBR-3314648308-01</t>
  </si>
  <si>
    <t>Pickup Return, wajib bawa form BA Return. Bilang ke Apotek “mau tarik barang”. Jika tidak ada barang, tulis keterangan “tidak ada barang retur” di form BA TMP-INV-2026/06/02/ 2809156 / TMP-INV-2026/06/02/ 2809145 SHEN NONG SHI DIE DA YAO JING Saras subur DUS, BOTOL @ 30 ML Tarik Barang Retur CITICOLINE Novell KAPLET 1000 MG</t>
  </si>
  <si>
    <t>AWBR-3316409260</t>
  </si>
  <si>
    <t>Apotek Wijayakusuma</t>
  </si>
  <si>
    <t>Perum Dasana Indah Blok RD 1 No. 18 A Kelurahan/Desa Bojong Nangka,Kecamatan Kelapa Dua,Kabupaten Tangerang,Banten,15810</t>
  </si>
  <si>
    <t>PANTOPUMP 40 Interbat KAPLET 40 MG</t>
  </si>
  <si>
    <t>AWBR-3316409260-01</t>
  </si>
  <si>
    <t>Pickup Return, wajib bawa form BA Return. Bilang ke Apotek “mau tarik barang”. Jika tidak ada barang, tulis keterangan “tidak ada barang retur” di form BA TMP-INV-2026/05/29/ 2796206 / TMP-INV-2026/05/29/ 2796204 HANSAPLAST KAIN ELASTIS JUMBO Beiersdorf DUS, 50 LEMBAR (32 x 65 mm) / BALSEM LANG Eagle Indo DUS, POT KACA @ 40 G Tarik Barang Retur PANTOPUMP 40 Interbat KAPLET 40 MG</t>
  </si>
  <si>
    <t>AWBR-3316295613</t>
  </si>
  <si>
    <t>Apotek Yesha Farma Sukajaya Cibitung</t>
  </si>
  <si>
    <t>Perum Puri Lestari Ruko Blok C6 No. 8 desa Sukajaya Kec. Cibitung Kab. Bekasi 17520</t>
  </si>
  <si>
    <t>COUNTERPAIN Taisho KRIM</t>
  </si>
  <si>
    <t>AWBR-3316295613-01</t>
  </si>
  <si>
    <t>Pickup Return, wajib bawa form BA Return. Bilang ke Apotek “mau tarik barang”. Jika tidak ada barang, tulis keterangan “tidak ada barang retur” di form BA TMP-INV-2026/06/03/ 2812233 REMABREX Kalbe KAPSUL 100 MG DUS, 3 BLISTER @ 10 KAPSUL Tarik Barang Retur COUNTERPAIN Taisho KRIM</t>
  </si>
  <si>
    <t>AWBR-3314641536</t>
  </si>
  <si>
    <t>26060312532154XlnN1Sv7s</t>
  </si>
  <si>
    <t>KOLKATRIOL Phapros KAPSUL 0.25 MCG</t>
  </si>
  <si>
    <t>AWBR-3314641536-01</t>
  </si>
  <si>
    <t>Pickup Return, wajib bawa form BA Return. Bilang ke Apotek “mau tarik barang”. Jika tidak ada barang, tulis keterangan “tidak ada barang retur” di form BA TMP-INV-2024/12/17/ 1212681 DICLOFENAC POTASSIUM Nulab TABLET 25 MG DUS, 10 BLISTER @ 10 TABLET SALUT SELAPUT Tarik Barang Retur KOLKATRIOL Phapros KAPSUL 0.25 MCG</t>
  </si>
  <si>
    <t>AWBR-3312596108</t>
  </si>
  <si>
    <t>26060210180532HcQkeBhuK</t>
  </si>
  <si>
    <t>CURVIT CL EMULSION Soho EMULSI</t>
  </si>
  <si>
    <t>AWBR-3312596108-01</t>
  </si>
  <si>
    <t>Pickup Return, wajib bawa form BA Return. Bilang ke Apotek “mau tarik barang”. Jika tidak ada barang, tulis keterangan “tidak ada barang retur” di form BA TMP-INV-2026/05/29/ 2796212 GANDAPURA Ika MINYAK GOSOK BOTOL 60 ML Tarik Barang Damaged CURVIT CL EMULSION Soho EMULSI</t>
  </si>
  <si>
    <t>HOMOCLOMIN Eisai TABLET 10 MG</t>
  </si>
  <si>
    <t>AWBR-3315222074-01</t>
  </si>
  <si>
    <t>Pickup Return, wajib bawa form BA Return. Bilang ke Apotek “mau tarik barang”. Jika tidak ada barang, tulis keterangan “tidak ada barang retur” di form BA TMP-INV-2026/04/27/ 2681985 SERETIDE DISKUS Gsk SERBUK INHALER 50/500 MCG DUS, 1 DISKUS @ 60 INHALASI Tarik Barang Damaged HOMOCLOMIN Eisai TABLET 10 MG</t>
  </si>
  <si>
    <t>AWBR-3316411931</t>
  </si>
  <si>
    <t>ACNOL GEL FOR ACNE John Francis Laboratories</t>
  </si>
  <si>
    <t>AWBR-3316411931-01</t>
  </si>
  <si>
    <t>Pickup Return, wajib bawa form BA Return. Bilang ke Apotek “mau tarik barang”. Jika tidak ada barang, tulis keterangan “tidak ada barang retur” di form BA TMP-INV-2026/06/03/ 2812555 ANDALAN LAKTASI Sydna Farma TABLET 0.5 MG DUS, 30 AMPLOP @ 1 BLISTER @ 28 TABLET Tarik Barang Retur ACNOL GEL FOR ACNE John Francis Laboratories</t>
  </si>
  <si>
    <t>AWBR-3316413126</t>
  </si>
  <si>
    <t>SISTENOL Dexa Medica KAPLET 500/200 MG</t>
  </si>
  <si>
    <t>AWBR-3316413126-01</t>
  </si>
  <si>
    <t>Pickup Return, wajib bawa form BA Return. Bilang ke Apotek “mau tarik barang”. Jika tidak ada barang, tulis keterangan “tidak ada barang retur” di form BA TMP-INV-2024/12/06/ 1187207 NECIBLOK Dankos SUSPENSI DUS, BOTOL 100 ML Tarik Barang Retur SISTENOL Dexa Medica KAPLET 500/200 MG</t>
  </si>
  <si>
    <t>Indo Apotek Pisangan Jaya Sepatan</t>
  </si>
  <si>
    <t>Jl. Raya Mauk Perum Gardenia Kelurahan/Desa Pisangan Jaya Kecamatan Sepatan Kabupaten Tangerang,Banten,15520</t>
  </si>
  <si>
    <t>REDOXON FORTIMUN Bayer TABLET EFFERVESCENT</t>
  </si>
  <si>
    <t>AWBR-3315242809-01</t>
  </si>
  <si>
    <t>Pickup Return, wajib bawa form BA Return. Bilang ke Apotek “mau tarik barang”. Jika tidak ada barang, tulis keterangan “tidak ada barang retur” di form BA TMP-INV-2025/01/23/ 1300249 FITKOM MULTIVITAMIN (RASA STRAWBERRY) Soho TABLET BOTOL PLASTIK @ 21 TABLET HISAP Tarik Barang Retur REDOXON FORTIMUN Bayer TABLET EFFERVESCENT</t>
  </si>
  <si>
    <t>AWBR-3315246727</t>
  </si>
  <si>
    <t>26060404023244cRc0aFlZ</t>
  </si>
  <si>
    <t>Klinik Pratama Citama Cipayung Bojong Pondok Terong Cipayung</t>
  </si>
  <si>
    <t>Jl. Raya Cipayung No. 27,RT.001 RW.007,Desa/Kelurahan Bojong Pondok Terong,Kecamatan Cipayung,Kota Depok,Jawa Barat,16436</t>
  </si>
  <si>
    <t>NYSTATIN Bernofarm DROPS</t>
  </si>
  <si>
    <t>AWBR-3315246727-01</t>
  </si>
  <si>
    <t>Pickup Return, wajib bawa form BA Return. Bilang ke Apotek “mau tarik barang”. Jika tidak ada barang, tulis keterangan “tidak ada barang retur” di form BA TMP-INV-2026/06/01/ 2804868 / TMP-INV-2026/06/02/ 2809176 
ASTHIN FORCE 12 Soho KAPSUL DUS, 2 STRIP @ 10 KAPSUL
ASTHIN FORCE 6 Soho KAPSUL DUS, 2 STRIP @ 10 KAPSUL
CAL-95 Lapi KAPLET DUS, 5 STRIP @ 6 KAPLET SALUT SELAPUT
L-VIT D3 5000 Lapi TABLET DUS, 3 BLISTER @ 10 TABLET SALUT SELAPUT
HUFAGRIPP DEMAM Hufa KAPLET 500 MG DUS, 10 AMPLOP @ 1 STRIP @ 10 KAPLET
NASONEX Organon SEMPROT HIDUNG 50 MCG/DOSIS DUS, 1 BOTOL PLASTIK @ 60 DOSIS
 Tarik Barang Retur NYSTATIN Bernofarm DROPS</t>
  </si>
  <si>
    <t>AWBR-3315248114</t>
  </si>
  <si>
    <t>26060314341056kZtZA4e4Q</t>
  </si>
  <si>
    <t>BISOLVON Aventis SOLUTION
1x NYSTATIN Bernofarm DROPS
2x MADU TJ ORIGINAL Ultrasakti
4x BISOLVON EXTRA Aventis SIRUP
1x LERZIN Ifars DROPS
3x ERLAMYCETIN Erela SALEP MATA
5x APIALYS Lapi SIRUP</t>
  </si>
  <si>
    <t>AWBR-3315248114-01</t>
  </si>
  <si>
    <t>Pickup Return, wajib bawa form BA Return. Bilang ke Apotek “mau tarik barang”. Jika tidak ada barang, tulis keterangan “tidak ada barang retur” di form BA TMP-INV-2026/05/27/ 2789359 ACCU-CHECK GUIDE TEST STRIPS Roche DUS, BOTOL @ 50 Strips Tarik Barang Retur BISOLVON Aventis SOLUTION
1x NYSTATIN Bernofarm DROPS
2x MADU TJ ORIGINAL Ultrasakti
4x BISOLVON EXTRA Aventis SIRUP
1x LERZIN Ifars DROPS
3x ERLAMYCETIN Erela SALEP MATA
5x APIALYS Lapi SIRUP</t>
  </si>
  <si>
    <t>AWBR-3315919847</t>
  </si>
  <si>
    <t>260605040708150eu4Nk5e2v</t>
  </si>
  <si>
    <t>ALLETROL COMPOSITUM Erela SALEP MATA
3x ID124658-1</t>
  </si>
  <si>
    <t>AWBR-3315919847-01</t>
  </si>
  <si>
    <t>Pickup Return, wajib bawa form BA Return. Bilang ke Apotek “mau tarik barang”. Jika tidak ada barang, tulis keterangan “tidak ada barang retur” di form BA TMP-INV-2026/06/03/ 2813569 SUTRA Condom (MERAH) DUS, 24 CONDOM Tarik Barang Retur ALLETROL COMPOSITUM Erela SALEP MATA
3x ID124658-1</t>
  </si>
  <si>
    <t>AWBR-3317147583</t>
  </si>
  <si>
    <t>TMP-INV-2026/04/09/ 2618796</t>
  </si>
  <si>
    <t>Apotek Dunia Berkat</t>
  </si>
  <si>
    <t>Jl Kedoya Raya Pertokoan Cosmos Blok B No 26 RT 06 RW 07 Kel. Kedoya Utara Kec. Kebon Jeruk Jakarta Barat</t>
  </si>
  <si>
    <t>Invoice: TMP-INV-2026/04/09/ 2618796
6x HANSAPLAST SALEP LUKA Beiersdorf Tarik Barang Retur</t>
  </si>
  <si>
    <t>AWBR-3317147583-01</t>
  </si>
  <si>
    <t>Pickup Return, wajib bawa form BA Return. Bilang ke Apotek “mau tarik barang”. Jika tidak ada barang, tulis keterangan “tidak ada barang retur” di form BA Invoice: TMP-INV-2026/04/09/ 2618796
6x HANSAPLAST SALEP LUKA Beiersdorf Tarik Barang Retur</t>
  </si>
  <si>
    <t>AWBR-3317766260</t>
  </si>
  <si>
    <t>TMP-INV-2026/06/08/ 2832173</t>
  </si>
  <si>
    <t>Apotek Adinda</t>
  </si>
  <si>
    <t>Jalan Mayor Oking B/3A Pasar Proyek, Kelurahan Margahayu, Kecamatan Bekasi Timur 17113</t>
  </si>
  <si>
    <t>Invoice: TMP-INV-2026/06/08/ 2832173
1x CATAFLAM D Novartis TABLET DISPERSIBLE Tarik Barang Retur</t>
  </si>
  <si>
    <t>AWBR-3317766260-01</t>
  </si>
  <si>
    <t>Pickup Return, wajib bawa form BA Return. Bilang ke Apotek “mau tarik barang”. Jika tidak ada barang, tulis keterangan “tidak ada barang retur” di form BA Invoice: TMP-INV-2026/06/08/ 2832173
1x CATAFLAM D Novartis TABLET DISPERSIBLE Tarik Barang Retur</t>
  </si>
  <si>
    <t>AWBR-3317744859</t>
  </si>
  <si>
    <t>TMP-INV-2026/06/06/ 2824913</t>
  </si>
  <si>
    <t>Invoice: TMP-INV-2026/06/06/ 2824913
2x ENERVON GOLD Darya-Varia KAPSUL Tarik Barang Retur</t>
  </si>
  <si>
    <t>AWBR-3317744859-01</t>
  </si>
  <si>
    <t>Pickup Return, wajib bawa form BA Return. Bilang ke Apotek “mau tarik barang”. Jika tidak ada barang, tulis keterangan “tidak ada barang retur” di form BA Invoice: TMP-INV-2026/06/06/ 2824913
2x ENERVON GOLD Darya-Varia KAPSUL Tarik Barang Retur</t>
  </si>
  <si>
    <t>AWBR-3317344094</t>
  </si>
  <si>
    <t>TMP-INV-2026/06/09/ 2834789</t>
  </si>
  <si>
    <t>Apotek Smapy Farma</t>
  </si>
  <si>
    <t>Ruko Taman Cemara U5 No. 2 Harapan Indah, Kelurahan Pusaka Rakyat, Kecamatan Tarumajaya, Kabupaten Bekasi, Jawa Barat 17132</t>
  </si>
  <si>
    <t>Invoice: TMP-INV-2026/06/09/ 2834789
2x CATAFLAM Novartis TABLET 25 MG Tarik Barang Retur</t>
  </si>
  <si>
    <t>AWBR-3317344094-01</t>
  </si>
  <si>
    <t>Pickup Return, wajib bawa form BA Return. Bilang ke Apotek “mau tarik barang”. Jika tidak ada barang, tulis keterangan “tidak ada barang retur” di form BA Invoice: TMP-INV-2026/06/09/ 2834789
2x CATAFLAM Novartis TABLET 25 MG Tarik Barang Retur</t>
  </si>
  <si>
    <t>AWBR-3317160575</t>
  </si>
  <si>
    <t>TMP-INV-2026/05/15/ 2749386</t>
  </si>
  <si>
    <t>Apotek Alvin Farma</t>
  </si>
  <si>
    <t>Jalan Boulevard Raya Blok LB1 No. 20, Kelurahan Kelapa Gading Barat Kecamatan Kelapa Gading, Jakarta Utara, DKI Jakarta 14240</t>
  </si>
  <si>
    <t>Invoice: TMP-INV-2026/05/15/ 2749386
1x KENSHIN Midix KAPLET Tarik Barang Retur</t>
  </si>
  <si>
    <t>AWBR-3317160575-01</t>
  </si>
  <si>
    <t>Pickup Return, wajib bawa form BA Return. Bilang ke Apotek “mau tarik barang”. Jika tidak ada barang, tulis keterangan “tidak ada barang retur” di form BA Invoice: TMP-INV-2026/05/15/ 2749386
1x KENSHIN Midix KAPLET Tarik Barang Retur</t>
  </si>
  <si>
    <t>AWBR-3317749424</t>
  </si>
  <si>
    <t>TMP-INV-2026/04/18/ 2652515</t>
  </si>
  <si>
    <t>Apotek 3 Plus Care</t>
  </si>
  <si>
    <t>Green Lake City Rukan Crown Blok I No. 19 Kelurahan Petir, Kecamatan Cipondoh, Kota Tangerang 15147</t>
  </si>
  <si>
    <t>Invoice: TMP-INV-2026/04/18/ 2652515
1x POLIDENT DENTURE ADHESIVE FRESH MINT GSK KRIM Tarik Barang Retur</t>
  </si>
  <si>
    <t>AWBR-3317749424-01</t>
  </si>
  <si>
    <t>Pickup Return, wajib bawa form BA Return. Bilang ke Apotek “mau tarik barang”. Jika tidak ada barang, tulis keterangan “tidak ada barang retur” di form BA Invoice: TMP-INV-2026/04/18/ 2652515
1x POLIDENT DENTURE ADHESIVE FRESH MINT GSK KRIM Tarik Barang Retur</t>
  </si>
  <si>
    <t>AWBR-3317078230</t>
  </si>
  <si>
    <t>TMP-INV-2026/06/05/ 2820333</t>
  </si>
  <si>
    <t>Invoice: TMP-INV-2026/06/05/ 2820333
1x MINYAK ANGIN CAP KAPAK Yahi Utama
1x MINYAK ANGIN CAP KAPAK Yahi Utama Tarik Barang Retur</t>
  </si>
  <si>
    <t>AWBR-3317078230-01</t>
  </si>
  <si>
    <t>Pickup Return, wajib bawa form BA Return. Bilang ke Apotek “mau tarik barang”. Jika tidak ada barang, tulis keterangan “tidak ada barang retur” di form BA Invoice: TMP-INV-2026/06/05/ 2820333
1x MINYAK ANGIN CAP KAPAK Yahi Utama
1x MINYAK ANGIN CAP KAPAK Yahi Utama Tarik Barang Retur</t>
  </si>
  <si>
    <t>AWBR-3317757856</t>
  </si>
  <si>
    <t>TMP-INV-2026/06/09/ 2834894</t>
  </si>
  <si>
    <t>Apotek Junia</t>
  </si>
  <si>
    <t>Jalan Pertanian Raya No.8 B RT.004 RW.004 Kelurahan Cipayung Jaya, Kecamatan Cipayung, Kota Depok 16437</t>
  </si>
  <si>
    <t>Invoice: TMP-INV-2026/06/09/ 2834894
2x NEW DIATABS Medifarma TABLET 600 MG
2x SANMOL FORTE Sanbe SIRUP 250 MG/5 ML
1x EPEXOL Sanbe SIRUP 15 MG/5 ML
0x PECTORIN Itrasal SIRUP Tarik Barang Retur</t>
  </si>
  <si>
    <t>AWBR-3317757856-01</t>
  </si>
  <si>
    <t>Pickup Return, wajib bawa form BA Return. Bilang ke Apotek “mau tarik barang”. Jika tidak ada barang, tulis keterangan “tidak ada barang retur” di form BA Invoice: TMP-INV-2026/06/09/ 2834894
2x NEW DIATABS Medifarma TABLET 600 MG
2x SANMOL FORTE Sanbe SIRUP 250 MG/5 ML
1x EPEXOL Sanbe SIRUP 15 MG/5 ML
0x PECTORIN Itrasal SIRUP Tarik Barang Retur</t>
  </si>
  <si>
    <t>AWBR-3317124676</t>
  </si>
  <si>
    <t>TMP-INV-2026/05/01/ 2697058</t>
  </si>
  <si>
    <t>Apotek Fit</t>
  </si>
  <si>
    <t>Jalan Arteri Juraganan No. 34 RT. 004 RW. 008 Kelurahan Grogol Utara, Kecamatan Kebayoran Lama, Kota Jakarta Selatan 12210</t>
  </si>
  <si>
    <t>Invoice: TMP-INV-2026/05/01/ 2697058
1x ONEMED ISOPORE SURGICAL TAPE Jayamas Medica Tarik Barang Retur</t>
  </si>
  <si>
    <t>AWBR-3317124676-01</t>
  </si>
  <si>
    <t>Pickup Return, wajib bawa form BA Return. Bilang ke Apotek “mau tarik barang”. Jika tidak ada barang, tulis keterangan “tidak ada barang retur” di form BA Invoice: TMP-INV-2026/05/01/ 2697058
1x ONEMED ISOPORE SURGICAL TAPE Jayamas Medica Tarik Barang Retur</t>
  </si>
  <si>
    <t>AWBR-3317149915</t>
  </si>
  <si>
    <t>TMP-INV-2025/03/04/ 1400163, TMP-INV-2025/04/03/ 1469912</t>
  </si>
  <si>
    <t>Apotek Nugraha Farma</t>
  </si>
  <si>
    <t>Jalan Tambun Rengas RT 12 RW 01 No 73A Kelurahan Cakung Timur Kecamatan Cakung Kota Administrasi Jakarta Timur Jakarta 13910</t>
  </si>
  <si>
    <t>Invoice: TMP-INV-2025/03/04/ 1400163
1x PROME Interbat SIRUP
----------------------------------------
Invoice: TMP-INV-2025/04/03/ 1469912
1x FLUIMUCIL Erela SIRUP KERING Tarik Barang Retur</t>
  </si>
  <si>
    <t>AWBR-3317149915-01</t>
  </si>
  <si>
    <t>Pickup Return, wajib bawa form BA Return. Bilang ke Apotek “mau tarik barang”. Jika tidak ada barang, tulis keterangan “tidak ada barang retur” di form BA Invoice: TMP-INV-2025/03/04/ 1400163
1x PROME Interbat SIRUP
----------------------------------------
Invoice: TMP-INV-2025/04/03/ 1469912
1x FLUIMUCIL Erela SIRUP KERING Tarik Barang Retur</t>
  </si>
  <si>
    <t>AWBR-3317160980</t>
  </si>
  <si>
    <t>TMP-INV-2026/06/08/ 2830849</t>
  </si>
  <si>
    <t>Invoice: TMP-INV-2026/06/08/ 2830849
36x VITAMIN C IPI Supra Ferbindo TABLET
12x VITAMIN A IPI Supra Ferbindo TABLET Tarik Barang Retur</t>
  </si>
  <si>
    <t>AWBR-3317160980-01</t>
  </si>
  <si>
    <t>Pickup Return, wajib bawa form BA Return. Bilang ke Apotek “mau tarik barang”. Jika tidak ada barang, tulis keterangan “tidak ada barang retur” di form BA Invoice: TMP-INV-2026/06/08/ 2830849
36x VITAMIN C IPI Supra Ferbindo TABLET
12x VITAMIN A IPI Supra Ferbindo TABLET Tarik Barang Retur</t>
  </si>
  <si>
    <t>AWBR-3317165998</t>
  </si>
  <si>
    <t>TMP-INV-2026/05/24/ 2779609, TMP-INV-2026/05/23/ 2778142</t>
  </si>
  <si>
    <t>Apotek Harrison Kota Wisata</t>
  </si>
  <si>
    <t>Ruko Commparak Blok F No.8 Kota Wisata Desa Limusnunggal Kecamatan Cileungsi Kabupaten Bogor Jawa Barat 16820</t>
  </si>
  <si>
    <t>Invoice: TMP-INV-2026/05/24/ 2779609
1x PULMICORT RESPULES AstraZeneca CAIRAN INHALASI 0.25 MG/ML
----------------------------------------
Invoice: TMP-INV-2026/05/23/ 2778142
1x COMBIVENT UDV Tunggal Idaman CAIRAN INHALASI Tarik Barang Retur</t>
  </si>
  <si>
    <t>AWBR-3317165998-01</t>
  </si>
  <si>
    <t>Pickup Return, wajib bawa form BA Return. Bilang ke Apotek “mau tarik barang”. Jika tidak ada barang, tulis keterangan “tidak ada barang retur” di form BA Invoice: TMP-INV-2026/05/24/ 2779609
1x PULMICORT RESPULES AstraZeneca CAIRAN INHALASI 0.25 MG/ML
----------------------------------------
Invoice: TMP-INV-2026/05/23/ 2778142
1x COMBIVENT UDV Tunggal Idaman CAIRAN INHALASI Tarik Barang Retur</t>
  </si>
  <si>
    <t>AWBR-3317767507</t>
  </si>
  <si>
    <t>TMP-INV-2025/06/07/ 1639267</t>
  </si>
  <si>
    <t>Apotek Virgo Farma</t>
  </si>
  <si>
    <t>Villa Mutiara Gading 3 Blok F1 No.10-11 Desa Kebalen Kecamatan  Babelan Kabupaten Bekasi 17610</t>
  </si>
  <si>
    <t>Invoice: TMP-INV-2025/06/07/ 1639267
2x NOROID DERMA RASH Soho KRIM Tarik Barang Retur</t>
  </si>
  <si>
    <t>AWBR-3317767507-01</t>
  </si>
  <si>
    <t>Pickup Return, wajib bawa form BA Return. Bilang ke Apotek “mau tarik barang”. Jika tidak ada barang, tulis keterangan “tidak ada barang retur” di form BA Invoice: TMP-INV-2025/06/07/ 1639267
2x NOROID DERMA RASH Soho KRIM Tarik Barang Retur</t>
  </si>
  <si>
    <t>AWBR-3317772974</t>
  </si>
  <si>
    <t>TMP-INV-2026/05/20/ 2766795</t>
  </si>
  <si>
    <t>Apotek Sumber Cahaya</t>
  </si>
  <si>
    <t>Jalan Budi Mulia No.3 RT 007 RW 008 Kelurahan Pademangan Barat Kecamatan Pademangan Jakarta Utara 14420</t>
  </si>
  <si>
    <t>Invoice: TMP-INV-2026/05/20/ 2766795
7x PI KANG SHUANG Sano Gratia KRIM
1x SALONPAS Hisamitsu
1x VAPORIN Novell KAPSUL Tarik Barang Retur</t>
  </si>
  <si>
    <t>AWBR-3317772974-01</t>
  </si>
  <si>
    <t>Pickup Return, wajib bawa form BA Return. Bilang ke Apotek “mau tarik barang”. Jika tidak ada barang, tulis keterangan “tidak ada barang retur” di form BA Invoice: TMP-INV-2026/05/20/ 2766795
7x PI KANG SHUANG Sano Gratia KRIM
1x SALONPAS Hisamitsu
1x VAPORIN Novell KAPSUL Tarik Barang Retur</t>
  </si>
  <si>
    <t>AWBR-3317804764</t>
  </si>
  <si>
    <t>TMP-INV-2026/06/07/ 2827935</t>
  </si>
  <si>
    <t>Apotek Bintang 1102</t>
  </si>
  <si>
    <t>Kampung Bungaok Kelurahan Caringin Kecamatan Legok Kabupaten Tangerang 15820</t>
  </si>
  <si>
    <t>Invoice: TMP-INV-2026/06/07/ 2827935
2x WOODS PEPPERMINT ANTITUSSIVE Kalbe SIRUP
1x HUFAGRIPP BP BATUK KERING DAN PILEK ANAK Gratia SIRUP
2x SILADEX ANTITUSSIVE Konimex SIRUP Tarik Barang Retur</t>
  </si>
  <si>
    <t>AWBR-3317804764-01</t>
  </si>
  <si>
    <t>Pickup Return, wajib bawa form BA Return. Bilang ke Apotek “mau tarik barang”. Jika tidak ada barang, tulis keterangan “tidak ada barang retur” di form BA Invoice: TMP-INV-2026/06/07/ 2827935
2x WOODS PEPPERMINT ANTITUSSIVE Kalbe SIRUP
1x HUFAGRIPP BP BATUK KERING DAN PILEK ANAK Gratia SIRUP
2x SILADEX ANTITUSSIVE Konimex SIRUP Tarik Barang Retur</t>
  </si>
  <si>
    <t>AWBR-3317782641</t>
  </si>
  <si>
    <t>TMP-INV-2025/11/08/ 2107023</t>
  </si>
  <si>
    <t>Invoice: TMP-INV-2025/11/08/ 2107023
Complete Return Tarik Barang Retur</t>
  </si>
  <si>
    <t>AWBR-3317782641-01</t>
  </si>
  <si>
    <t>Pickup Return, wajib bawa form BA Return. Bilang ke Apotek “mau tarik barang”. Jika tidak ada barang, tulis keterangan “tidak ada barang retur” di form BA Invoice: TMP-INV-2025/11/08/ 2107023
Complete Return Tarik Barang Retur</t>
  </si>
  <si>
    <t>AWBR-3317775094</t>
  </si>
  <si>
    <t>TMP-INV-2026/03/16/ 2539522</t>
  </si>
  <si>
    <t>Invoice: TMP-INV-2026/03/16/ 2539522
Complete Return Tarik Barang Retur</t>
  </si>
  <si>
    <t>AWBR-3317775094-01</t>
  </si>
  <si>
    <t>Pickup Return, wajib bawa form BA Return. Bilang ke Apotek “mau tarik barang”. Jika tidak ada barang, tulis keterangan “tidak ada barang retur” di form BA Invoice: TMP-INV-2026/03/16/ 2539522
Complete Return Tarik Barang Retur</t>
  </si>
  <si>
    <t>AWBR-3317785007</t>
  </si>
  <si>
    <t>TMP-INV-2025/07/27/ 1776037, TMP-INV-2025/11/14/ 2127380</t>
  </si>
  <si>
    <t>Apotek Cordelia</t>
  </si>
  <si>
    <t>Jalan Terminal Pondok Cabe (KH. Salem) No. 58 Kelurahan Pondok Cabe Udik Kecamatan Pamulang Kota Tangerang Selatan 15418</t>
  </si>
  <si>
    <t>Invoice: TMP-INV-2025/07/27/ 1776037
1x ALLORIS Sanbe SIRUP 5 MG
----------------------------------------
Invoice: TMP-INV-2025/11/14/ 2127380
2x BLACKMORES BIO C 1000 Kalbe TABLET Tarik Barang Retur</t>
  </si>
  <si>
    <t>AWBR-3317785007-01</t>
  </si>
  <si>
    <t>Pickup Return, wajib bawa form BA Return. Bilang ke Apotek “mau tarik barang”. Jika tidak ada barang, tulis keterangan “tidak ada barang retur” di form BA Invoice: TMP-INV-2025/07/27/ 1776037
1x ALLORIS Sanbe SIRUP 5 MG
----------------------------------------
Invoice: TMP-INV-2025/11/14/ 2127380
2x BLACKMORES BIO C 1000 Kalbe TABLET Tarik Barang Retur</t>
  </si>
  <si>
    <t>AWBR-3317766882</t>
  </si>
  <si>
    <t>TMP-INV-2026/06/09/ 2832573</t>
  </si>
  <si>
    <t>Apotek Friendly Farma Inactive</t>
  </si>
  <si>
    <t>Jalan Ancol Selatan No.14 A RT 10 RW 01 Kelurahan Sunter Agung Kecamatan Tanjung Priok Jakarta Utara 14350</t>
  </si>
  <si>
    <t>Invoice: TMP-INV-2026/06/09/ 2832573
Complete Return Tarik Barang Retur</t>
  </si>
  <si>
    <t>AWBR-3317766882-01</t>
  </si>
  <si>
    <t>Pickup Return, wajib bawa form BA Return. Bilang ke Apotek “mau tarik barang”. Jika tidak ada barang, tulis keterangan “tidak ada barang retur” di form BA Invoice: TMP-INV-2026/06/09/ 2832573
Complete Return Tarik Barang Retur</t>
  </si>
  <si>
    <t>AWBR-3317808116</t>
  </si>
  <si>
    <t>TMP-INV-2026/04/08/ 2614528</t>
  </si>
  <si>
    <t>Apotek Anugrah 1476</t>
  </si>
  <si>
    <t>Jalan Ir. H. Juanda No.71 Kelurahan Pisangan Kecamatan Timur Kota Tangerang Selatan 15419</t>
  </si>
  <si>
    <t>Invoice: TMP-INV-2026/04/08/ 2614528
1x TAKELIN 500 Mersi TABLET (EXTRA DISC) Tarik Barang Retur</t>
  </si>
  <si>
    <t>AWBR-3317808116-01</t>
  </si>
  <si>
    <t>Pickup Return, wajib bawa form BA Return. Bilang ke Apotek “mau tarik barang”. Jika tidak ada barang, tulis keterangan “tidak ada barang retur” di form BA Invoice: TMP-INV-2026/04/08/ 2614528
1x TAKELIN 500 Mersi TABLET (EXTRA DISC) Tarik Barang Retur</t>
  </si>
  <si>
    <t>AWBR-3317789123</t>
  </si>
  <si>
    <t>TMP-INV-2026/04/27/ 2681235</t>
  </si>
  <si>
    <t>Klinik Utama OMDC Dental Clinic</t>
  </si>
  <si>
    <t>Jalan Warung Buncit Raya No. 6 RT 04 RW 05 Kelurahan Kalibata Kecamatan Pancoran Jakarta Selatan 12740</t>
  </si>
  <si>
    <t>Invoice: TMP-INV-2026/04/27/ 2681235
1x STERIMAR NOSE HYGIENE BABY Hyphens Tarik Barang Retur</t>
  </si>
  <si>
    <t>AWBR-3317789123-01</t>
  </si>
  <si>
    <t>Pickup Return, wajib bawa form BA Return. Bilang ke Apotek “mau tarik barang”. Jika tidak ada barang, tulis keterangan “tidak ada barang retur” di form BA Invoice: TMP-INV-2026/04/27/ 2681235
1x STERIMAR NOSE HYGIENE BABY Hyphens Tarik Barang Retur</t>
  </si>
  <si>
    <t>AWBR-3317779172</t>
  </si>
  <si>
    <t>TMP-INV-2025/05/03/ 1548048, TMP-INV-2024/07/06/ 872476, TMP-INV-2024/07/16/ 890080, TMP-INV-2025/03/09/ 1411847</t>
  </si>
  <si>
    <t>Apotek Khalifa Farma</t>
  </si>
  <si>
    <t>Jalan Papanggo 1 No.17B RT 011 RW 01 Kelurahan Papanggo Kecamatan Tanjung Priok Jakarta Utara 14340</t>
  </si>
  <si>
    <t>Invoice: TMP-INV-2025/05/03/ 1548048
1x CALNIC PLUS Gracia SUSPENSI
----------------------------------------
Invoice: TMP-INV-2024/07/06/ 872476
1x SAFE CARE MINYAK ANGIN STRONG CITRUS dan PATCHOULI OIL
----------------------------------------
Invoice: TMP-INV-2024/07/16/ 890080
1x ACTIFED GSK SIRUP
----------------------------------------
Invoice: TMP-INV-2025/03/09/ 1411847
1x FITKOM MULTIVITAMIN (RASA STRAWBERRY) Soho TABLET Tarik Barang Retur</t>
  </si>
  <si>
    <t>AWBR-3317779172-01</t>
  </si>
  <si>
    <t>Pickup Return, wajib bawa form BA Return. Bilang ke Apotek “mau tarik barang”. Jika tidak ada barang, tulis keterangan “tidak ada barang retur” di form BA Invoice: TMP-INV-2025/05/03/ 1548048
1x CALNIC PLUS Gracia SUSPENSI
----------------------------------------
Invoice: TMP-INV-2024/07/06/ 872476
1x SAFE CARE MINYAK ANGIN STRONG CITRUS dan PATCHOULI OIL
----------------------------------------
Invoice: TMP-INV-2024/07/16/ 890080
1x ACTIFED GSK SIRUP
----------------------------------------
Invoice: TMP-INV-2025/03/09/ 1411847
1x FITKOM MULTIVITAMIN (RASA STRAWBERRY) Soho TABLET Tarik Barang Retur</t>
  </si>
  <si>
    <t>AWBR-3317795810</t>
  </si>
  <si>
    <t>TMP-INV-2026/05/07/ 2720539, TMP-INV-2026/05/07/ 2720451, TMP-INV-2026/05/07/ 2720536</t>
  </si>
  <si>
    <t>Apotek Jaya 2048 Inactive</t>
  </si>
  <si>
    <t>Jalan Pangeran Shogiri No. 85 A RT 001 RW 008 Kelurahan Tanah Baru Kecamatan Bogor Utara Kota Bogor 16154</t>
  </si>
  <si>
    <t>Invoice: TMP-INV-2026/05/07/ 2720539
Complete Return
----------------------------------------
Invoice: TMP-INV-2026/05/07/ 2720451
Complete Return
----------------------------------------
Invoice: TMP-INV-2026/05/07/ 2720536
Complete Return Tarik Barang Retur</t>
  </si>
  <si>
    <t>AWBR-3317795810-01</t>
  </si>
  <si>
    <t>Pickup Return, wajib bawa form BA Return. Bilang ke Apotek “mau tarik barang”. Jika tidak ada barang, tulis keterangan “tidak ada barang retur” di form BA Invoice: TMP-INV-2026/05/07/ 2720539
Complete Return
----------------------------------------
Invoice: TMP-INV-2026/05/07/ 2720451
Complete Return
----------------------------------------
Invoice: TMP-INV-2026/05/07/ 2720536
Complete Return Tarik Barang Retur</t>
  </si>
  <si>
    <t>AWBR-3317798387</t>
  </si>
  <si>
    <t>TMP-INV-2026/05/24/ 2780202, TMP-INV-2026/06/02/ 2806024</t>
  </si>
  <si>
    <t>Invoice: TMP-INV-2026/05/24/ 2780202
1x VITACIMIN SWEETLETS RASA SWEET ORANGE Takeda TABLET
----------------------------------------
Invoice: TMP-INV-2026/06/02/ 2806024
1x SUMAGESIC Medifarma TABLET 600 MG Tarik Barang Retur</t>
  </si>
  <si>
    <t>AWBR-3317798387-01</t>
  </si>
  <si>
    <t>Pickup Return, wajib bawa form BA Return. Bilang ke Apotek “mau tarik barang”. Jika tidak ada barang, tulis keterangan “tidak ada barang retur” di form BA Invoice: TMP-INV-2026/05/24/ 2780202
1x VITACIMIN SWEETLETS RASA SWEET ORANGE Takeda TABLET
----------------------------------------
Invoice: TMP-INV-2026/06/02/ 2806024
1x SUMAGESIC Medifarma TABLET 600 MG Tarik Barang Retur</t>
  </si>
  <si>
    <t>AWBR-3317830716</t>
  </si>
  <si>
    <t>TMP-INV-2026/06/09/ 2835940</t>
  </si>
  <si>
    <t>Apotek Suta</t>
  </si>
  <si>
    <t>Jalan Hartono Raya Blok R No. 48 Moderland, Kelurahan Kelapa Indah Kec. Tangerang Kota Tangerang 15117</t>
  </si>
  <si>
    <t>Invoice: TMP-INV-2026/06/09/ 2835940
1x TROVENSIS Sanbe TABLET 4 MG Tarik Barang Retur</t>
  </si>
  <si>
    <t>AWBR-3317830716-01</t>
  </si>
  <si>
    <t>Pickup Return, wajib bawa form BA Return. Bilang ke Apotek “mau tarik barang”. Jika tidak ada barang, tulis keterangan “tidak ada barang retur” di form BA Invoice: TMP-INV-2026/06/09/ 2835940
1x TROVENSIS Sanbe TABLET 4 MG Tarik Barang Retur</t>
  </si>
  <si>
    <t>AWBR-3317793843</t>
  </si>
  <si>
    <t>TMP-INV-2026/05/02/ 2698637</t>
  </si>
  <si>
    <t>Klinik Pratama Dharma Bakti Bungur</t>
  </si>
  <si>
    <t>Jalan Bungur Besar Raya No.2B RT 001 RW 001 Kelurahan Kemayoran Kecamatan Kemayoran  Jakarta Pusat 10620</t>
  </si>
  <si>
    <t>Invoice: TMP-INV-2026/05/02/ 2698637
3x TRINORDIOL-28 Sunthi TABLET Tarik Barang Retur</t>
  </si>
  <si>
    <t>AWBR-3317793843-01</t>
  </si>
  <si>
    <t>Pickup Return, wajib bawa form BA Return. Bilang ke Apotek “mau tarik barang”. Jika tidak ada barang, tulis keterangan “tidak ada barang retur” di form BA Invoice: TMP-INV-2026/05/02/ 2698637
3x TRINORDIOL-28 Sunthi TABLET Tarik Barang Retur</t>
  </si>
  <si>
    <t>AWBR-3317126185</t>
  </si>
  <si>
    <t>TMP-INV-2026/05/26/ 2786686</t>
  </si>
  <si>
    <t>Apotek Husada Farma</t>
  </si>
  <si>
    <t>Jalan Sultan Hasanudin No.72 Desa Setiadarma Kecamatan Tambun Selatan Kabupaten Bekasi 17510</t>
  </si>
  <si>
    <t>Invoice: TMP-INV-2026/05/26/ 2786686
1x LOTASBAT Interbat KRIM Tarik Barang Retur</t>
  </si>
  <si>
    <t>AWBR-3317126185-01</t>
  </si>
  <si>
    <t>Pickup Return, wajib bawa form BA Return. Bilang ke Apotek “mau tarik barang”. Jika tidak ada barang, tulis keterangan “tidak ada barang retur” di form BA Invoice: TMP-INV-2026/05/26/ 2786686
1x LOTASBAT Interbat KRIM Tarik Barang Retur</t>
  </si>
  <si>
    <t>AWBR-3317114719</t>
  </si>
  <si>
    <t>TMP-INV-2026/06/07/ 2828061</t>
  </si>
  <si>
    <t>Apotek Amanah Keluarga</t>
  </si>
  <si>
    <t>Kp. Pasar Lama RT. 02 / RW. 06 Desa Bojonggede Kecamatan Bojonggede Kabupaten Bogor 16922</t>
  </si>
  <si>
    <t>Invoice: TMP-INV-2026/06/07/ 2828061
1x KINGVIT Lapi KAPLET Tarik Barang Retur</t>
  </si>
  <si>
    <t>AWBR-3317114719-01</t>
  </si>
  <si>
    <t>Pickup Return, wajib bawa form BA Return. Bilang ke Apotek “mau tarik barang”. Jika tidak ada barang, tulis keterangan “tidak ada barang retur” di form BA Invoice: TMP-INV-2026/06/07/ 2828061
1x KINGVIT Lapi KAPLET Tarik Barang Retur</t>
  </si>
  <si>
    <t>AWBR-3317835841</t>
  </si>
  <si>
    <t>TMP-INV-2026/05/09/ 2726116</t>
  </si>
  <si>
    <t>Apotek Rizky 3707</t>
  </si>
  <si>
    <t>Kampung Bulengleng RT 01 RW 10 Desa Sukasari Kecamatan Cilaku Kabupaten Cianjur 43285</t>
  </si>
  <si>
    <t>Invoice: TMP-INV-2026/05/09/ 2726116
1x ACTIFED PLUS EXPECTORANT Sterling SIRUP Tarik Barang Retur</t>
  </si>
  <si>
    <t>AWBR-3317835841-01</t>
  </si>
  <si>
    <t>Pickup Return, wajib bawa form BA Return. Bilang ke Apotek “mau tarik barang”. Jika tidak ada barang, tulis keterangan “tidak ada barang retur” di form BA Invoice: TMP-INV-2026/05/09/ 2726116
1x ACTIFED PLUS EXPECTORANT Sterling SIRUP Tarik Barang Retur</t>
  </si>
  <si>
    <t>AWBR-3317163798</t>
  </si>
  <si>
    <t>TMP-INV-2026/04/01/ 2590657</t>
  </si>
  <si>
    <t>Apotek Mekar Baru Farma</t>
  </si>
  <si>
    <t>JL.KH Suhaemi RT007/RW001 Desa Mekar Baru, Kec.Mekar Baru, Kab.Tangerang Banten 15551</t>
  </si>
  <si>
    <t>Invoice: TMP-INV-2026/04/01/ 2590657
Complete Return Tarik Barang Retur</t>
  </si>
  <si>
    <t>AWBR-3317163798-01</t>
  </si>
  <si>
    <t>Pickup Return, wajib bawa form BA Return. Bilang ke Apotek “mau tarik barang”. Jika tidak ada barang, tulis keterangan “tidak ada barang retur” di form BA Invoice: TMP-INV-2026/04/01/ 2590657
Complete Return Tarik Barang Retur</t>
  </si>
  <si>
    <t>AWBR-3317735043</t>
  </si>
  <si>
    <t>TMP-INV-2026/06/09/ 2836121</t>
  </si>
  <si>
    <t>Apotek Kita Farma 3842</t>
  </si>
  <si>
    <t>Jl. Perjuangan No.15A, Karyamulya, Kec. Kesambi, Kota Cirebon, Jawa Barat 45131</t>
  </si>
  <si>
    <t>Invoice: TMP-INV-2026/06/09/ 2836121
1x DULCOLAX Boehringer TABLET 5 MG Tarik Barang Retur</t>
  </si>
  <si>
    <t>AWBR-3317735043-01</t>
  </si>
  <si>
    <t>Pickup Return, wajib bawa form BA Return. Bilang ke Apotek “mau tarik barang”. Jika tidak ada barang, tulis keterangan “tidak ada barang retur” di form BA Invoice: TMP-INV-2026/06/09/ 2836121
1x DULCOLAX Boehringer TABLET 5 MG Tarik Barang Retur</t>
  </si>
  <si>
    <t>AWBR-3317784109</t>
  </si>
  <si>
    <t>TMP-INV-2026/04/15/ 2641680</t>
  </si>
  <si>
    <t>Jalan Cilangkap Kp. Cilangkap RT 006 RW 012 Kelurahan Cilangkap Kecamatan Tapos Kota Depok  16411</t>
  </si>
  <si>
    <t>Invoice: TMP-INV-2026/04/15/ 2641680
Complete Return Tarik Barang Retur</t>
  </si>
  <si>
    <t>AWBR-3317784109-01</t>
  </si>
  <si>
    <t>Pickup Return, wajib bawa form BA Return. Bilang ke Apotek “mau tarik barang”. Jika tidak ada barang, tulis keterangan “tidak ada barang retur” di form BA Invoice: TMP-INV-2026/04/15/ 2641680
Complete Return Tarik Barang Retur</t>
  </si>
  <si>
    <t>AWBR-3317771308</t>
  </si>
  <si>
    <t>TMP-INV-2026/06/03/ 2810285</t>
  </si>
  <si>
    <t>Apotek Farmapedia</t>
  </si>
  <si>
    <t>Ruko Palem Ganda Asri Jalan Raya Cinere No. 11 RT. 001 RW. 007 Kelurahan Meruyung Kecamatan Limo Kota Depok 16515</t>
  </si>
  <si>
    <t>Invoice: TMP-INV-2026/06/03/ 2810285
2x CANDESARTAN CILEXETIL Dexa Medica TABLET 16 MG Tarik Barang Retur</t>
  </si>
  <si>
    <t>AWBR-3317771308-01</t>
  </si>
  <si>
    <t>Pickup Return, wajib bawa form BA Return. Bilang ke Apotek “mau tarik barang”. Jika tidak ada barang, tulis keterangan “tidak ada barang retur” di form BA Invoice: TMP-INV-2026/06/03/ 2810285
2x CANDESARTAN CILEXETIL Dexa Medica TABLET 16 MG Tarik Barang Retur</t>
  </si>
  <si>
    <t>AWBR-3317130053</t>
  </si>
  <si>
    <t>TMP-INV-2025/07/05/ 1714751</t>
  </si>
  <si>
    <t>Apotek AM Farma</t>
  </si>
  <si>
    <t>Jalan Kusuma Barat Raya No.2A RT 006 RW 016 Wisma Jaya Kelurahan Duren Jaya Kecamatan Bekasi Timur Kota Bekasi 17111</t>
  </si>
  <si>
    <t>Invoice: TMP-INV-2025/07/05/ 1714751
2x DUPHALAC Abbott SIRUP 3.335 G Tarik Barang Retur</t>
  </si>
  <si>
    <t>AWBR-3317130053-01</t>
  </si>
  <si>
    <t>Pickup Return, wajib bawa form BA Return. Bilang ke Apotek “mau tarik barang”. Jika tidak ada barang, tulis keterangan “tidak ada barang retur” di form BA Invoice: TMP-INV-2025/07/05/ 1714751
2x DUPHALAC Abbott SIRUP 3.335 G Tarik Barang Retur</t>
  </si>
  <si>
    <t>AWBR-3317107250</t>
  </si>
  <si>
    <t>TMP-INV-2026/06/08/ 2830752, TMP-INV-2026/06/08/ 2829975</t>
  </si>
  <si>
    <t>Apotek Cahaya Berkah Inactive</t>
  </si>
  <si>
    <t>Jalan Menjangan Raya No 27 RT 006/015 Kelurahan Pondok Ranji Kecamatan Ciputat Timur Tangerang Selatan 15412</t>
  </si>
  <si>
    <t>Invoice: TMP-INV-2026/06/08/ 2830752
2x PROPYLTHIOURACIL Dexa Medica TABLET 100 MG
----------------------------------------
Invoice: TMP-INV-2026/06/08/ 2829975
3x MINYAK SEREH CAP DRAGON Dpf
3x MINYAK SEREH CAP DRAGON Dpf
3x MINYAK SEREH CAP DRAGON Dpf Tarik Barang Retur</t>
  </si>
  <si>
    <t>AWBR-3317107250-01</t>
  </si>
  <si>
    <t>Pickup Return, wajib bawa form BA Return. Bilang ke Apotek “mau tarik barang”. Jika tidak ada barang, tulis keterangan “tidak ada barang retur” di form BA Invoice: TMP-INV-2026/06/08/ 2830752
2x PROPYLTHIOURACIL Dexa Medica TABLET 100 MG
----------------------------------------
Invoice: TMP-INV-2026/06/08/ 2829975
3x MINYAK SEREH CAP DRAGON Dpf
3x MINYAK SEREH CAP DRAGON Dpf
3x MINYAK SEREH CAP DRAGON Dpf Tarik Barang Retur</t>
  </si>
  <si>
    <t>AWBR-3317155711</t>
  </si>
  <si>
    <t>TMP-INV-2026/06/08/ 2831137</t>
  </si>
  <si>
    <t>Klinik Pratama Yaska Medika Inactive</t>
  </si>
  <si>
    <t>Jl. Sukapura No.22 RT.02 RW.05, Kel. Sukapura, Kec. Kiaracondong, Kota Bandung 40281</t>
  </si>
  <si>
    <t>Invoice: TMP-INV-2026/06/08/ 2831137
1x MECOBALAMIN Novell KAPSUL 250 MCG Tarik Barang Retur</t>
  </si>
  <si>
    <t>AWBR-3317155711-01</t>
  </si>
  <si>
    <t>Pickup Return, wajib bawa form BA Return. Bilang ke Apotek “mau tarik barang”. Jika tidak ada barang, tulis keterangan “tidak ada barang retur” di form BA Invoice: TMP-INV-2026/06/08/ 2831137
1x MECOBALAMIN Novell KAPSUL 250 MCG Tarik Barang Retur</t>
  </si>
  <si>
    <t>AWBR-3317104918</t>
  </si>
  <si>
    <t>TMP-INV-2025/03/15/ 1427974</t>
  </si>
  <si>
    <t>Apotek Komplit Jaya</t>
  </si>
  <si>
    <t>Jalan Pangkalan Asem Raya No. 29, RT 02/ RW 05, Desa/Kel. Kampung Rawa Kec. Johar Baru, Jakarta Pusat 10550</t>
  </si>
  <si>
    <t>Invoice: TMP-INV-2025/03/15/ 1427974
2x CURVIT CL EMULSION Soho EMULSI Tarik Barang Retur</t>
  </si>
  <si>
    <t>AWBR-3317104918-01</t>
  </si>
  <si>
    <t>Pickup Return, wajib bawa form BA Return. Bilang ke Apotek “mau tarik barang”. Jika tidak ada barang, tulis keterangan “tidak ada barang retur” di form BA Invoice: TMP-INV-2025/03/15/ 1427974
2x CURVIT CL EMULSION Soho EMULSI Tarik Barang Retur</t>
  </si>
  <si>
    <t>AWBR-3317828397</t>
  </si>
  <si>
    <t>TMP-INV-2026/04/07/ 2609730</t>
  </si>
  <si>
    <t>Apotek Galaxy Farma</t>
  </si>
  <si>
    <t>Jl. Galaksi Raya Blok A No.8-9 CD, RT.010/RW.006, Jakasampurna, Kec. Bekasi Barat, Kota Bks, Jawa Barat 17145</t>
  </si>
  <si>
    <t>Invoice: TMP-INV-2026/04/07/ 2609730
Complete Return Tarik Barang Retur</t>
  </si>
  <si>
    <t>AWBR-3317828397-01</t>
  </si>
  <si>
    <t>Pickup Return, wajib bawa form BA Return. Bilang ke Apotek “mau tarik barang”. Jika tidak ada barang, tulis keterangan “tidak ada barang retur” di form BA Invoice: TMP-INV-2026/04/07/ 2609730
Complete Return Tarik Barang Retur</t>
  </si>
  <si>
    <t>AWBR-3317759231</t>
  </si>
  <si>
    <t>TMP-INV-2026/06/09/ 2835791</t>
  </si>
  <si>
    <t>Apotek Tama Farma 5583</t>
  </si>
  <si>
    <t>Griya Bukit Jaya Jalan Yudhistira Raya Blok B1 No 21, Desa/Kelurahan Tlajung Udik, Kecamatan Gunung Putri, Kabupaten Bogor, Provinsi Jawa Barat 16912</t>
  </si>
  <si>
    <t>Invoice: TMP-INV-2026/06/09/ 2835791
1x CEFIXIME Dexa Medica KAPSUL 100 MG Tarik Barang Retur</t>
  </si>
  <si>
    <t>AWBR-3317759231-01</t>
  </si>
  <si>
    <t>Pickup Return, wajib bawa form BA Return. Bilang ke Apotek “mau tarik barang”. Jika tidak ada barang, tulis keterangan “tidak ada barang retur” di form BA Invoice: TMP-INV-2026/06/09/ 2835791
1x CEFIXIME Dexa Medica KAPSUL 100 MG Tarik Barang Retur</t>
  </si>
  <si>
    <t>AWBR-3317080396</t>
  </si>
  <si>
    <t>TMP-INV-2026/06/08/ 2828461</t>
  </si>
  <si>
    <t>Apotek Rai Affiyah</t>
  </si>
  <si>
    <t>Kp. Ciburial Timur No. 393 RT. 01 RW.06,Desa Soreang Kec. Soreang, Kab. Bandung 40911</t>
  </si>
  <si>
    <t>Invoice: TMP-INV-2026/06/08/ 2828461
1x CATAFLAM D Novartis TABLET DISPERSIBLE Tarik Barang Retur</t>
  </si>
  <si>
    <t>AWBR-3317080396-01</t>
  </si>
  <si>
    <t>Pickup Return, wajib bawa form BA Return. Bilang ke Apotek “mau tarik barang”. Jika tidak ada barang, tulis keterangan “tidak ada barang retur” di form BA Invoice: TMP-INV-2026/06/08/ 2828461
1x CATAFLAM D Novartis TABLET DISPERSIBLE Tarik Barang Retur</t>
  </si>
  <si>
    <t>AWBR-3317248838</t>
  </si>
  <si>
    <t>TMP-INV-2026/06/08/ 2831151</t>
  </si>
  <si>
    <t>Apotek Kita Farma 5975 Inactive</t>
  </si>
  <si>
    <t>Jl. Nuansa A4 Ruko Kawistara RT.06 RW.04, Kel. Cipamokolan, Kec. Rancasari, Kota Bandung 40292</t>
  </si>
  <si>
    <t>Invoice: TMP-INV-2026/06/08/ 2831151
1x LYCOXY Dexa Medica KAPLET (ED DEKAT - EXTRA DISC) Tarik Barang Retur</t>
  </si>
  <si>
    <t>AWBR-3317248838-01</t>
  </si>
  <si>
    <t>Pickup Return, wajib bawa form BA Return. Bilang ke Apotek “mau tarik barang”. Jika tidak ada barang, tulis keterangan “tidak ada barang retur” di form BA Invoice: TMP-INV-2026/06/08/ 2831151
1x LYCOXY Dexa Medica KAPLET (ED DEKAT - EXTRA DISC) Tarik Barang Retur</t>
  </si>
  <si>
    <t>AWBR-3317795860</t>
  </si>
  <si>
    <t>TMP-INV-2026/05/26/ 2787423</t>
  </si>
  <si>
    <t>Apotek Petratean</t>
  </si>
  <si>
    <t>Jl. Petratean No.37, Kel. Pekalipan, Kec. Pekalipan, Kota Cirebon 45117</t>
  </si>
  <si>
    <t>Invoice: TMP-INV-2026/05/26/ 2787423
2x HOLISTICARE ESTER C 1000 Indocare TABLET Tarik Barang Retur</t>
  </si>
  <si>
    <t>AWBR-3317795860-01</t>
  </si>
  <si>
    <t>Pickup Return, wajib bawa form BA Return. Bilang ke Apotek “mau tarik barang”. Jika tidak ada barang, tulis keterangan “tidak ada barang retur” di form BA Invoice: TMP-INV-2026/05/26/ 2787423
2x HOLISTICARE ESTER C 1000 Indocare TABLET Tarik Barang Retur</t>
  </si>
  <si>
    <t>AWBR-3317743979</t>
  </si>
  <si>
    <t>TMP-INV-2026/06/09/ 2834067</t>
  </si>
  <si>
    <t>Apotek Atabik Inactive</t>
  </si>
  <si>
    <t>Jl. Nyi Mas Gandasari Blok IV, Desa Panguragan Kulon, Kec. Pagurangan, Kab. Cirebon 45163</t>
  </si>
  <si>
    <t>Invoice: TMP-INV-2026/06/09/ 2834067
8x BETADINE ANTISEPTIC SOLUTION Mbf CAIRAN OBAT LUAR 10 % Tarik Barang Retur</t>
  </si>
  <si>
    <t>AWBR-3317743979-01</t>
  </si>
  <si>
    <t>Pickup Return, wajib bawa form BA Return. Bilang ke Apotek “mau tarik barang”. Jika tidak ada barang, tulis keterangan “tidak ada barang retur” di form BA Invoice: TMP-INV-2026/06/09/ 2834067
8x BETADINE ANTISEPTIC SOLUTION Mbf CAIRAN OBAT LUAR 10 % Tarik Barang Retur</t>
  </si>
  <si>
    <t>AWBR-3317746051</t>
  </si>
  <si>
    <t>TMP-INV-2026/04/29/ 2691271</t>
  </si>
  <si>
    <t>Apotek Jala Medika Farma</t>
  </si>
  <si>
    <t>Jl. Kol. Masturi KM.3 No.97 RT.01 RW.11, Kel. Cipageran, Kec. Cimahi Utara, Kota Cimahi, 40511</t>
  </si>
  <si>
    <t>Invoice: TMP-INV-2026/04/29/ 2691271
Complete Return Tarik Barang Retur</t>
  </si>
  <si>
    <t>AWBR-3317746051-01</t>
  </si>
  <si>
    <t>Pickup Return, wajib bawa form BA Return. Bilang ke Apotek “mau tarik barang”. Jika tidak ada barang, tulis keterangan “tidak ada barang retur” di form BA Invoice: TMP-INV-2026/04/29/ 2691271
Complete Return Tarik Barang Retur</t>
  </si>
  <si>
    <t>AWBR-3317814715</t>
  </si>
  <si>
    <t>TMP-INV-2026/06/09/ 2836162</t>
  </si>
  <si>
    <t>Apotek Zhumar Farma</t>
  </si>
  <si>
    <t>Jl. H. Mawi RT. 02 RW. 02 Desa Waru Kec. Parung Kab. Bogor 16330</t>
  </si>
  <si>
    <t>Invoice: TMP-INV-2026/06/09/ 2836162
2x BORRAGINOL-S Takeda SALEP Tarik Barang Retur</t>
  </si>
  <si>
    <t>AWBR-3317814715-01</t>
  </si>
  <si>
    <t>Pickup Return, wajib bawa form BA Return. Bilang ke Apotek “mau tarik barang”. Jika tidak ada barang, tulis keterangan “tidak ada barang retur” di form BA Invoice: TMP-INV-2026/06/09/ 2836162
2x BORRAGINOL-S Takeda SALEP Tarik Barang Retur</t>
  </si>
  <si>
    <t>AWBR-3317079235</t>
  </si>
  <si>
    <t>TMP-INV-2026/06/08/ 2829763</t>
  </si>
  <si>
    <t>Apotek Al-Fattah 2</t>
  </si>
  <si>
    <t>Jl. Cingised No.8 RT 06 RW 03, Desa/Kelurahan Cisaranten Endah, Kec. Arcamanik, Kota Bandung, Provinsi Jawa Barat, Kode Pos: 40293</t>
  </si>
  <si>
    <t>Invoice: TMP-INV-2026/06/08/ 2829763
1x CATAFLAM D Novartis TABLET DISPERSIBLE Tarik Barang Retur</t>
  </si>
  <si>
    <t>AWBR-3317079235-01</t>
  </si>
  <si>
    <t>Pickup Return, wajib bawa form BA Return. Bilang ke Apotek “mau tarik barang”. Jika tidak ada barang, tulis keterangan “tidak ada barang retur” di form BA Invoice: TMP-INV-2026/06/08/ 2829763
1x CATAFLAM D Novartis TABLET DISPERSIBLE Tarik Barang Retur</t>
  </si>
  <si>
    <t>AWBR-3317780305</t>
  </si>
  <si>
    <t>TMP-INV-2026/04/13/ 2630652</t>
  </si>
  <si>
    <t>Jl. Buwek Raya No. 94 RT 003/RW 022 Desa Sumberjaya,  Kec. Tambun Selatan, Kabupaten Bekasi</t>
  </si>
  <si>
    <t>Invoice: TMP-INV-2026/04/13/ 2630652
1x BLACKMORES PREGNANCY and BREAST-FEEDING GOLD Kalbe Tarik Barang Retur</t>
  </si>
  <si>
    <t>AWBR-3317780305-01</t>
  </si>
  <si>
    <t>Pickup Return, wajib bawa form BA Return. Bilang ke Apotek “mau tarik barang”. Jika tidak ada barang, tulis keterangan “tidak ada barang retur” di form BA Invoice: TMP-INV-2026/04/13/ 2630652
1x BLACKMORES PREGNANCY and BREAST-FEEDING GOLD Kalbe Tarik Barang Retur</t>
  </si>
  <si>
    <t>AWBR-3317158906</t>
  </si>
  <si>
    <t>TMP-INV-2026/02/10/ 2418047</t>
  </si>
  <si>
    <t>Apotek Dua Putri</t>
  </si>
  <si>
    <t>Jalan WR. Supratman no. 36 RT 01 RW10 Kel. Rengas Kec. Ciputat Timur Kota Tangerang Selatan 15412</t>
  </si>
  <si>
    <t>Invoice: TMP-INV-2026/02/10/ 2418047
1x MALTOFER Combiphar DROPS Tarik Barang Retur</t>
  </si>
  <si>
    <t>AWBR-3317158906-01</t>
  </si>
  <si>
    <t>Pickup Return, wajib bawa form BA Return. Bilang ke Apotek “mau tarik barang”. Jika tidak ada barang, tulis keterangan “tidak ada barang retur” di form BA Invoice: TMP-INV-2026/02/10/ 2418047
1x MALTOFER Combiphar DROPS Tarik Barang Retur</t>
  </si>
  <si>
    <t>AWBR-3317137779</t>
  </si>
  <si>
    <t>TMP-INV-2025/08/25/ 1865801</t>
  </si>
  <si>
    <t>Apotek Berkah Sehat 7484 Inactive</t>
  </si>
  <si>
    <t>Ruko Serpong Garden 2 Desa Suradita , Kec. Cisauk, Kab. Tangerang  15343</t>
  </si>
  <si>
    <t>Invoice: TMP-INV-2025/08/25/ 1865801
2x CAVIT-D3 Merck TABLET Tarik Barang Retur</t>
  </si>
  <si>
    <t>AWBR-3317137779-01</t>
  </si>
  <si>
    <t>Pickup Return, wajib bawa form BA Return. Bilang ke Apotek “mau tarik barang”. Jika tidak ada barang, tulis keterangan “tidak ada barang retur” di form BA Invoice: TMP-INV-2025/08/25/ 1865801
2x CAVIT-D3 Merck TABLET Tarik Barang Retur</t>
  </si>
  <si>
    <t>AWBR-3317078747</t>
  </si>
  <si>
    <t>TMP-INV-2026/06/08/ 2829474</t>
  </si>
  <si>
    <t>Apotek Waras Dua</t>
  </si>
  <si>
    <t>Ruko Gramapuri Blok L2 No. 16B Jl. KH. Asmawi Desa Sukajaya Kec. Cibitung Kab. Bekasi 17520</t>
  </si>
  <si>
    <t>Invoice: TMP-INV-2026/06/08/ 2829474
1x CATAFLAM D Novartis TABLET DISPERSIBLE Tarik Barang Retur</t>
  </si>
  <si>
    <t>AWBR-3317078747-01</t>
  </si>
  <si>
    <t>Pickup Return, wajib bawa form BA Return. Bilang ke Apotek “mau tarik barang”. Jika tidak ada barang, tulis keterangan “tidak ada barang retur” di form BA Invoice: TMP-INV-2026/06/08/ 2829474
1x CATAFLAM D Novartis TABLET DISPERSIBLE Tarik Barang Retur</t>
  </si>
  <si>
    <t>AWBR-3317811656</t>
  </si>
  <si>
    <t>TMP-INV-2026/06/09/ 2833824</t>
  </si>
  <si>
    <t>Apotek Sentra Budi Suratman Farma Sentra BS Farma</t>
  </si>
  <si>
    <t>Perumahan Sentra Tajur Halang Blok Ruko No. 40 Desa Tajur Halang Kec. Tajur Halang Kab. Bogor 16320</t>
  </si>
  <si>
    <t>Invoice: TMP-INV-2026/06/09/ 2833824
45x OBH Surya Itrasal SIRUP Tarik Barang Retur</t>
  </si>
  <si>
    <t>AWBR-3317811656-01</t>
  </si>
  <si>
    <t>Pickup Return, wajib bawa form BA Return. Bilang ke Apotek “mau tarik barang”. Jika tidak ada barang, tulis keterangan “tidak ada barang retur” di form BA Invoice: TMP-INV-2026/06/09/ 2833824
45x OBH Surya Itrasal SIRUP Tarik Barang Retur</t>
  </si>
  <si>
    <t>AWBR-3317124792</t>
  </si>
  <si>
    <t>TMP-INV-2025/02/27/ 1385076</t>
  </si>
  <si>
    <t>Apotek Pinus Babakan Penghulu Cinambo</t>
  </si>
  <si>
    <t>Jl. Pinus Raya Ruko No. 8 RT 01 RW 01 Pinus Regensi, Desa/Kel. Babakan Penghulu, Kec. Cinambo, Kota Bandung 40294</t>
  </si>
  <si>
    <t>Invoice: TMP-INV-2025/02/27/ 1385076
1x ASTRIA Pertiwi Agung KAPSUL 4 MG Tarik Barang Retur</t>
  </si>
  <si>
    <t>AWBR-3317124792-01</t>
  </si>
  <si>
    <t>Pickup Return, wajib bawa form BA Return. Bilang ke Apotek “mau tarik barang”. Jika tidak ada barang, tulis keterangan “tidak ada barang retur” di form BA Invoice: TMP-INV-2025/02/27/ 1385076
1x ASTRIA Pertiwi Agung KAPSUL 4 MG Tarik Barang Retur</t>
  </si>
  <si>
    <t>AWBR-3317127334</t>
  </si>
  <si>
    <t>TMP-INV-2026/05/27/ 2789811</t>
  </si>
  <si>
    <t>Apotek Kanya Farma Jaka Setia Bekasi Sel</t>
  </si>
  <si>
    <t>Jl. Pengairan Raya No.30 RT 06 RW 02, Kel. Jakasetia, Kec. Bekasi Selatan, Kota Bekasi 17147</t>
  </si>
  <si>
    <t>Invoice: TMP-INV-2026/05/27/ 2789811
1x SGM EKSPLOR GAIN OPTIGROW Sarihusada Tarik Barang Retur</t>
  </si>
  <si>
    <t>AWBR-3317127334-01</t>
  </si>
  <si>
    <t>Pickup Return, wajib bawa form BA Return. Bilang ke Apotek “mau tarik barang”. Jika tidak ada barang, tulis keterangan “tidak ada barang retur” di form BA Invoice: TMP-INV-2026/05/27/ 2789811
1x SGM EKSPLOR GAIN OPTIGROW Sarihusada Tarik Barang Retur</t>
  </si>
  <si>
    <t>AWBR-3317115094</t>
  </si>
  <si>
    <t>TMP-INV-2025/11/19/ 2141877</t>
  </si>
  <si>
    <t>Apotek Daffa Farma Jaka Mulya Bekasi Sel</t>
  </si>
  <si>
    <t>Jl. Cikunir Raya No.119E RT 001/002, Kel. Jakamulya,Kec. Bekasi Selatan, Kota Bekasi 17146</t>
  </si>
  <si>
    <t>Invoice: TMP-INV-2025/11/19/ 2141877
2x DIPROSONE OV Organon KRIM
1x DIPROSONE OV Organon KRIM Tarik Barang Retur</t>
  </si>
  <si>
    <t>AWBR-3317115094-01</t>
  </si>
  <si>
    <t>Pickup Return, wajib bawa form BA Return. Bilang ke Apotek “mau tarik barang”. Jika tidak ada barang, tulis keterangan “tidak ada barang retur” di form BA Invoice: TMP-INV-2025/11/19/ 2141877
2x DIPROSONE OV Organon KRIM
1x DIPROSONE OV Organon KRIM Tarik Barang Retur</t>
  </si>
  <si>
    <t>AWBR-3317125402</t>
  </si>
  <si>
    <t>TMP-INV-2024/06/04/ 815642</t>
  </si>
  <si>
    <t>Invoice: TMP-INV-2024/06/04/ 815642
Complete Return Tarik Barang Retur</t>
  </si>
  <si>
    <t>AWBR-3317125402-01</t>
  </si>
  <si>
    <t>Pickup Return, wajib bawa form BA Return. Bilang ke Apotek “mau tarik barang”. Jika tidak ada barang, tulis keterangan “tidak ada barang retur” di form BA Invoice: TMP-INV-2024/06/04/ 815642
Complete Return Tarik Barang Retur</t>
  </si>
  <si>
    <t>AWBR-3317815078</t>
  </si>
  <si>
    <t>TMP-INV-2026/05/26/ 2786489</t>
  </si>
  <si>
    <t>Apotek Medina Pantai Mekar Muara Gebong Inactive</t>
  </si>
  <si>
    <t>Kp. Biyombong RT. 001 RW. 005 Kel. Pantai Mekar Kec. Muaragebong Kab. Bekasi 17730</t>
  </si>
  <si>
    <t>Invoice: TMP-INV-2026/05/26/ 2786489
3x SGM EKSPLOR GAIN OPTIGROW Sarihusada Tarik Barang Retur</t>
  </si>
  <si>
    <t>AWBR-3317815078-01</t>
  </si>
  <si>
    <t>Pickup Return, wajib bawa form BA Return. Bilang ke Apotek “mau tarik barang”. Jika tidak ada barang, tulis keterangan “tidak ada barang retur” di form BA Invoice: TMP-INV-2026/05/26/ 2786489
3x SGM EKSPLOR GAIN OPTIGROW Sarihusada Tarik Barang Retur</t>
  </si>
  <si>
    <t>AWBR-3317750465</t>
  </si>
  <si>
    <t>TMP-INV-2026/05/04/ 2707204</t>
  </si>
  <si>
    <t>Apotek Farriz Farma Jejalenjaya Tambun Utara</t>
  </si>
  <si>
    <t>Perum Tambun 16B Kios No. 2 Jl. Raya Villa Bekasi Desa Jejalenjaya Kec. Tambun Utara Kab. Bekasi 17511</t>
  </si>
  <si>
    <t>Invoice: TMP-INV-2026/05/04/ 2707204
1x CAL-95 Lapi KAPLET Tarik Barang Retur</t>
  </si>
  <si>
    <t>AWBR-3317750465-01</t>
  </si>
  <si>
    <t>Pickup Return, wajib bawa form BA Return. Bilang ke Apotek “mau tarik barang”. Jika tidak ada barang, tulis keterangan “tidak ada barang retur” di form BA Invoice: TMP-INV-2026/05/04/ 2707204
1x CAL-95 Lapi KAPLET Tarik Barang Retur</t>
  </si>
  <si>
    <t>AWBR-3317785062</t>
  </si>
  <si>
    <t>TMP-INV-2026/05/09/ 2728625, TMP-INV-2026/05/09/ 2728203, TMP-INV-2026/05/09/ 2728533</t>
  </si>
  <si>
    <t>Apotek Citangkil Farma Kebonsari Citangkil</t>
  </si>
  <si>
    <t>Lingkungan Delingseng, Jalan KH. Agus Salim, ??Kelurahan Kebonsari, Kecamatan Citangkil, Kota Cilegon, Banten 42442</t>
  </si>
  <si>
    <t>Invoice: TMP-INV-2026/05/09/ 2728625
Complete Return
----------------------------------------
Invoice: TMP-INV-2026/05/09/ 2728203
Complete Return
----------------------------------------
Invoice: TMP-INV-2026/05/09/ 2728533
Complete Return Tarik Barang Retur</t>
  </si>
  <si>
    <t>AWBR-3317785062-01</t>
  </si>
  <si>
    <t>Pickup Return, wajib bawa form BA Return. Bilang ke Apotek “mau tarik barang”. Jika tidak ada barang, tulis keterangan “tidak ada barang retur” di form BA Invoice: TMP-INV-2026/05/09/ 2728625
Complete Return
----------------------------------------
Invoice: TMP-INV-2026/05/09/ 2728203
Complete Return
----------------------------------------
Invoice: TMP-INV-2026/05/09/ 2728533
Complete Return Tarik Barang Retur</t>
  </si>
  <si>
    <t>AWBR-3317811003</t>
  </si>
  <si>
    <t>TMP-INV-2026/05/07/ 2718835</t>
  </si>
  <si>
    <t>Apotek Nawasena Wargaluyu Arjasari</t>
  </si>
  <si>
    <t>Kios No.3 Perumahan Prima Swarga Residence Kampung Bunisakti RT 02 RW 03, Desa Wargaluyu, Kec. Arjasari, Kab. Bandung</t>
  </si>
  <si>
    <t>Invoice: TMP-INV-2026/05/07/ 2718835
1x FLIMTY Anugrah Original BLACKCURRANT Tarik Barang Retur</t>
  </si>
  <si>
    <t>AWBR-3317811003-01</t>
  </si>
  <si>
    <t>Pickup Return, wajib bawa form BA Return. Bilang ke Apotek “mau tarik barang”. Jika tidak ada barang, tulis keterangan “tidak ada barang retur” di form BA Invoice: TMP-INV-2026/05/07/ 2718835
1x FLIMTY Anugrah Original BLACKCURRANT Tarik Barang Retur</t>
  </si>
  <si>
    <t>AWBR-3317761115</t>
  </si>
  <si>
    <t>TMP-INV-2026/05/30/ 2799400</t>
  </si>
  <si>
    <t>Apotek Peduli Sukatani Sukaraya Karangbahagia Inactive</t>
  </si>
  <si>
    <t>Jl. Raya Sukatani Sukamantri, RT. 003 RW. 003 No. 73 Desa Sukaraya Kec. Karangbahagia Kab. Bekasi 17535</t>
  </si>
  <si>
    <t>Invoice: TMP-INV-2026/05/30/ 2799400
Complete Return Tarik Barang Retur</t>
  </si>
  <si>
    <t>AWBR-3317761115-01</t>
  </si>
  <si>
    <t>Pickup Return, wajib bawa form BA Return. Bilang ke Apotek “mau tarik barang”. Jika tidak ada barang, tulis keterangan “tidak ada barang retur” di form BA Invoice: TMP-INV-2026/05/30/ 2799400
Complete Return Tarik Barang Retur</t>
  </si>
  <si>
    <t>AWBR-3317079869</t>
  </si>
  <si>
    <t>TMP-INV-2026/06/08/ 2829207</t>
  </si>
  <si>
    <t>Apotek Panghegar 2 Jatihandap Mandalajati</t>
  </si>
  <si>
    <t>Jalan Jatihandap No. 68 RT. 04 RW. 08 Kelurahan Jatihandap, Kecamatan Mandalajati, Kota Bandung, Jawa Barat 40195</t>
  </si>
  <si>
    <t>Invoice: TMP-INV-2026/06/08/ 2829207
1x XENICAL Tunggal Idaman KAPSUL 120 MG Tarik Barang Retur</t>
  </si>
  <si>
    <t>AWBR-3317079869-01</t>
  </si>
  <si>
    <t>Pickup Return, wajib bawa form BA Return. Bilang ke Apotek “mau tarik barang”. Jika tidak ada barang, tulis keterangan “tidak ada barang retur” di form BA Invoice: TMP-INV-2026/06/08/ 2829207
1x XENICAL Tunggal Idaman KAPSUL 120 MG Tarik Barang Retur</t>
  </si>
  <si>
    <t>AWBR-3317731872</t>
  </si>
  <si>
    <t>TMP-INV-2026/06/08/ 2829130</t>
  </si>
  <si>
    <t>Invoice: TMP-INV-2026/06/08/ 2829130
15x ANDALAN Harsen TABLET 0.15/0.03 MG Tarik Barang Retur</t>
  </si>
  <si>
    <t>AWBR-3317731872-01</t>
  </si>
  <si>
    <t>Pickup Return, wajib bawa form BA Return. Bilang ke Apotek “mau tarik barang”. Jika tidak ada barang, tulis keterangan “tidak ada barang retur” di form BA Invoice: TMP-INV-2026/06/08/ 2829130
15x ANDALAN Harsen TABLET 0.15/0.03 MG Tarik Barang Retur</t>
  </si>
  <si>
    <t>AWBR-3317778952</t>
  </si>
  <si>
    <t>TMP-INV-2024/12/31/ 1246238</t>
  </si>
  <si>
    <t>Pasar Sentul City Blok J No.16 Desa Citanggul Kecamatan  Babakan Madang Kabupaten Bogor 16810</t>
  </si>
  <si>
    <t>Invoice: TMP-INV-2024/12/31/ 1246238
1x ETORICOXIB Interbat TABLET 90 MG Tarik Barang Retur</t>
  </si>
  <si>
    <t>AWBR-3317778952-01</t>
  </si>
  <si>
    <t>Pickup Return, wajib bawa form BA Return. Bilang ke Apotek “mau tarik barang”. Jika tidak ada barang, tulis keterangan “tidak ada barang retur” di form BA Invoice: TMP-INV-2024/12/31/ 1246238
1x ETORICOXIB Interbat TABLET 90 MG Tarik Barang Retur</t>
  </si>
  <si>
    <t>AWBR-3317123495</t>
  </si>
  <si>
    <t>TMP-INV-2024/03/27/ 700069</t>
  </si>
  <si>
    <t>Invoice: TMP-INV-2024/03/27/ 700069
1x PANADOL ANAK 1-6 Thn Gsk SIRUP 160 MG/5 ML Tarik Barang Retur</t>
  </si>
  <si>
    <t>AWBR-3317123495-01</t>
  </si>
  <si>
    <t>Pickup Return, wajib bawa form BA Return. Bilang ke Apotek “mau tarik barang”. Jika tidak ada barang, tulis keterangan “tidak ada barang retur” di form BA Invoice: TMP-INV-2024/03/27/ 700069
1x PANADOL ANAK 1-6 Thn Gsk SIRUP 160 MG/5 ML Tarik Barang Retur</t>
  </si>
  <si>
    <t>AWBR-3317131659</t>
  </si>
  <si>
    <t>TMP-INV-2025/04/23/ 1520443, TMP-INV-2025/05/04/ 1548567</t>
  </si>
  <si>
    <t>Invoice: TMP-INV-2025/04/23/ 1520443
3x ZINC SULFATE MONOHYDRATE Combiphar DROPS
----------------------------------------
Invoice: TMP-INV-2025/05/04/ 1548567
1x ASTRIA Pertiwi Agung KAPSUL 4 MG Tarik Barang Retur</t>
  </si>
  <si>
    <t>AWBR-3317131659-01</t>
  </si>
  <si>
    <t>Pickup Return, wajib bawa form BA Return. Bilang ke Apotek “mau tarik barang”. Jika tidak ada barang, tulis keterangan “tidak ada barang retur” di form BA Invoice: TMP-INV-2025/04/23/ 1520443
3x ZINC SULFATE MONOHYDRATE Combiphar DROPS
----------------------------------------
Invoice: TMP-INV-2025/05/04/ 1548567
1x ASTRIA Pertiwi Agung KAPSUL 4 MG Tarik Barang Retur</t>
  </si>
  <si>
    <t>AWBR-3317356806</t>
  </si>
  <si>
    <t>TMP-INV-2024/11/25/ 1160736</t>
  </si>
  <si>
    <t>Apotek Karunia Sehat Cipondoh Indah Cipondoh</t>
  </si>
  <si>
    <t>Perumahan Poris Indah Jalan Poris Indah Raya Blok C No.656B, Desa/Kel. Cipondoh Indah, Kec. Cipondoh, Kota Tangerang</t>
  </si>
  <si>
    <t>Invoice: TMP-INV-2024/11/25/ 1160736
1x ENERVON GOLD Darya-Varia KAPSUL Tarik Barang Retur</t>
  </si>
  <si>
    <t>AWBR-3317356806-01</t>
  </si>
  <si>
    <t>Pickup Return, wajib bawa form BA Return. Bilang ke Apotek “mau tarik barang”. Jika tidak ada barang, tulis keterangan “tidak ada barang retur” di form BA Invoice: TMP-INV-2024/11/25/ 1160736
1x ENERVON GOLD Darya-Varia KAPSUL Tarik Barang Retur</t>
  </si>
  <si>
    <t>AWBR-3317131492</t>
  </si>
  <si>
    <t>TMP-INV-2025/04/03/ 1470367</t>
  </si>
  <si>
    <t>Apotek Sinar Kasih Pekalipan Pekalipan</t>
  </si>
  <si>
    <t>Jl. Pekiringan No 107, Desa/Kelurahan Pekalipan, Kec. Pekalipan, Kota Cirebon,</t>
  </si>
  <si>
    <t>Invoice: TMP-INV-2025/04/03/ 1470367
1x ALCO Interbat DROPS Tarik Barang Retur</t>
  </si>
  <si>
    <t>AWBR-3317131492-01</t>
  </si>
  <si>
    <t>Pickup Return, wajib bawa form BA Return. Bilang ke Apotek “mau tarik barang”. Jika tidak ada barang, tulis keterangan “tidak ada barang retur” di form BA Invoice: TMP-INV-2025/04/03/ 1470367
1x ALCO Interbat DROPS Tarik Barang Retur</t>
  </si>
  <si>
    <t>AWBR-3317112458</t>
  </si>
  <si>
    <t>TMP-INV-2025/02/14/ 1354103</t>
  </si>
  <si>
    <t>Invoice: TMP-INV-2025/02/14/ 1354103
1x SR12 GOMILKU Putra Primaa RASA ORIGINAL Tarik Barang Retur</t>
  </si>
  <si>
    <t>AWBR-3317112458-01</t>
  </si>
  <si>
    <t>Pickup Return, wajib bawa form BA Return. Bilang ke Apotek “mau tarik barang”. Jika tidak ada barang, tulis keterangan “tidak ada barang retur” di form BA Invoice: TMP-INV-2025/02/14/ 1354103
1x SR12 GOMILKU Putra Primaa RASA ORIGINAL Tarik Barang Retur</t>
  </si>
  <si>
    <t>AWBR-3317153705</t>
  </si>
  <si>
    <t>TMP-INV-2025/03/10/ 1413536</t>
  </si>
  <si>
    <t>Invoice: TMP-INV-2025/03/10/ 1413536
2x CURLIV PLUS Soho SIRUP Tarik Barang Retur</t>
  </si>
  <si>
    <t>AWBR-3317153705-01</t>
  </si>
  <si>
    <t>Pickup Return, wajib bawa form BA Return. Bilang ke Apotek “mau tarik barang”. Jika tidak ada barang, tulis keterangan “tidak ada barang retur” di form BA Invoice: TMP-INV-2025/03/10/ 1413536
2x CURLIV PLUS Soho SIRUP Tarik Barang Retur</t>
  </si>
  <si>
    <t>AWBR-3317311816</t>
  </si>
  <si>
    <t>TMP-INV-2026/06/03/ 2811621</t>
  </si>
  <si>
    <t>TMP-INV-2026/06/03/ 2811621 Invoice: Apotek Mulya 2 Taraju Taraju
 10x CONTREXYN DEMAM (RASA JERUK) Supra Ferbindo DROPS Tarik Barang Retur</t>
  </si>
  <si>
    <t>AWBR-3317311816-01</t>
  </si>
  <si>
    <t>Pickup Return, wajib bawa form BA Return. Bilang ke Apotek “mau tarik barang”. Jika tidak ada barang, tulis keterangan “tidak ada barang retur” di form BA TMP-INV-2026/06/03/ 2811621 Invoice: Apotek Mulya 2 Taraju Taraju
 10x CONTREXYN DEMAM (RASA JERUK) Supra Ferbindo DROPS Tarik Barang Retur</t>
  </si>
  <si>
    <t>AWBR-12625-2026-6-11</t>
  </si>
  <si>
    <t>TMP-INV-2026/05/26/ 2787423 HOLISTICARE ESTER C 1000 Indocare TABLET DUS, BOTOL PLASTIK @ 30 TABLET SALUT SELAPUT Tarik Barang Retur</t>
  </si>
  <si>
    <t>AWBR-12625-2026-6-11-01</t>
  </si>
  <si>
    <t>Pickup Return, wajib bawa form BA Return. Bilang ke Apotek “mau tarik barang”. Jika tidak ada barang, tulis keterangan “tidak ada barang retur” di form BA TMP-INV-2026/06/02/ 2809156 / TMP-INV-2026/06/02/ 2809145 SHEN NONG SHI DIE DA YAO JING Saras subur DUS, BOTOL @ 30 ML  Tarik Barang Retur TMP-INV-2026/05/26/ 2787423 HOLISTICARE ESTER C 1000 Indocare TABLET DUS, BOTOL PLASTIK @ 30 TABLET SALUT SELAPUT Tarik Barang Retur</t>
  </si>
  <si>
    <t>AWBR-14004-2026-6-11</t>
  </si>
  <si>
    <t>TMP-INV-2026/06/09/ 2832341</t>
  </si>
  <si>
    <t>Apotek Inofarma Kalisari</t>
  </si>
  <si>
    <t>Jl. Kalisari III Nomor 69 RT 003 RW 03, Kel. Kalisari, Kec. Pasar Rebo, Jakarta Timur</t>
  </si>
  <si>
    <t>TMP-INV-2026/05/26/ 2787423 PROMINA PUFFS RASA PISANG POUCH, 15 G Tarik Barang Retur</t>
  </si>
  <si>
    <t>AWBR-14004-2026-6-11-01</t>
  </si>
  <si>
    <t>Pickup Return, wajib bawa form BA Return. Bilang ke Apotek “mau tarik barang”. Jika tidak ada barang, tulis keterangan “tidak ada barang retur” di form BA TMP-INV-2026/06/02/ 2809156 / TMP-INV-2026/06/02/ 2809145 SHEN NONG SHI DIE DA YAO JING Saras subur DUS, BOTOL @ 30 ML  Tarik Barang Retur TMP-INV-2026/05/26/ 2787423 PROMINA PUFFS RASA PISANG POUCH, 15 G Tarik Barang Retur</t>
  </si>
  <si>
    <t>AWBR-5092-2026-6-11</t>
  </si>
  <si>
    <t>TMP-INV-2024/12/31/ 1245596 / TMP-INV-2025/04/05/ 1474972</t>
  </si>
  <si>
    <t>TMP-INV-2026/06/09/ 2832341 CURCUMA PLUS EMULSION GROW RASA ORANGE Soho EMULSI DUS, BOTOL PLASTIK @ 200 ML / STERO-BAC HAND SANTIZIER Indonesia Bersih Cemerlang BOTOL @ 40 ML Tarik Barang Retur</t>
  </si>
  <si>
    <t>AWBR-5092-2026-6-11-01</t>
  </si>
  <si>
    <t>Pickup Return, wajib bawa form BA Return. Bilang ke Apotek “mau tarik barang”. Jika tidak ada barang, tulis keterangan “tidak ada barang retur” di form BA TMP-INV-2026/06/02/ 2809156 / TMP-INV-2026/06/02/ 2809145 SHEN NONG SHI DIE DA YAO JING Saras subur DUS, BOTOL @ 30 ML  Tarik Barang Retur TMP-INV-2026/06/09/ 2832341 CURCUMA PLUS EMULSION GROW RASA ORANGE Soho EMULSI DUS, BOTOL PLASTIK @ 200 ML / STERO-BAC HAND SANTIZIER Indonesia Bersih Cemerlang BOTOL @ 40 ML Tarik Barang Retur</t>
  </si>
  <si>
    <t>AWBR-13554-2026-6-11</t>
  </si>
  <si>
    <t>TMP-INV-2025/12/29/ 2274813</t>
  </si>
  <si>
    <t>Apotek Varenhel Pisangan Timur Pulo Gadung</t>
  </si>
  <si>
    <t>Jl. Gading Raya No. 10, RT.011/RW.010, Desa/Kel. Pisangan Timur, Kec. Pulogadung, Kota Jakarta Timur</t>
  </si>
  <si>
    <t>TMP-INV-2024/12/31/ 1245596 / TMP-INV-2025/04/05/ 1474972 TRINORDIOL-28 Sunthi TABLET DUS, 2 BLISTER @ 28 TABLET SALUT GULA Tarik Barang Retur</t>
  </si>
  <si>
    <t>AWBR-13554-2026-6-11-01</t>
  </si>
  <si>
    <t>Pickup Return, wajib bawa form BA Return. Bilang ke Apotek “mau tarik barang”. Jika tidak ada barang, tulis keterangan “tidak ada barang retur” di form BA TMP-INV-2026/06/02/ 2809156 / TMP-INV-2026/06/02/ 2809145 SHEN NONG SHI DIE DA YAO JING Saras subur DUS, BOTOL @ 30 ML  Tarik Barang Retur TMP-INV-2024/12/31/ 1245596 / TMP-INV-2025/04/05/ 1474972 TRINORDIOL-28 Sunthi TABLET DUS, 2 BLISTER @ 28 TABLET SALUT GULA Tarik Barang Retur</t>
  </si>
  <si>
    <t>AWBR-13458-2026-6-11</t>
  </si>
  <si>
    <t>TMP-INV-2024/12/22/ 1223560</t>
  </si>
  <si>
    <t>TMP-INV-2025/12/29/ 2274813 FRESHLIVING BEBIO TUMMY Ultra Sakti DUS, BOTOL KACA ROL ON 9 ML / FRESHLIVING BEBIO ITCHY Ultra Sakti DUS, BOTOL KACA ROL ON 9 ML Tarik Barang Retur</t>
  </si>
  <si>
    <t>AWBR-13458-2026-6-11-01</t>
  </si>
  <si>
    <t>Pickup Return, wajib bawa form BA Return. Bilang ke Apotek “mau tarik barang”. Jika tidak ada barang, tulis keterangan “tidak ada barang retur” di form BA TMP-INV-2026/06/02/ 2809156 / TMP-INV-2026/06/02/ 2809145 SHEN NONG SHI DIE DA YAO JING Saras subur DUS, BOTOL @ 30 ML  Tarik Barang Retur TMP-INV-2025/12/29/ 2274813 FRESHLIVING BEBIO TUMMY Ultra Sakti DUS, BOTOL KACA ROL ON 9 ML / FRESHLIVING BEBIO ITCHY Ultra Sakti DUS, BOTOL KACA ROL ON 9 ML Tarik Barang Retur</t>
  </si>
  <si>
    <t>AWBR-3315268353</t>
  </si>
  <si>
    <t>TMP-INV-2026/06/04/ 2816922</t>
  </si>
  <si>
    <t>Apotek Kana Sehat</t>
  </si>
  <si>
    <t>Ruko Villa Bintaro Indah Blok F2 No.5 Kelurahan Jombang Kecamatan Ciputat Kota Tangerang Selatan 15414</t>
  </si>
  <si>
    <t>Invoice: TMP-INV-2026/06/04/ 2816922
1x LASERIN Mecosin SIRUP
1x LASERIN Mecosin SIRUP Tarik Barang Retur</t>
  </si>
  <si>
    <t>AWBR-3315268353-01</t>
  </si>
  <si>
    <t>Pickup Return, wajib bawa form BA Return. Bilang ke Apotek “mau tarik barang”. Jika tidak ada barang, tulis keterangan “tidak ada barang retur” di form BA Invoice: TMP-INV-2026/06/04/ 2816922
1x LASERIN Mecosin SIRUP
1x LASERIN Mecosin SIRUP Tarik Barang Retur</t>
  </si>
  <si>
    <t>AWBR-3314539539</t>
  </si>
  <si>
    <t>TMP-INV-2025/09/18/ 1941278</t>
  </si>
  <si>
    <t>Invoice: TMP-INV-2025/09/18/ 1941278
1x NEW TAY PIN SAN CAP KUPU-KUPU Bintang Kupu-Kupu SERBUK Tarik Barang Retur</t>
  </si>
  <si>
    <t>AWBR-3314539539-01</t>
  </si>
  <si>
    <t>Pickup Return, wajib bawa form BA Return. Bilang ke Apotek “mau tarik barang”. Jika tidak ada barang, tulis keterangan “tidak ada barang retur” di form BA Invoice: TMP-INV-2025/09/18/ 1941278
1x NEW TAY PIN SAN CAP KUPU-KUPU Bintang Kupu-Kupu SERBUK Tarik Barang Retur</t>
  </si>
  <si>
    <t>AWBR-3317773032</t>
  </si>
  <si>
    <t>TMP-INV-2026/06/04/ 2817904</t>
  </si>
  <si>
    <t>Invoice: TMP-INV-2026/06/04/ 2817904
1x IMBOOST FORCE FCT+ Soho KAPLET Tarik Barang Retur</t>
  </si>
  <si>
    <t>AWBR-3317773032-01</t>
  </si>
  <si>
    <t>Pickup Return, wajib bawa form BA Return. Bilang ke Apotek “mau tarik barang”. Jika tidak ada barang, tulis keterangan “tidak ada barang retur” di form BA Invoice: TMP-INV-2026/06/04/ 2817904
1x IMBOOST FORCE FCT+ Soho KAPLET Tarik Barang Retur</t>
  </si>
  <si>
    <t>AWBR-3315243036</t>
  </si>
  <si>
    <t>TMP-INV-2025/11/05/ 2094477</t>
  </si>
  <si>
    <t>Invoice: TMP-INV-2025/11/05/ 2094477
1x REDOXON FORTIMUN Bayer TABLET EFFERVESCENT Tarik Barang Retur</t>
  </si>
  <si>
    <t>AWBR-3315243036-01</t>
  </si>
  <si>
    <t>Pickup Return, wajib bawa form BA Return. Bilang ke Apotek “mau tarik barang”. Jika tidak ada barang, tulis keterangan “tidak ada barang retur” di form BA Invoice: TMP-INV-2025/11/05/ 2094477
1x REDOXON FORTIMUN Bayer TABLET EFFERVESCENT Tarik Barang Retur</t>
  </si>
  <si>
    <t>AWBR-3315241603</t>
  </si>
  <si>
    <t>TMP-INV-2026/06/04/ 2818140</t>
  </si>
  <si>
    <t>Invoice: TMP-INV-2026/06/04/ 2818140
1x VITAMIN C+COLLAGEN VIT C 1000 MG+COLLAGEN TRIPEPTIDA 500 MG D3+ZINC DENGAN EKSTRAK STRAWBERRY LEMONADE SidoMuncul Tarik Barang Retur</t>
  </si>
  <si>
    <t>AWBR-3315241603-01</t>
  </si>
  <si>
    <t>Pickup Return, wajib bawa form BA Return. Bilang ke Apotek “mau tarik barang”. Jika tidak ada barang, tulis keterangan “tidak ada barang retur” di form BA Invoice: TMP-INV-2026/06/04/ 2818140
1x VITAMIN C+COLLAGEN VIT C 1000 MG+COLLAGEN TRIPEPTIDA 500 MG D3+ZINC DENGAN EKSTRAK STRAWBERRY LEMONADE SidoMuncul Tarik Barang Retur</t>
  </si>
  <si>
    <t>AWBR-3317812635</t>
  </si>
  <si>
    <t>TMP-INV-2026/05/22/ 2771983</t>
  </si>
  <si>
    <t>Apotek Afiat</t>
  </si>
  <si>
    <t>Jalan Raya Taman Pagelaran Blok FF 1 No. 11 Kelurahan Padasuka Kecamatan Ciomas Kabupaten Bogor 16610</t>
  </si>
  <si>
    <t>Invoice: TMP-INV-2026/05/22/ 2771983
Full Return Tarik Barang Retur</t>
  </si>
  <si>
    <t>AWBR-3317812635-01</t>
  </si>
  <si>
    <t>Pickup Return, wajib bawa form BA Return. Bilang ke Apotek “mau tarik barang”. Jika tidak ada barang, tulis keterangan “tidak ada barang retur” di form BA Invoice: TMP-INV-2026/05/22/ 2771983
Full Return Tarik Barang Retur</t>
  </si>
  <si>
    <t>AWBR-3315443262</t>
  </si>
  <si>
    <t>TMP-INV-2026/06/04/ 2817602</t>
  </si>
  <si>
    <t>Apotek Evita Gunung Sindur Gunung Sindur</t>
  </si>
  <si>
    <t>Kp. Prumpung Jl. Atma Asnawi RT. 02 RW. 03 Desa Gunung Sindur Kec. Gunung Sindur Kab. Bogor</t>
  </si>
  <si>
    <t>Invoice: TMP-INV-2026/06/04/ 2817602
2x SILADEX MUCOLYTIC and EXPECTORANT Konimex SIRUP
1x KULDON PANAS DALAM dan SARIAWAN Deltomed TABLET Tarik Barang Retur</t>
  </si>
  <si>
    <t>AWBR-3315443262-01</t>
  </si>
  <si>
    <t>Pickup Return, wajib bawa form BA Return. Bilang ke Apotek “mau tarik barang”. Jika tidak ada barang, tulis keterangan “tidak ada barang retur” di form BA Invoice: TMP-INV-2026/06/04/ 2817602
2x SILADEX MUCOLYTIC and EXPECTORANT Konimex SIRUP
1x KULDON PANAS DALAM dan SARIAWAN Deltomed TABLET Tarik Barang Retur</t>
  </si>
  <si>
    <t>AWBR-3312614498</t>
  </si>
  <si>
    <t>TMP-INV-2025/07/03/ 1707991, TMP-INV-2025/02/09/ 1340818</t>
  </si>
  <si>
    <t>Apotek Arthra Farma Mustika Jaya Mustika Jaya</t>
  </si>
  <si>
    <t>Mutiara Gading Timur Blok C-16 No. 28B, Kel. Mustika Jaya, Kec. Mustika Jaya, Kota Bekasi, 17155</t>
  </si>
  <si>
    <t>Invoice: TMP-INV-2025/07/03/ 1707991
1x WOODS PEPPERMINT ANTITUSSIVE Kalbe SIRUP
----------------------------------------
Invoice: TMP-INV-2025/02/09/ 1340818
2x CURCUMA PLUS FRUIT and VEGGIE RASA ORANGE Soho CAIRAN ORAL Tarik Barang Retur</t>
  </si>
  <si>
    <t>AWBR-3312614498-01</t>
  </si>
  <si>
    <t>Pickup Return, wajib bawa form BA Return. Bilang ke Apotek “mau tarik barang”. Jika tidak ada barang, tulis keterangan “tidak ada barang retur” di form BA Invoice: TMP-INV-2025/07/03/ 1707991
1x WOODS PEPPERMINT ANTITUSSIVE Kalbe SIRUP
----------------------------------------
Invoice: TMP-INV-2025/02/09/ 1340818
2x CURCUMA PLUS FRUIT and VEGGIE RASA ORANGE Soho CAIRAN ORAL Tarik Barang Retur</t>
  </si>
  <si>
    <t>AWBR-3315300866</t>
  </si>
  <si>
    <t>TMP-INV-2026/06/03/ 2813396</t>
  </si>
  <si>
    <t>Invoice: TMP-INV-2026/06/03/ 2813396
2x MOMETASONE FUROATE Etercon KRIM 0.1 % Tarik Barang Retur</t>
  </si>
  <si>
    <t>AWBR-3315300866-01</t>
  </si>
  <si>
    <t>Pickup Return, wajib bawa form BA Return. Bilang ke Apotek “mau tarik barang”. Jika tidak ada barang, tulis keterangan “tidak ada barang retur” di form BA Invoice: TMP-INV-2026/06/03/ 2813396
2x MOMETASONE FUROATE Etercon KRIM 0.1 % Tarik Barang Retur</t>
  </si>
  <si>
    <t>AWBR-3312490692</t>
  </si>
  <si>
    <t>TMP-INV-2026/05/30/ 2799929, TMP-INV-2026/05/30/ 2799444</t>
  </si>
  <si>
    <t>Apotek Cespleng Sehat Ciganjur Jagakarsa</t>
  </si>
  <si>
    <t>Jalan Sirsak Raya No.99 RT 02/RW 02, Desa/Kelurahan Jagakarsa, Kec. Jagakarsa, Kota Adm. Jakarta Selatan</t>
  </si>
  <si>
    <t>Invoice: TMP-INV-2026/05/30/ 2799929
2x MADU TJ JAHE MINT Ultrasakti
----------------------------------------
Invoice: TMP-INV-2026/05/30/ 2799444
2x DECOLGEN KIDS Darya-Varia SIRUP Tarik Barang Retur</t>
  </si>
  <si>
    <t>AWBR-3312490692-01</t>
  </si>
  <si>
    <t>Pickup Return, wajib bawa form BA Return. Bilang ke Apotek “mau tarik barang”. Jika tidak ada barang, tulis keterangan “tidak ada barang retur” di form BA Invoice: TMP-INV-2026/05/30/ 2799929
2x MADU TJ JAHE MINT Ultrasakti
----------------------------------------
Invoice: TMP-INV-2026/05/30/ 2799444
2x DECOLGEN KIDS Darya-Varia SIRUP Tarik Barang Retur</t>
  </si>
  <si>
    <t>AWBR-3317767963</t>
  </si>
  <si>
    <t>TMP-INV-2026/05/29/ 2795616</t>
  </si>
  <si>
    <t>Apotek Talita</t>
  </si>
  <si>
    <t>Jl. Dr.Muwardi I no 18 D Grogol</t>
  </si>
  <si>
    <t>Invoice: TMP-INV-2026/05/29/ 2795616
1x INCLOVIR Interbat KAPLET 500 MG
1x ZOVIRAX Gsk KRIM 5 % Tarik Barang Retur</t>
  </si>
  <si>
    <t>AWBR-3317767963-01</t>
  </si>
  <si>
    <t>Pickup Return, wajib bawa form BA Return. Bilang ke Apotek “mau tarik barang”. Jika tidak ada barang, tulis keterangan “tidak ada barang retur” di form BA Invoice: TMP-INV-2026/05/29/ 2795616
1x INCLOVIR Interbat KAPLET 500 MG
1x ZOVIRAX Gsk KRIM 5 % Tarik Barang Retur</t>
  </si>
  <si>
    <t>AWBR-3314545769</t>
  </si>
  <si>
    <t>TMP-INV-2024/03/17/ 681873, TMP-INV-2024/03/29/ 703170</t>
  </si>
  <si>
    <t>Invoice: TMP-INV-2024/03/17/ 681873
1x SILADEX DMP Konimex SIRUP
----------------------------------------
Invoice: TMP-INV-2024/03/29/ 703170
4x VERILE AKTIF ACNE GEL Medikon Tarik Barang Retur</t>
  </si>
  <si>
    <t>AWBR-3314545769-01</t>
  </si>
  <si>
    <t>Pickup Return, wajib bawa form BA Return. Bilang ke Apotek “mau tarik barang”. Jika tidak ada barang, tulis keterangan “tidak ada barang retur” di form BA Invoice: TMP-INV-2024/03/17/ 681873
1x SILADEX DMP Konimex SIRUP
----------------------------------------
Invoice: TMP-INV-2024/03/29/ 703170
4x VERILE AKTIF ACNE GEL Medikon Tarik Barang Retur</t>
  </si>
  <si>
    <t>AWBR-3317133516</t>
  </si>
  <si>
    <t>TMP-INV-2026/05/21/ 2770403</t>
  </si>
  <si>
    <t>Apotek Camoyo Sudimara Pinang Pinang</t>
  </si>
  <si>
    <t>Ruko Pinang Graha 2 Blok PG 5/ B-10, Jl. Boulevard Graha Raya, Desa/Kelurahan Sudimara Pinang, Kec. Pinang, Kota Tangerang</t>
  </si>
  <si>
    <t>Invoice: TMP-INV-2026/05/21/ 2770403
6x LAMBUCID Hexpharm SUSPENSI
2x TRINORDIOL-28 Sunthi TABLET
1x VITAMAM 2 Novell KAPSUL Tarik Barang Retur</t>
  </si>
  <si>
    <t>AWBR-3317133516-01</t>
  </si>
  <si>
    <t>Pickup Return, wajib bawa form BA Return. Bilang ke Apotek “mau tarik barang”. Jika tidak ada barang, tulis keterangan “tidak ada barang retur” di form BA Invoice: TMP-INV-2026/05/21/ 2770403
6x LAMBUCID Hexpharm SUSPENSI
2x TRINORDIOL-28 Sunthi TABLET
1x VITAMAM 2 Novell KAPSUL Tarik Barang Retur</t>
  </si>
  <si>
    <t>AWBR-3316417026</t>
  </si>
  <si>
    <t>TMP-INV-2025/06/20/ 1674404, TMP-INV-2025/06/20/ 1673883, TMP-INV-2025/06/25/ 1687475, TMP-INV-2025/06/22/ 1677094, TMP-INV-2025/06/21/ 1676688, TMP-INV-2025/07/08/ 1721785, TMP-INV-2025/06/25/ 1687145, TMP-INV-2025/06/25/ 1687477</t>
  </si>
  <si>
    <t>Apotek Sehat Sentosa Medika Kamal Kalideres</t>
  </si>
  <si>
    <t>Jl. Benda Raya No. 65 RT001/RW 005, Desa/Kelurahan Kamal, Kec. Kalideres, Kota Jakarta Barat</t>
  </si>
  <si>
    <t>Invoice: TMP-INV-2025/06/20/ 1674404
1x SAKATONIK ABC RASA JERUK Saka Farma
1x STIMUNO RASA JERUK BERI Dexa Medica SIRUP
----------------------------------------
Invoice: TMP-INV-2025/06/20/ 1673883
1x BLACKMORES ODOURLESS FISH OIL 1000 Kalbe KAPSUL
----------------------------------------
Invoice: TMP-INV-2025/06/25/ 1687475
2x DUS, ALUMINIUM FOIL 180 G (3 Sachet @ 60 g)
1x PUREBB TONGUE GUM WIPES ORIGINAL Etercon
1x DUS, TUBE 100 G
2x NEPHRISOL D Kalbe RASA VANILA
1x PUREBB TONGUE GUM WIPES STRAWBERRY FLAVOUR Etercon
2x SECRETCLEAN PROPOLIS ANTISEPTIC MOUTHWASH ORANGE MINT Victoria Care
----------------------------------------
Invoice: TMP-INV-2025/06/22/ 1677094
2x FRESHLIVING BEBIO ITCHY Ultra Sakti
2x CDR FORTOS Bayer TABLET EFFERVESCENT
----------------------------------------
Invoice: TMP-INV-2025/06/21/ 1676688
2x ANDALAN NUTRIFEMME FOLAMOM Hermed KAPLET
2x SAKATONIK ABC CURCUMA MADU Saka Farma TABLET
----------------------------------------
Invoice: TMP-INV-2025/07/08/ 1721785
2x ANDALAN FEMININE CARE INTIMATE WIPES FRESH Freshening
----------------------------------------
Invoice: TMP-INV-2025/06/25/ 1687145
1x NOROID DERMA RASH Soho KRIM
1x SCOTTS EMULSION VITA ORANGE Sterling EMULSI
----------------------------------------
Invoice: TMP-INV-2025/06/25/ 1687477
1x PUREBB BODY LOTION Etercon Tarik Barang Retur</t>
  </si>
  <si>
    <t>AWBR-3316417026-01</t>
  </si>
  <si>
    <t>Pickup Return, wajib bawa form BA Return. Bilang ke Apotek “mau tarik barang”. Jika tidak ada barang, tulis keterangan “tidak ada barang retur” di form BA Invoice: TMP-INV-2025/06/20/ 1674404
1x SAKATONIK ABC RASA JERUK Saka Farma
1x STIMUNO RASA JERUK BERI Dexa Medica SIRUP
----------------------------------------
Invoice: TMP-INV-2025/06/20/ 1673883
1x BLACKMORES ODOURLESS FISH OIL 1000 Kalbe KAPSUL
----------------------------------------
Invoice: TMP-INV-2025/06/25/ 1687475
2x DUS, ALUMINIUM FOIL 180 G (3 Sachet @ 60 g)
1x PUREBB TONGUE GUM WIPES ORIGINAL Etercon
1x DUS, TUBE 100 G
2x NEPHRISOL D Kalbe RASA VANILA
1x PUREBB TONGUE GUM WIPES STRAWBERRY FLAVOUR Etercon
2x SECRETCLEAN PROPOLIS ANTISEPTIC MOUTHWASH ORANGE MINT Victoria Care
----------------------------------------
Invoice: TMP-INV-2025/06/22/ 1677094
2x FRESHLIVING BEBIO ITCHY Ultra Sakti
2x CDR FORTOS Bayer TABLET EFFERVESCENT
----------------------------------------
Invoice: TMP-INV-2025/06/21/ 1676688
2x ANDALAN NUTRIFEMME FOLAMOM Hermed KAPLET
2x SAKATONIK ABC CURCUMA MADU Saka Farma TABLET
----------------------------------------
Invoice: TMP-INV-2025/07/08/ 1721785
2x ANDALAN FEMININE CARE INTIMATE WIPES FRESH Freshening
----------------------------------------
Invoice: TMP-INV-2025/06/25/ 1687145
1x NOROID DERMA RASH Soho KRIM
1x SCOTTS EMULSION VITA ORANGE Sterling EMULSI
----------------------------------------
Invoice: TMP-INV-2025/06/25/ 1687477
1x PUREBB BODY LOTION Etercon Tarik Barang Retur</t>
  </si>
  <si>
    <t>AWBR-3314556865</t>
  </si>
  <si>
    <t>TMP-INV-2026/06/03/ 2813129</t>
  </si>
  <si>
    <t>Apotek Handaya Mulia Kebon Jeruk Kebon Jeruk</t>
  </si>
  <si>
    <t>Graha Handaya Unit C lantai 1, Jalan Pejuangan, RT.001, RW.007, Desa/Kelurahan Kebon Jeruk, Kec. Kebon Jeruk, Kota Adm. Jakarta Barat</t>
  </si>
  <si>
    <t>Invoice: TMP-INV-2026/06/03/ 2813129
4x SUSU BEAR BRAND Nestle Tarik Barang Retur</t>
  </si>
  <si>
    <t>AWBR-3314556865-01</t>
  </si>
  <si>
    <t>Pickup Return, wajib bawa form BA Return. Bilang ke Apotek “mau tarik barang”. Jika tidak ada barang, tulis keterangan “tidak ada barang retur” di form BA Invoice: TMP-INV-2026/06/03/ 2813129
4x SUSU BEAR BRAND Nestle Tarik Barang Retur</t>
  </si>
  <si>
    <t>AWBR-3312601854</t>
  </si>
  <si>
    <t>TMP-INV-2026/05/29/ 2795560</t>
  </si>
  <si>
    <t>Apotek Fajar Utama</t>
  </si>
  <si>
    <t>Jalan Bangun Nusa Raya III RT 007 RW 002,Desa/Kelurahan Cengkareng Timur,Kecamatan Cengkareng Jakarta Barat,11730</t>
  </si>
  <si>
    <t>Invoice: TMP-INV-2026/05/29/ 2795560
1x MINYAK GOSOK CAP TAWON Jaya Makassar (EE) Tarik Barang Retur</t>
  </si>
  <si>
    <t>AWBR-3312601854-01</t>
  </si>
  <si>
    <t>Pickup Return, wajib bawa form BA Return. Bilang ke Apotek “mau tarik barang”. Jika tidak ada barang, tulis keterangan “tidak ada barang retur” di form BA Invoice: TMP-INV-2026/05/29/ 2795560
1x MINYAK GOSOK CAP TAWON Jaya Makassar (EE) Tarik Barang Retur</t>
  </si>
  <si>
    <t>AWBR-3314630287</t>
  </si>
  <si>
    <t>TMP-INV-2026/06/04/ 2816723</t>
  </si>
  <si>
    <t>Invoice: TMP-INV-2026/06/04/ 2816723
1x DETTOL ANTISEPTIK CAIR Tarik Barang Retur</t>
  </si>
  <si>
    <t>AWBR-3314630287-01</t>
  </si>
  <si>
    <t>Pickup Return, wajib bawa form BA Return. Bilang ke Apotek “mau tarik barang”. Jika tidak ada barang, tulis keterangan “tidak ada barang retur” di form BA Invoice: TMP-INV-2026/06/04/ 2816723
1x DETTOL ANTISEPTIK CAIR Tarik Barang Retur</t>
  </si>
  <si>
    <t>AWBR-3314618334</t>
  </si>
  <si>
    <t>TMP-INV-2026/06/04/ 2815856</t>
  </si>
  <si>
    <t>Apotek Farma DR17 Jatikramat Jati Asih</t>
  </si>
  <si>
    <t>Jl. KH. Moh Seman No.01 Kp. Cikunir RT 01/ RW 08 Kel. Jatikramat Kec. Jati Asih Kota Bekasi</t>
  </si>
  <si>
    <t>Invoice: TMP-INV-2026/06/04/ 2815856
6x ID110297-1 Tarik Barang Retur</t>
  </si>
  <si>
    <t>AWBR-3314618334-01</t>
  </si>
  <si>
    <t>Pickup Return, wajib bawa form BA Return. Bilang ke Apotek “mau tarik barang”. Jika tidak ada barang, tulis keterangan “tidak ada barang retur” di form BA Invoice: TMP-INV-2026/06/04/ 2815856
6x ID110297-1 Tarik Barang Retur</t>
  </si>
  <si>
    <t>AWBR-3317841267</t>
  </si>
  <si>
    <t>TMP-INV-2026/04/23/ 2669593, TMP-INV-2026/03/18/ 2547896, TMP-INV-2026/03/18/ 2547876, TMP-INV-2026/03/17/ 2543009, TMP-INV-2026/03/17/ 2542191</t>
  </si>
  <si>
    <t>Apotek Sesama Curug</t>
  </si>
  <si>
    <t>Perumahan Citra Raya, Ruko Taman Puspa Blok D-A/11-R Desa/Kelurahan Cikupa Kecamatan Cikupa Kabupaten Tangerang 15710</t>
  </si>
  <si>
    <t>Invoice: TMP-INV-2026/04/23/ 2669593
1x NUTRIMORE MELATONIN Prima Medika TABLET
----------------------------------------
Invoice: TMP-INV-2026/03/18/ 2547896
Full Return
----------------------------------------
Invoice: TMP-INV-2026/03/18/ 2547876
Full Return
----------------------------------------
Invoice: TMP-INV-2026/03/17/ 2543009
Full Return
----------------------------------------
Invoice: TMP-INV-2026/03/17/ 2542191
Full Return Tarik Barang Retur</t>
  </si>
  <si>
    <t>AWBR-3317841267-01</t>
  </si>
  <si>
    <t>Pickup Return, wajib bawa form BA Return. Bilang ke Apotek “mau tarik barang”. Jika tidak ada barang, tulis keterangan “tidak ada barang retur” di form BA Invoice: TMP-INV-2026/04/23/ 2669593
1x NUTRIMORE MELATONIN Prima Medika TABLET
----------------------------------------
Invoice: TMP-INV-2026/03/18/ 2547896
Full Return
----------------------------------------
Invoice: TMP-INV-2026/03/18/ 2547876
Full Return
----------------------------------------
Invoice: TMP-INV-2026/03/17/ 2543009
Full Return
----------------------------------------
Invoice: TMP-INV-2026/03/17/ 2542191
Full Return Tarik Barang Retur</t>
  </si>
  <si>
    <t>AWBR-3317806491</t>
  </si>
  <si>
    <t>TMP-INV-2026/05/24/ 2780112</t>
  </si>
  <si>
    <t>Apotek K24 Serua Makmur</t>
  </si>
  <si>
    <t>Jl. Serua Raya Ruko CAMS Corner No. 7, Kelurahan Serua, Kecamatan Ciputat, Tangerang Selatan, Banten 15414</t>
  </si>
  <si>
    <t>Invoice: TMP-INV-2026/05/24/ 2780112
3x PUREKIDS ITCHY CREAM Etercon Tarik Barang Retur</t>
  </si>
  <si>
    <t>AWBR-3317806491-01</t>
  </si>
  <si>
    <t>Pickup Return, wajib bawa form BA Return. Bilang ke Apotek “mau tarik barang”. Jika tidak ada barang, tulis keterangan “tidak ada barang retur” di form BA Invoice: TMP-INV-2026/05/24/ 2780112
3x PUREKIDS ITCHY CREAM Etercon Tarik Barang Retur</t>
  </si>
  <si>
    <t>AWBR-3317315242</t>
  </si>
  <si>
    <t>TMP-INV-2026/06/07/ 2826714</t>
  </si>
  <si>
    <t>Apotek Viola Farma Pasir Nangka Tigaraksa</t>
  </si>
  <si>
    <t>Ruko Sudirman Indah F2A No. 25 Kelurahan/Desa Pasir Nangka Kecamatan Tigaraksa Kabupaten Tangerang</t>
  </si>
  <si>
    <t>Invoice: TMP-INV-2026/06/07/ 2826714
3x PROPEPSA Gracia SUSPENSI Tarik Barang Retur</t>
  </si>
  <si>
    <t>AWBR-3317315242-01</t>
  </si>
  <si>
    <t>Pickup Return, wajib bawa form BA Return. Bilang ke Apotek “mau tarik barang”. Jika tidak ada barang, tulis keterangan “tidak ada barang retur” di form BA Invoice: TMP-INV-2026/06/07/ 2826714
3x PROPEPSA Gracia SUSPENSI Tarik Barang Retur</t>
  </si>
  <si>
    <t>AWBR-3315337862</t>
  </si>
  <si>
    <t>TMP-INV-2026/06/04/ 2815125</t>
  </si>
  <si>
    <t>Apotek Al Fatih Farma Ciakar Panongan</t>
  </si>
  <si>
    <t>Kampung Cukanggalih, RT 01/02 Kelurahan/Desa Ciakar Kecamatan Panongan Kabupaten Tangerang</t>
  </si>
  <si>
    <t>Invoice: TMP-INV-2026/06/04/ 2815125
1x FARSORBID 5 Pratapa Nirmala TABLET SUBLINGUAL Tarik Barang Retur</t>
  </si>
  <si>
    <t>AWBR-3315337862-01</t>
  </si>
  <si>
    <t>Pickup Return, wajib bawa form BA Return. Bilang ke Apotek “mau tarik barang”. Jika tidak ada barang, tulis keterangan “tidak ada barang retur” di form BA Invoice: TMP-INV-2026/06/04/ 2815125
1x FARSORBID 5 Pratapa Nirmala TABLET SUBLINGUAL Tarik Barang Retur</t>
  </si>
  <si>
    <t>AWBR-3315219797</t>
  </si>
  <si>
    <t>TMP-INV-2026/03/28/ 2575188, TMP-INV-2026/03/29/ 2578029</t>
  </si>
  <si>
    <t>Invoice: TMP-INV-2026/03/28/ 2575188
1x BIOLYSIN ACTIVE RASA JERUK Bernofarm TABLET
1x SNAKE BRAND PRICKLY HEAT POWDER LAVENDER Mitra Bersama
----------------------------------------
Invoice: TMP-INV-2026/03/29/ 2578029
1x PEPTISOL Sanghiang Perkasa FRENCH VANILLA Tarik Barang Retur</t>
  </si>
  <si>
    <t>AWBR-3315219797-01</t>
  </si>
  <si>
    <t>Pickup Return, wajib bawa form BA Return. Bilang ke Apotek “mau tarik barang”. Jika tidak ada barang, tulis keterangan “tidak ada barang retur” di form BA Invoice: TMP-INV-2026/03/28/ 2575188
1x BIOLYSIN ACTIVE RASA JERUK Bernofarm TABLET
1x SNAKE BRAND PRICKLY HEAT POWDER LAVENDER Mitra Bersama
----------------------------------------
Invoice: TMP-INV-2026/03/29/ 2578029
1x PEPTISOL Sanghiang Perkasa FRENCH VANILLA Tarik Barang Retur</t>
  </si>
  <si>
    <t>AWBR-3317746738</t>
  </si>
  <si>
    <t>TMP-INV-2026/05/16/ 2752974</t>
  </si>
  <si>
    <t>Apotek Sinar Mawar Farma Jatimulya Cilodong</t>
  </si>
  <si>
    <t>Jl. Raya Kampung Sawah No. 33 Kel. Jatimulya Kec. Cilodong Kota Depok</t>
  </si>
  <si>
    <t>Invoice: TMP-INV-2026/05/16/ 2752974
5x RHINOFED Dexa Medica SIRUP Tarik Barang Retur</t>
  </si>
  <si>
    <t>AWBR-3317746738-01</t>
  </si>
  <si>
    <t>Pickup Return, wajib bawa form BA Return. Bilang ke Apotek “mau tarik barang”. Jika tidak ada barang, tulis keterangan “tidak ada barang retur” di form BA Invoice: TMP-INV-2026/05/16/ 2752974
5x RHINOFED Dexa Medica SIRUP Tarik Barang Retur</t>
  </si>
  <si>
    <t>AWBR-3314678323</t>
  </si>
  <si>
    <t>TMP-INV-2026/06/04/ 2818194</t>
  </si>
  <si>
    <t>Apotek Nola Farma Lubang Buaya Cipayung</t>
  </si>
  <si>
    <t>Jl. Monumen Pancasila Sakti RT 003 RW 006, Desa/Kelurahan LubangBuaya, Kec. Cipayung, Kota Adm. Jakarta Timur</t>
  </si>
  <si>
    <t>Invoice: TMP-INV-2026/06/04/ 2818194
1x MINOSEP RED Minorock OBAT KUMUR Tarik Barang Retur</t>
  </si>
  <si>
    <t>AWBR-3314678323-01</t>
  </si>
  <si>
    <t>Pickup Return, wajib bawa form BA Return. Bilang ke Apotek “mau tarik barang”. Jika tidak ada barang, tulis keterangan “tidak ada barang retur” di form BA Invoice: TMP-INV-2026/06/04/ 2818194
1x MINOSEP RED Minorock OBAT KUMUR Tarik Barang Retur</t>
  </si>
  <si>
    <t>AWBR-3317080943</t>
  </si>
  <si>
    <t>TMP-INV-2026/06/08/ 2831343</t>
  </si>
  <si>
    <t>Apotek Sinar Mutiara</t>
  </si>
  <si>
    <t>Jalan Pemuda No. 28 Pasar Prumpung RT. 01 RW. 03 Desa Gunung Sindur Kec. Gunung Sindur Kab. Bogor 16340</t>
  </si>
  <si>
    <t>Invoice: TMP-INV-2026/06/08/ 2831343
2x IMBOOST KIDS Soho SIRUP Tarik Barang Retur</t>
  </si>
  <si>
    <t>AWBR-3317080943-01</t>
  </si>
  <si>
    <t>Pickup Return, wajib bawa form BA Return. Bilang ke Apotek “mau tarik barang”. Jika tidak ada barang, tulis keterangan “tidak ada barang retur” di form BA Invoice: TMP-INV-2026/06/08/ 2831343
2x IMBOOST KIDS Soho SIRUP Tarik Barang Retur</t>
  </si>
  <si>
    <t>AWBR-3317768878</t>
  </si>
  <si>
    <t>TMP-INV-2026/05/28/ 2792788</t>
  </si>
  <si>
    <t>Apotek Yovita Farma</t>
  </si>
  <si>
    <t>Jl. Inhoftank Ruko Jati Permai No.70 Kel.Pelindung Hewan Kec.Astana Anyar Bandung Jawa Barat 40243</t>
  </si>
  <si>
    <t>Invoice: TMP-INV-2026/05/28/ 2792788
1x RENOVIT Konimex KAPLET Tarik Barang Retur</t>
  </si>
  <si>
    <t>AWBR-3317768878-01</t>
  </si>
  <si>
    <t>Pickup Return, wajib bawa form BA Return. Bilang ke Apotek “mau tarik barang”. Jika tidak ada barang, tulis keterangan “tidak ada barang retur” di form BA Invoice: TMP-INV-2026/05/28/ 2792788
1x RENOVIT Konimex KAPLET Tarik Barang Retur</t>
  </si>
  <si>
    <t>AWBR-3318495890</t>
  </si>
  <si>
    <t>TMP-INV-2026/06/10/ 2839063</t>
  </si>
  <si>
    <t>Invoice: TMP-INV-2026/06/10/ 2839063
1x TOBROSON Cendo TETES MATA Tarik Barang Retur</t>
  </si>
  <si>
    <t>AWBR-3318495890-01</t>
  </si>
  <si>
    <t>Pickup Return, wajib bawa form BA Return. Bilang ke Apotek “mau tarik barang”. Jika tidak ada barang, tulis keterangan “tidak ada barang retur” di form BA Invoice: TMP-INV-2026/06/10/ 2839063
1x TOBROSON Cendo TETES MATA Tarik Barang Retur</t>
  </si>
  <si>
    <t>AWBR-3318487084</t>
  </si>
  <si>
    <t>TMP-INV-2025/04/22/ 1519015</t>
  </si>
  <si>
    <t>Klinik Cata Medical Kota Sutera Sindangsari Pasar Kemis</t>
  </si>
  <si>
    <t>Jl. Raya Kota Sutera Cluster Albizia - Kota Sutera No. 12 RT. 003 RW. 008, Desa/Kel. Sindangsari, Kec. Pasar Kemis, Kab. Tangerang</t>
  </si>
  <si>
    <t>Invoice: TMP-INV-2025/04/22/ 1519015
1x CYCLOPROGYNOVA Bayer TABLET 2/0.5 MG Tarik Barang Retur</t>
  </si>
  <si>
    <t>AWBR-3318487084-01</t>
  </si>
  <si>
    <t>Pickup Return, wajib bawa form BA Return. Bilang ke Apotek “mau tarik barang”. Jika tidak ada barang, tulis keterangan “tidak ada barang retur” di form BA Invoice: TMP-INV-2025/04/22/ 1519015
1x CYCLOPROGYNOVA Bayer TABLET 2/0.5 MG Tarik Barang Retur</t>
  </si>
  <si>
    <t>AWBR-3318461310</t>
  </si>
  <si>
    <t>TMP-INV-2026/05/01/ 2697171</t>
  </si>
  <si>
    <t>Invoice: TMP-INV-2026/05/01/ 2697171
Full Return
----------------------------------------
Invoice: TMP-INV-2026/03/12/ 2523661
1x CENDO XITROL Cendo TETES MATA Tarik Barang Retur</t>
  </si>
  <si>
    <t>AWBR-3318461310-01</t>
  </si>
  <si>
    <t>Pickup Return, wajib bawa form BA Return. Bilang ke Apotek “mau tarik barang”. Jika tidak ada barang, tulis keterangan “tidak ada barang retur” di form BA Invoice: TMP-INV-2026/05/01/ 2697171
Full Return
----------------------------------------
Invoice: TMP-INV-2026/03/12/ 2523661
1x CENDO XITROL Cendo TETES MATA Tarik Barang Retur</t>
  </si>
  <si>
    <t>AWBR-3318460358</t>
  </si>
  <si>
    <t>TMP-INV-2026/03/25/ 2562821</t>
  </si>
  <si>
    <t>Invoice: TMP-INV-2026/03/25/ 2562821
2x RHINOFED Dexa Medica SIRUP Tarik Barang Retur</t>
  </si>
  <si>
    <t>AWBR-3318460358-01</t>
  </si>
  <si>
    <t>Pickup Return, wajib bawa form BA Return. Bilang ke Apotek “mau tarik barang”. Jika tidak ada barang, tulis keterangan “tidak ada barang retur” di form BA Invoice: TMP-INV-2026/03/25/ 2562821
2x RHINOFED Dexa Medica SIRUP Tarik Barang Retur</t>
  </si>
  <si>
    <t>AWBR-3318444979</t>
  </si>
  <si>
    <t>TMP-INV-2026/03/28/ 2573511</t>
  </si>
  <si>
    <t>Apotek Finna</t>
  </si>
  <si>
    <t>JL. Jombang Raya Komplek Pondok Pucung Indah I Blok D-3/21</t>
  </si>
  <si>
    <t>Invoice: TMP-INV-2026/03/28/ 2573511
Full Return
----------------------------------------
Invoice: TMP-INV-2026/03/26/ 2567147
1x CATAFLAM D Novartis TABLET DISPERSIBLE
----------------------------------------
Invoice: TMP-INV-2026/02/21/ 2457046
1x NEUROBION 5000 Darya-Varia CAIRAN INJEKSI
1x ORALIT 200 Phapros SERBUK Tarik Barang Retur</t>
  </si>
  <si>
    <t>AWBR-3318444979-01</t>
  </si>
  <si>
    <t>Pickup Return, wajib bawa form BA Return. Bilang ke Apotek “mau tarik barang”. Jika tidak ada barang, tulis keterangan “tidak ada barang retur” di form BA Invoice: TMP-INV-2026/03/28/ 2573511
Full Return
----------------------------------------
Invoice: TMP-INV-2026/03/26/ 2567147
1x CATAFLAM D Novartis TABLET DISPERSIBLE
----------------------------------------
Invoice: TMP-INV-2026/02/21/ 2457046
1x NEUROBION 5000 Darya-Varia CAIRAN INJEKSI
1x ORALIT 200 Phapros SERBUK Tarik Barang Retur</t>
  </si>
  <si>
    <t>AWBR-3318116645</t>
  </si>
  <si>
    <t>TMP-INV-2026/06/05/ 2820451</t>
  </si>
  <si>
    <t>Apotek Esta Sehat</t>
  </si>
  <si>
    <t>Jakarta Gems Centre Lantai 2 los AKS No 095, 096, 102 Pasar Rawa Bening Kelurahan Rawa Bunga Kecamatan Jatinegara Jakarta Timur, DKI Jakarta 13350</t>
  </si>
  <si>
    <t>Invoice: TMP-INV-2026/06/05/ 2820451
2x LUKAJEL ANTISEPTIC Meccaya GEL Tarik Barang Retur</t>
  </si>
  <si>
    <t>AWBR-3318116645-01</t>
  </si>
  <si>
    <t>Pickup Return, wajib bawa form BA Return. Bilang ke Apotek “mau tarik barang”. Jika tidak ada barang, tulis keterangan “tidak ada barang retur” di form BA Invoice: TMP-INV-2026/06/05/ 2820451
2x LUKAJEL ANTISEPTIC Meccaya GEL Tarik Barang Retur</t>
  </si>
  <si>
    <t>AWBR-3318494049</t>
  </si>
  <si>
    <t>TMP-INV-2025/04/05/ 1474972</t>
  </si>
  <si>
    <t>Invoice: TMP-INV-2025/04/05/ 1474972
3x STERO-BAC HAND SANTIZIER Indonesia Bersih Cemerlang Tarik Barang Retur</t>
  </si>
  <si>
    <t>AWBR-3318494049-01</t>
  </si>
  <si>
    <t>Pickup Return, wajib bawa form BA Return. Bilang ke Apotek “mau tarik barang”. Jika tidak ada barang, tulis keterangan “tidak ada barang retur” di form BA Invoice: TMP-INV-2025/04/05/ 1474972
3x STERO-BAC HAND SANTIZIER Indonesia Bersih Cemerlang Tarik Barang Retur</t>
  </si>
  <si>
    <t>AWBR-3318452941</t>
  </si>
  <si>
    <t>TMP-INV-2026/03/04/ 2496113</t>
  </si>
  <si>
    <t>Jalan Muara Karang Raya no 4</t>
  </si>
  <si>
    <t>Invoice: TMP-INV-2026/03/04/ 2496113
Full Return
----------------------------------------
Invoice: TMP-INV-2026/03/04/ 2494398
Full Return
----------------------------------------
Invoice: TMP-INV-2026/03/04/ 2496520
7x BODREXIN DEMAM Tempo Scan TABLET 120 MG
----------------------------------------
Invoice: TMP-INV-2026/03/04/ 2494937
1x BURNAZIN PLUS Darya-Varia KRIM
----------------------------------------
Invoice: TMP-INV-2026/03/04/ 2496479
1x TELFAST Aventis TABLET 60 MG
1x VENTOLIN NEBULES Gsk CAIRAN INHALASI 2.5 MG Tarik Barang Retur</t>
  </si>
  <si>
    <t>AWBR-3318452941-01</t>
  </si>
  <si>
    <t>Pickup Return, wajib bawa form BA Return. Bilang ke Apotek “mau tarik barang”. Jika tidak ada barang, tulis keterangan “tidak ada barang retur” di form BA Invoice: TMP-INV-2026/03/04/ 2496113
Full Return
----------------------------------------
Invoice: TMP-INV-2026/03/04/ 2494398
Full Return
----------------------------------------
Invoice: TMP-INV-2026/03/04/ 2496520
7x BODREXIN DEMAM Tempo Scan TABLET 120 MG
----------------------------------------
Invoice: TMP-INV-2026/03/04/ 2494937
1x BURNAZIN PLUS Darya-Varia KRIM
----------------------------------------
Invoice: TMP-INV-2026/03/04/ 2496479
1x TELFAST Aventis TABLET 60 MG
1x VENTOLIN NEBULES Gsk CAIRAN INHALASI 2.5 MG Tarik Barang Retur</t>
  </si>
  <si>
    <t>AWBR-3318126346</t>
  </si>
  <si>
    <t>TMP-INV-2026/04/17/ 2647355</t>
  </si>
  <si>
    <t>Invoice: TMP-INV-2026/04/17/ 2647355
1x KETOSTERIL Fresenius Kabi KAPLET Tarik Barang Retur</t>
  </si>
  <si>
    <t>AWBR-3318126346-01</t>
  </si>
  <si>
    <t>Pickup Return, wajib bawa form BA Return. Bilang ke Apotek “mau tarik barang”. Jika tidak ada barang, tulis keterangan “tidak ada barang retur” di form BA Invoice: TMP-INV-2026/04/17/ 2647355
1x KETOSTERIL Fresenius Kabi KAPLET Tarik Barang Retur</t>
  </si>
  <si>
    <t>AWBR-3317850149</t>
  </si>
  <si>
    <t>TMP-INV-2026/05/30/ 2798997</t>
  </si>
  <si>
    <t>Apotek K24 Villa Mutiara</t>
  </si>
  <si>
    <t>Ruko Cifest Blok T No.9B Desa Ciantra Kecamatan Cikarang Selatan Kabupaten Bekasi 17530</t>
  </si>
  <si>
    <t>Invoice: TMP-INV-2026/05/30/ 2798997
1x ENERVON C Medifarma TABLET Tarik Barang Retur</t>
  </si>
  <si>
    <t>AWBR-3317850149-01</t>
  </si>
  <si>
    <t>Pickup Return, wajib bawa form BA Return. Bilang ke Apotek “mau tarik barang”. Jika tidak ada barang, tulis keterangan “tidak ada barang retur” di form BA Invoice: TMP-INV-2026/05/30/ 2798997
1x ENERVON C Medifarma TABLET Tarik Barang Retur</t>
  </si>
  <si>
    <t>AWBR-3318478965</t>
  </si>
  <si>
    <t>TMP-INV-2026/06/10/ 2839625</t>
  </si>
  <si>
    <t>Invoice: TMP-INV-2026/06/10/ 2839625
10x NEO RHEUMACYL NEURO Tempo Scan KAPLET Tarik Barang Retur</t>
  </si>
  <si>
    <t>AWBR-3318478965-01</t>
  </si>
  <si>
    <t>Pickup Return, wajib bawa form BA Return. Bilang ke Apotek “mau tarik barang”. Jika tidak ada barang, tulis keterangan “tidak ada barang retur” di form BA Invoice: TMP-INV-2026/06/10/ 2839625
10x NEO RHEUMACYL NEURO Tempo Scan KAPLET Tarik Barang Retur</t>
  </si>
  <si>
    <t>AWBR-3318453939</t>
  </si>
  <si>
    <t>TMP-INV-2026/04/08/ 2614312</t>
  </si>
  <si>
    <t>Invoice: TMP-INV-2026/04/08/ 2614312
6x RHEMAFAR 16 Ifars KAPLET 16 MG Tarik Barang Retur</t>
  </si>
  <si>
    <t>AWBR-3318453939-01</t>
  </si>
  <si>
    <t>Pickup Return, wajib bawa form BA Return. Bilang ke Apotek “mau tarik barang”. Jika tidak ada barang, tulis keterangan “tidak ada barang retur” di form BA Invoice: TMP-INV-2026/04/08/ 2614312
6x RHEMAFAR 16 Ifars KAPLET 16 MG Tarik Barang Retur</t>
  </si>
  <si>
    <t>AWBR-3318456741</t>
  </si>
  <si>
    <t>TMP-INV-2026/04/25/ 2678042</t>
  </si>
  <si>
    <t>Apotek Aulia Farma 6749</t>
  </si>
  <si>
    <t>Jl. Pamegarsari No. 10 Kel. Tanjungsari Kec. Tanjungsari Kab. Sumedang 45362</t>
  </si>
  <si>
    <t>Invoice: TMP-INV-2026/04/25/ 2678042
1x STREPSILS WITH HONEY and LEMON Reckitt Benckiser TABLET HISAP Tarik Barang Retur</t>
  </si>
  <si>
    <t>AWBR-3318456741-01</t>
  </si>
  <si>
    <t>Pickup Return, wajib bawa form BA Return. Bilang ke Apotek “mau tarik barang”. Jika tidak ada barang, tulis keterangan “tidak ada barang retur” di form BA Invoice: TMP-INV-2026/04/25/ 2678042
1x STREPSILS WITH HONEY and LEMON Reckitt Benckiser TABLET HISAP Tarik Barang Retur</t>
  </si>
  <si>
    <t>AWBR-3318530381</t>
  </si>
  <si>
    <t>TMP-INV-2026/04/12/ 2628597</t>
  </si>
  <si>
    <t>Apotek Fadhil Farma</t>
  </si>
  <si>
    <t>Jalan Raya Bosih Kampung Selang Cau RT.002 RW.013 Kelurahan Wanasari, Kecamatan Cibitung, Kota Bekasi 17520</t>
  </si>
  <si>
    <t>Invoice: TMP-INV-2026/04/12/ 2628597
2x PUREKIDS AROMA GERANIUM Novell CAIRAN Tarik Barang Retur</t>
  </si>
  <si>
    <t>AWBR-3318530381-01</t>
  </si>
  <si>
    <t>Pickup Return, wajib bawa form BA Return. Bilang ke Apotek “mau tarik barang”. Jika tidak ada barang, tulis keterangan “tidak ada barang retur” di form BA Invoice: TMP-INV-2026/04/12/ 2628597
2x PUREKIDS AROMA GERANIUM Novell CAIRAN Tarik Barang Retur</t>
  </si>
  <si>
    <t>AWBR-3318459044</t>
  </si>
  <si>
    <t>TMP-INV-2026/04/23/ 2668306</t>
  </si>
  <si>
    <t>Apotek K24 Tytyan</t>
  </si>
  <si>
    <t>Perumahan Tytyan Indah Blok A2 No.6 Kelurahan Kalibaru, Kecamatan Medan Satria, Kota Bekasi 17133</t>
  </si>
  <si>
    <t>Invoice: TMP-INV-2026/04/23/ 2668306
1x STREPSILS WITH HONEY and LEMON Reckitt Benckiser TABLET HISAP Tarik Barang Retur</t>
  </si>
  <si>
    <t>AWBR-3318459044-01</t>
  </si>
  <si>
    <t>Pickup Return, wajib bawa form BA Return. Bilang ke Apotek “mau tarik barang”. Jika tidak ada barang, tulis keterangan “tidak ada barang retur” di form BA Invoice: TMP-INV-2026/04/23/ 2668306
1x STREPSILS WITH HONEY and LEMON Reckitt Benckiser TABLET HISAP Tarik Barang Retur</t>
  </si>
  <si>
    <t>AWBR-3318458543</t>
  </si>
  <si>
    <t>TMP-INV-2026/05/07/ 2718749</t>
  </si>
  <si>
    <t>Invoice: TMP-INV-2026/05/07/ 2718749
2x HANSAPLAST SALEP LUKA Beiersdorf Tarik Barang Retur</t>
  </si>
  <si>
    <t>AWBR-3318458543-01</t>
  </si>
  <si>
    <t>Pickup Return, wajib bawa form BA Return. Bilang ke Apotek “mau tarik barang”. Jika tidak ada barang, tulis keterangan “tidak ada barang retur” di form BA Invoice: TMP-INV-2026/05/07/ 2718749
2x HANSAPLAST SALEP LUKA Beiersdorf Tarik Barang Retur</t>
  </si>
  <si>
    <t>AWBR-3318457663</t>
  </si>
  <si>
    <t>TMP-INV-2026/05/22/ 2774528</t>
  </si>
  <si>
    <t>Apotek Khalfani</t>
  </si>
  <si>
    <t>Jl. Wijaya Kusuma Ruko Kranggan Permai Jatisampurna No. BS.09.04/05 Kel. Jatisampurna Kec. Jatisampurna Kota Bekasi Jawa Barat 17433</t>
  </si>
  <si>
    <t>Invoice: TMP-INV-2026/05/22/ 2774528
2x IFREE PAD TERAPI HANGAT NYERI HAID Eagle Indo
3x HANSAPLAST AQUA PROTECT Beiersdorf
1x BYEBYE FEVER DEWASA Hisamitsu PLESTER KOMPRES DEMAM Tarik Barang Retur</t>
  </si>
  <si>
    <t>AWBR-3318457663-01</t>
  </si>
  <si>
    <t>Pickup Return, wajib bawa form BA Return. Bilang ke Apotek “mau tarik barang”. Jika tidak ada barang, tulis keterangan “tidak ada barang retur” di form BA Invoice: TMP-INV-2026/05/22/ 2774528
2x IFREE PAD TERAPI HANGAT NYERI HAID Eagle Indo
3x HANSAPLAST AQUA PROTECT Beiersdorf
1x BYEBYE FEVER DEWASA Hisamitsu PLESTER KOMPRES DEMAM Tarik Barang Retur</t>
  </si>
  <si>
    <t>AWBR-3318433032</t>
  </si>
  <si>
    <t>TMP-INV-2026/06/10/ 2839169</t>
  </si>
  <si>
    <t>Apotek K24 Cilendek Cilendek Barat Bogor Barat</t>
  </si>
  <si>
    <t>Jl. Brigjen Saptaji Hadiprawira No. 20 RT. 002 RW. 007. Kel.Cilendek Barat, Kec. Bogor Barat, Kota Bogor</t>
  </si>
  <si>
    <t>Invoice: TMP-INV-2026/06/10/ 2839169
1x SYMBICORT TURBUHALER AstraZeneca SERBUK INHALASI 160 MCG /4.5 MCG Tarik Barang Retur</t>
  </si>
  <si>
    <t>AWBR-3318433032-01</t>
  </si>
  <si>
    <t>Pickup Return, wajib bawa form BA Return. Bilang ke Apotek “mau tarik barang”. Jika tidak ada barang, tulis keterangan “tidak ada barang retur” di form BA Invoice: TMP-INV-2026/06/10/ 2839169
1x SYMBICORT TURBUHALER AstraZeneca SERBUK INHALASI 160 MCG /4.5 MCG Tarik Barang Retur</t>
  </si>
  <si>
    <t>AWBR-3318534730</t>
  </si>
  <si>
    <t>TMP-INV-2025/06/14/ 1658113</t>
  </si>
  <si>
    <t>Invoice: TMP-INV-2025/06/14/ 1658113
2x LIKURMIN Dankos SIRUP Tarik Barang Retur</t>
  </si>
  <si>
    <t>AWBR-3318534730-01</t>
  </si>
  <si>
    <t>Pickup Return, wajib bawa form BA Return. Bilang ke Apotek “mau tarik barang”. Jika tidak ada barang, tulis keterangan “tidak ada barang retur” di form BA Invoice: TMP-INV-2025/06/14/ 1658113
2x LIKURMIN Dankos SIRUP Tarik Barang Retur</t>
  </si>
  <si>
    <t>AWBR-3318533864</t>
  </si>
  <si>
    <t>TMP-INV-2025/06/02/ 1625956</t>
  </si>
  <si>
    <t>Invoice: TMP-INV-2025/06/02/ 1625956
2x BIOCREAM Merck KRIM Tarik Barang Retur</t>
  </si>
  <si>
    <t>AWBR-3318533864-01</t>
  </si>
  <si>
    <t>Pickup Return, wajib bawa form BA Return. Bilang ke Apotek “mau tarik barang”. Jika tidak ada barang, tulis keterangan “tidak ada barang retur” di form BA Invoice: TMP-INV-2025/06/02/ 1625956
2x BIOCREAM Merck KRIM Tarik Barang Retur</t>
  </si>
  <si>
    <t>AWBR-3318487606</t>
  </si>
  <si>
    <t>TMP-INV-2026/06/06/ 2825811</t>
  </si>
  <si>
    <t>Apotek Prosehat Farma Tanah Baru Beji</t>
  </si>
  <si>
    <t>Jalan Raden Sanim, Ruko Komplek Teras Legian No. 2 RT. 002 RW. 002 Kelurahan Tanah Baru, Kecamatan Beji, Kota Depok, Jawa Barat 16426</t>
  </si>
  <si>
    <t>Invoice: TMP-INV-2026/06/06/ 2825811
1x SANGOBION Merck KAPSUL Tarik Barang Retur</t>
  </si>
  <si>
    <t>AWBR-3318487606-01</t>
  </si>
  <si>
    <t>Pickup Return, wajib bawa form BA Return. Bilang ke Apotek “mau tarik barang”. Jika tidak ada barang, tulis keterangan “tidak ada barang retur” di form BA Invoice: TMP-INV-2026/06/06/ 2825811
1x SANGOBION Merck KAPSUL Tarik Barang Retur</t>
  </si>
  <si>
    <t>AWBR-3318432076</t>
  </si>
  <si>
    <t>TMP-INV-2026/06/10/ 2840136</t>
  </si>
  <si>
    <t>Invoice: TMP-INV-2026/06/10/ 2840136
1x BABYDEX-A DIAPER RASH CREAM WITH NATURAL VITAMIN FOR BABY SKIN HEALTH Meiji Tarik Barang Retur</t>
  </si>
  <si>
    <t>AWBR-3318432076-01</t>
  </si>
  <si>
    <t>Pickup Return, wajib bawa form BA Return. Bilang ke Apotek “mau tarik barang”. Jika tidak ada barang, tulis keterangan “tidak ada barang retur” di form BA Invoice: TMP-INV-2026/06/10/ 2840136
1x BABYDEX-A DIAPER RASH CREAM WITH NATURAL VITAMIN FOR BABY SKIN HEALTH Meiji Tarik Barang Retur</t>
  </si>
  <si>
    <t>AWBR-3318429299</t>
  </si>
  <si>
    <t>TMP-INV-2026/06/10/ 2840236</t>
  </si>
  <si>
    <t>Invoice: TMP-INV-2026/06/10/ 2840236
1x ASTHIN FORCE 12 Soho KAPSUL Tarik Barang Retur</t>
  </si>
  <si>
    <t>AWBR-3318429299-01</t>
  </si>
  <si>
    <t>Pickup Return, wajib bawa form BA Return. Bilang ke Apotek “mau tarik barang”. Jika tidak ada barang, tulis keterangan “tidak ada barang retur” di form BA Invoice: TMP-INV-2026/06/10/ 2840236
1x ASTHIN FORCE 12 Soho KAPSUL Tarik Barang Retur</t>
  </si>
  <si>
    <t>AWBR-3318540681</t>
  </si>
  <si>
    <t>TMP-INV-2026/06/02/ 2807241</t>
  </si>
  <si>
    <t>Apotek K24 Merpati</t>
  </si>
  <si>
    <t>Ruko Merpati Resindence Kav. No.1 Jalan Merpati Raya Kelurahan Sawah Baru, Kecamatan Ciputat, Kota Tangerang Selatan 15413</t>
  </si>
  <si>
    <t>Invoice: TMP-INV-2026/06/02/ 2807241
1x ACTIFED GSK SIRUP
----------------------------------------
Invoice: TMP-INV-2026/05/23/ 2777102
1x FARSIFEN PLUS Ifars KAPLET Tarik Barang Retur</t>
  </si>
  <si>
    <t>AWBR-3318540681-01</t>
  </si>
  <si>
    <t>Pickup Return, wajib bawa form BA Return. Bilang ke Apotek “mau tarik barang”. Jika tidak ada barang, tulis keterangan “tidak ada barang retur” di form BA Invoice: TMP-INV-2026/06/02/ 2807241
1x ACTIFED GSK SIRUP
----------------------------------------
Invoice: TMP-INV-2026/05/23/ 2777102
1x FARSIFEN PLUS Ifars KAPLET Tarik Barang Retur</t>
  </si>
  <si>
    <t>AWBR-3317765591</t>
  </si>
  <si>
    <t>TMP-INV-2026/06/09/ 2835537</t>
  </si>
  <si>
    <t>Apotek Azizah Ulujami Pesanggrahan</t>
  </si>
  <si>
    <t>Jl. Ulujami Raya Gg. Langgar No.26 RT 012 RW 004, Kel. Ulujami, Kec. Pesanggrahan, Kota Jakarta Selatan</t>
  </si>
  <si>
    <t>Invoice: TMP-INV-2026/06/09/ 2835537
3x ANDALAN Harsen TABLET 0.15/0.03 MG
----------------------------------------
Invoice: TMP-INV-2026/06/09/ 2835073
Full Return Tarik Barang Retur</t>
  </si>
  <si>
    <t>AWBR-3317765591-01</t>
  </si>
  <si>
    <t>Pickup Return, wajib bawa form BA Return. Bilang ke Apotek “mau tarik barang”. Jika tidak ada barang, tulis keterangan “tidak ada barang retur” di form BA Invoice: TMP-INV-2026/06/09/ 2835537
3x ANDALAN Harsen TABLET 0.15/0.03 MG
----------------------------------------
Invoice: TMP-INV-2026/06/09/ 2835073
Full Return Tarik Barang Retur</t>
  </si>
  <si>
    <t>AWBR-3316481889</t>
  </si>
  <si>
    <t>TMP-INV-2025/02/14/ 1354530</t>
  </si>
  <si>
    <t>Invoice: TMP-INV-2025/02/14/ 1354530
1x IMBOOST KIDS Soho SIRUP
----------------------------------------
Invoice: TMP-INV-2024/12/23/ 1226467
2x POLYCROL FORTE Nicholas SUSPENSI Tarik Barang Retur</t>
  </si>
  <si>
    <t>AWBR-3316481889-01</t>
  </si>
  <si>
    <t>Pickup Return, wajib bawa form BA Return. Bilang ke Apotek “mau tarik barang”. Jika tidak ada barang, tulis keterangan “tidak ada barang retur” di form BA Invoice: TMP-INV-2025/02/14/ 1354530
1x IMBOOST KIDS Soho SIRUP
----------------------------------------
Invoice: TMP-INV-2024/12/23/ 1226467
2x POLYCROL FORTE Nicholas SUSPENSI Tarik Barang Retur</t>
  </si>
  <si>
    <t>AWBR-3316462543</t>
  </si>
  <si>
    <t>TMP-INV-2026/05/21/ 2768465</t>
  </si>
  <si>
    <t>Invoice: TMP-INV-2026/05/21/ 2768465
1x IMBOOST FORCE COUGH Soho SIRUP
----------------------------------------
Invoice: TMP-INV-2026/06/07/ 2826824
1x VEGEBLEND Pharos KAPSUL Tarik Barang Retur</t>
  </si>
  <si>
    <t>AWBR-3316462543-01</t>
  </si>
  <si>
    <t>Pickup Return, wajib bawa form BA Return. Bilang ke Apotek “mau tarik barang”. Jika tidak ada barang, tulis keterangan “tidak ada barang retur” di form BA Invoice: TMP-INV-2026/05/21/ 2768465
1x IMBOOST FORCE COUGH Soho SIRUP
----------------------------------------
Invoice: TMP-INV-2026/06/07/ 2826824
1x VEGEBLEND Pharos KAPSUL Tarik Barang Retur</t>
  </si>
  <si>
    <t>AWBR-3316276533</t>
  </si>
  <si>
    <t>TMP-INV-2026/06/06/ 2824137</t>
  </si>
  <si>
    <t>Apotek Gemilang Jaya Sriamur Tambun Utara</t>
  </si>
  <si>
    <t>Jl. Pinggir Kali RT 002 RW 006 Desa Sriamur, Kec. Tambun Utara, Kabupaten Bekasi</t>
  </si>
  <si>
    <t>Invoice: TMP-INV-2026/06/06/ 2824137
1x INSTO COOL Pharma Health TETES MATA
----------------------------------------
Invoice: TMP-INV-2026/06/05/ 2819945
Full Return
----------------------------------------
Invoice: TMP-INV-2026/06/01/ 2802609
Full Return Tarik Barang Retur</t>
  </si>
  <si>
    <t>AWBR-3316276533-01</t>
  </si>
  <si>
    <t>Pickup Return, wajib bawa form BA Return. Bilang ke Apotek “mau tarik barang”. Jika tidak ada barang, tulis keterangan “tidak ada barang retur” di form BA Invoice: TMP-INV-2026/06/06/ 2824137
1x INSTO COOL Pharma Health TETES MATA
----------------------------------------
Invoice: TMP-INV-2026/06/05/ 2819945
Full Return
----------------------------------------
Invoice: TMP-INV-2026/06/01/ 2802609
Full Return Tarik Barang Retur</t>
  </si>
  <si>
    <t>AWBR-3316453453</t>
  </si>
  <si>
    <t>TMP-INV-2026/06/07/ 2827876</t>
  </si>
  <si>
    <t>Invoice: TMP-INV-2026/06/07/ 2827876
2x DUS, 3 BLISTER @ 10 TABLET KUNYAH
----------------------------------------
Invoice: TMP-INV-2026/06/01/ 2804717
1x BECOM C Sanbe KAPLET Tarik Barang Retur</t>
  </si>
  <si>
    <t>AWBR-3316453453-01</t>
  </si>
  <si>
    <t>Pickup Return, wajib bawa form BA Return. Bilang ke Apotek “mau tarik barang”. Jika tidak ada barang, tulis keterangan “tidak ada barang retur” di form BA Invoice: TMP-INV-2026/06/07/ 2827876
2x DUS, 3 BLISTER @ 10 TABLET KUNYAH
----------------------------------------
Invoice: TMP-INV-2026/06/01/ 2804717
1x BECOM C Sanbe KAPLET Tarik Barang Retur</t>
  </si>
  <si>
    <t>AWBR-3316468744</t>
  </si>
  <si>
    <t>TMP-INV-2026/05/24/ 2779678</t>
  </si>
  <si>
    <t>Invoice: TMP-INV-2026/05/24/ 2779678
1x NELLCO SPECIAL OBH FLU DAN BATUK SIRUP
----------------------------------------
Invoice: TMP-INV-2026/05/21/ 2770732
1x TRINORDIOL-28 Sunthi TABLET
----------------------------------------
Invoice: TMP-INV-2026/06/03/ 2813715
3x LAXING Soho KAPSUL
----------------------------------------
Invoice: TMP-INV-2026/05/30/ 2800155
1x OBH COMBI ANAK BATUK PLUS FLU (Strawberry) Combiphar SIRUP Tarik Barang Retur</t>
  </si>
  <si>
    <t>AWBR-3316468744-01</t>
  </si>
  <si>
    <t>Pickup Return, wajib bawa form BA Return. Bilang ke Apotek “mau tarik barang”. Jika tidak ada barang, tulis keterangan “tidak ada barang retur” di form BA Invoice: TMP-INV-2026/05/24/ 2779678
1x NELLCO SPECIAL OBH FLU DAN BATUK SIRUP
----------------------------------------
Invoice: TMP-INV-2026/05/21/ 2770732
1x TRINORDIOL-28 Sunthi TABLET
----------------------------------------
Invoice: TMP-INV-2026/06/03/ 2813715
3x LAXING Soho KAPSUL
----------------------------------------
Invoice: TMP-INV-2026/05/30/ 2800155
1x OBH COMBI ANAK BATUK PLUS FLU (Strawberry) Combiphar SIRUP Tarik Barang Retur</t>
  </si>
  <si>
    <t>AWBR-3316409410</t>
  </si>
  <si>
    <t>TMP-INV-2026/05/10/ 2730572</t>
  </si>
  <si>
    <t>Invoice: TMP-INV-2026/05/10/ 2730572
1x FENRIS Interbat SUSPENSI
----------------------------------------
Invoice: TMP-INV-2026/05/12/ 2738592
2x TRINORDIOL-28 Sunthi TABLET Tarik Barang Retur</t>
  </si>
  <si>
    <t>AWBR-3316409410-01</t>
  </si>
  <si>
    <t>Pickup Return, wajib bawa form BA Return. Bilang ke Apotek “mau tarik barang”. Jika tidak ada barang, tulis keterangan “tidak ada barang retur” di form BA Invoice: TMP-INV-2026/05/10/ 2730572
1x FENRIS Interbat SUSPENSI
----------------------------------------
Invoice: TMP-INV-2026/05/12/ 2738592
2x TRINORDIOL-28 Sunthi TABLET Tarik Barang Retur</t>
  </si>
  <si>
    <t>AWBR-3318086197</t>
  </si>
  <si>
    <t>TMP-INV-2026/06/08/ 2831744</t>
  </si>
  <si>
    <t>Invoice: TMP-INV-2026/06/08/ 2831744
2x CATAFLAM Novartis TABLET 25 MG Tarik Barang Retur</t>
  </si>
  <si>
    <t>AWBR-3318086197-01</t>
  </si>
  <si>
    <t>Pickup Return, wajib bawa form BA Return. Bilang ke Apotek “mau tarik barang”. Jika tidak ada barang, tulis keterangan “tidak ada barang retur” di form BA Invoice: TMP-INV-2026/06/08/ 2831744
2x CATAFLAM Novartis TABLET 25 MG Tarik Barang Retur</t>
  </si>
  <si>
    <t>AWBR-8518-2026-6-12</t>
  </si>
  <si>
    <t>TMP-INV-2025/11/16/ 2132499</t>
  </si>
  <si>
    <t>Apotek Nizam Farma Jagakarsa Jagakarsa</t>
  </si>
  <si>
    <t>Jl. Moch. Kahfi II No.51, RT.7/RW.1, Jagakarsa, Kec. Jagakarsa, Kota Jakarta Selatan, 12620</t>
  </si>
  <si>
    <t>TMP-INV-2025/11/16/ 2132499 THYROZOL Merck TABLET 5 MG DUS, 10 BLSITER @ 10 TABLET SALUT SELAPUT Tarik Barang Retur</t>
  </si>
  <si>
    <t>AWBR-8518-2026-6-12-01</t>
  </si>
  <si>
    <t>Pickup Return, wajib bawa form BA Return. Bilang ke Apotek “mau tarik barang”. Jika tidak ada barang, tulis keterangan “tidak ada barang retur” di form BA TMP-INV-2025/11/16/ 2132499 THYROZOL Merck TABLET 5 MG DUS, 10 BLSITER @ 10 TABLET SALUT SELAPUT Tarik Barang Retur</t>
  </si>
  <si>
    <t>AWBR-3319126270</t>
  </si>
  <si>
    <t>TMP-INV-2026/04/16/ 2645090</t>
  </si>
  <si>
    <t>Apotek Paten Sukabumi Utara Kebon Jeruk</t>
  </si>
  <si>
    <t>Jl. Adam No.29 RT/RW 06/11 Kel. Sukabumi Utara Kec. Kebon jeruk Jakarta Barat</t>
  </si>
  <si>
    <t>Invoice: TMP-INV-2026/04/16/ 2645090
2x CTM PIM TABLET 4 MG
1x FARMACROL FORTE Pratapa Nirmala TABLET
2x MADU ENAK + MANUKA HONEY STICK Herba Utama
2x MADU ENAK STICK RASA ANGGUR Herba Utama
2x MADU ENAK STICK RASA LECI Herba Utama
2x MADU TJ ORIGINAL Ultrasakti
6x MADU TJ PANAS DALAM Ultrasakti
----------------------------------------
Invoice: TMP-INV-2026/04/16/ 2645090
2x MADU TJ RASA JERUK Ultrasakti
2x MADURASA Minuman dengan Madu RASA JERUK NIPIS
12x OBH Surya Itrasal SIRUP
3x SAKATONIK ABC CURCUMA MADU Saka Farma TABLET
2x SALBUTAMOL SULFATE Mbf CAIRAN INHALASI
1x SNAKE BRAND PRICKLY HEAT POWDER LAVENDER Mitra Bersama
2x SNAKE BRAND PRICKLY HEAT POWDER OCEAN FRESH Mitra Bersama
----------------------------------------
Invoice: TMP-INV-2026/04/16/ 2645090
1x ULSAFATE Combiphar SUSPENSI
2x ZINC SULFATE MONOHYDRATE Bernofarm SIRUP 20 MG/5 ML Tarik Barang Retur</t>
  </si>
  <si>
    <t>AWBR-3319126270-01</t>
  </si>
  <si>
    <t>Pickup Return, wajib bawa form BA Return. Bilang ke Apotek “mau tarik barang”. Jika tidak ada barang, tulis keterangan “tidak ada barang retur” di form BA Invoice: TMP-INV-2026/04/16/ 2645090
2x CTM PIM TABLET 4 MG
1x FARMACROL FORTE Pratapa Nirmala TABLET
2x MADU ENAK + MANUKA HONEY STICK Herba Utama
2x MADU ENAK STICK RASA ANGGUR Herba Utama
2x MADU ENAK STICK RASA LECI Herba Utama
2x MADU TJ ORIGINAL Ultrasakti
6x MADU TJ PANAS DALAM Ultrasakti
----------------------------------------
Invoice: TMP-INV-2026/04/16/ 2645090
2x MADU TJ RASA JERUK Ultrasakti
2x MADURASA Minuman dengan Madu RASA JERUK NIPIS
12x OBH Surya Itrasal SIRUP
3x SAKATONIK ABC CURCUMA MADU Saka Farma TABLET
2x SALBUTAMOL SULFATE Mbf CAIRAN INHALASI
1x SNAKE BRAND PRICKLY HEAT POWDER LAVENDER Mitra Bersama
2x SNAKE BRAND PRICKLY HEAT POWDER OCEAN FRESH Mitra Bersama
----------------------------------------
Invoice: TMP-INV-2026/04/16/ 2645090
1x ULSAFATE Combiphar SUSPENSI
2x ZINC SULFATE MONOHYDRATE Bernofarm SIRUP 20 MG/5 ML Tarik Barang Retur</t>
  </si>
  <si>
    <t>AWBR-3318633178</t>
  </si>
  <si>
    <t>TMP-INV-2026/06/10/ 2839609</t>
  </si>
  <si>
    <t>Apotek Aulia Farma 1263</t>
  </si>
  <si>
    <t>Jalan Srengseng Raya No.77 RT 10 RW 05 Kelurahan Srengseng Kecamatan Kembangan Jakarta Barat 11510</t>
  </si>
  <si>
    <t>Invoice: TMP-INV-2026/06/10/ 2839609
1x DEXA-M Dexa Medica TABLET 0.75 MG
2x HUFAMAG PLUS Hufa SUSPENSI
10x MICROGYNON (LIBI) Bayer TABLET
3x NEO RHEUMACYL Tempo Scan TABLET
3x SANADRYL EXPECTORANT Sanbe SIRUP
3x SILADEX MUCOLYTIC and EXPECTORANT Konimex SIRUP
2x VOLTADEX Dexa Medica GEL 1 %
----------------------------------------
Invoice: TMP-INV-2026/06/10/ 2839609
3x ZENSODERM Zenith KRIM
----------------------------------------
Invoice: TMP-INV-2026/06/10/ 2839719
1x AMOXICILLIN TRIHYDRATE Hexpharm KAPLET 500 MG
10x ANDALAN Harsen TABLET 0.15/0.03 MG
8x BETASON N Kimia Farma KRIM
1x CDR Bayer TABLET RASA JERUK MANDARIN
1x CDR FORTOS Bayer TABLET EFFERVESCENT
1x ENERVON C Medifarma TABLET
3x ESEMAG Sido Muncul
----------------------------------------
Invoice: TMP-INV-2026/06/10/ 2839719
2x FASIDOL Ifars DROPS
5x FASIDOL Ifars SIRUP
1x FOLAVIT 400 MCG Sanbe TABLET
2x FUNGIDERM Konimex KRIM
2x FUNGIDERM Konimex KRIM
5x LANSOPRAZOLE Nulab KAPSUL 30 MG
1x PARACETAMOL MEf KAPLET 500 MG
----------------------------------------
Invoice: TMP-INV-2026/06/10/ 2839719
7x PI KANG SHUANG Sano Gratia KRIM
1x VOLTAREN Gsk EMULGEL 1 %
----------------------------------------
Invoice: TMP-INV-2026/06/10/ 2837884
Full Return Tarik Barang Retur</t>
  </si>
  <si>
    <t>AWBR-3318633178-01</t>
  </si>
  <si>
    <t>Pickup Return, wajib bawa form BA Return. Bilang ke Apotek “mau tarik barang”. Jika tidak ada barang, tulis keterangan “tidak ada barang retur” di form BA Invoice: TMP-INV-2026/06/10/ 2839609
1x DEXA-M Dexa Medica TABLET 0.75 MG
2x HUFAMAG PLUS Hufa SUSPENSI
10x MICROGYNON (LIBI) Bayer TABLET
3x NEO RHEUMACYL Tempo Scan TABLET
3x SANADRYL EXPECTORANT Sanbe SIRUP
3x SILADEX MUCOLYTIC and EXPECTORANT Konimex SIRUP
2x VOLTADEX Dexa Medica GEL 1 %
----------------------------------------
Invoice: TMP-INV-2026/06/10/ 2839609
3x ZENSODERM Zenith KRIM
----------------------------------------
Invoice: TMP-INV-2026/06/10/ 2839719
1x AMOXICILLIN TRIHYDRATE Hexpharm KAPLET 500 MG
10x ANDALAN Harsen TABLET 0.15/0.03 MG
8x BETASON N Kimia Farma KRIM
1x CDR Bayer TABLET RASA JERUK MANDARIN
1x CDR FORTOS Bayer TABLET EFFERVESCENT
1x ENERVON C Medifarma TABLET
3x ESEMAG Sido Muncul
----------------------------------------
Invoice: TMP-INV-2026/06/10/ 2839719
2x FASIDOL Ifars DROPS
5x FASIDOL Ifars SIRUP
1x FOLAVIT 400 MCG Sanbe TABLET
2x FUNGIDERM Konimex KRIM
2x FUNGIDERM Konimex KRIM
5x LANSOPRAZOLE Nulab KAPSUL 30 MG
1x PARACETAMOL MEf KAPLET 500 MG
----------------------------------------
Invoice: TMP-INV-2026/06/10/ 2839719
7x PI KANG SHUANG Sano Gratia KRIM
1x VOLTAREN Gsk EMULGEL 1 %
----------------------------------------
Invoice: TMP-INV-2026/06/10/ 2837884
Full Return Tarik Barang Retur</t>
  </si>
  <si>
    <t>AWBR-3319081608</t>
  </si>
  <si>
    <t>TMP-INV-2026/05/30/ 2799845</t>
  </si>
  <si>
    <t>Apotek Westerindo Petogogan Kby Baru</t>
  </si>
  <si>
    <t>Jl. Cipaku I No.5, RT.2/RW.4, Kel. Petogogan, Kec. Kebayoran Baru, Kota Jakarta Selatan, Daerah Khusus Ibukota Jakarta 12170</t>
  </si>
  <si>
    <t>Invoice: TMP-INV-2026/05/30/ 2799845
15x OBH COMBI BATUK BERDAHAK RASA MENTHOL Combiphar SIRUP
----------------------------------------
Invoice: TMP-INV-2026/04/22/ 2665659
1x OMEPROS Pharos KAPSUL
----------------------------------------
Invoice: TMP-INV-2026/04/22/ 2666396
27x HOLISTICARE ESTER C 1000 Indocare TABLET
----------------------------------------
Invoice: TMP-INV-2026/04/22/ 2666421
1x DULCOLAX Boehringer TABLET 5 MG
12x YOUVIT OMEGA-3 KIDS RASA PERSIK, JERUK, RASBERI Yupi - DUS
----------------------------------------
Invoice: TMP-INV-2026/02/21/ 2458593
24x BETASON N Kimia Farma KRIM
2x CAL-95 Lapi KAPLET
1x BROMIFAR Ifars KAPLET Tarik Barang Retur</t>
  </si>
  <si>
    <t>AWBR-3319081608-01</t>
  </si>
  <si>
    <t>Pickup Return, wajib bawa form BA Return. Bilang ke Apotek “mau tarik barang”. Jika tidak ada barang, tulis keterangan “tidak ada barang retur” di form BA Invoice: TMP-INV-2026/05/30/ 2799845
15x OBH COMBI BATUK BERDAHAK RASA MENTHOL Combiphar SIRUP
----------------------------------------
Invoice: TMP-INV-2026/04/22/ 2665659
1x OMEPROS Pharos KAPSUL
----------------------------------------
Invoice: TMP-INV-2026/04/22/ 2666396
27x HOLISTICARE ESTER C 1000 Indocare TABLET
----------------------------------------
Invoice: TMP-INV-2026/04/22/ 2666421
1x DULCOLAX Boehringer TABLET 5 MG
12x YOUVIT OMEGA-3 KIDS RASA PERSIK, JERUK, RASBERI Yupi - DUS
----------------------------------------
Invoice: TMP-INV-2026/02/21/ 2458593
24x BETASON N Kimia Farma KRIM
2x CAL-95 Lapi KAPLET
1x BROMIFAR Ifars KAPLET Tarik Barang Retur</t>
  </si>
  <si>
    <t>AWBR-3318757785</t>
  </si>
  <si>
    <t>TMP-INV-2026/06/11/ 2842383</t>
  </si>
  <si>
    <t>Apotek Nusantara Kebagusan Pasar Minggu</t>
  </si>
  <si>
    <t>Office 18 Park, Lantai Dasar JL. TB. Simatupang No. 01 , Desa/Kelurahan Kebagusan, Kec. Pasar Minggu, Kota Adm. Jakarta Selatan</t>
  </si>
  <si>
    <t>Invoice: TMP-INV-2026/06/11/ 2842383
2x BREATHY NASAL DROPS Novell TETES HIDUNG Tarik Barang Retur</t>
  </si>
  <si>
    <t>AWBR-3318757785-01</t>
  </si>
  <si>
    <t>Pickup Return, wajib bawa form BA Return. Bilang ke Apotek “mau tarik barang”. Jika tidak ada barang, tulis keterangan “tidak ada barang retur” di form BA Invoice: TMP-INV-2026/06/11/ 2842383
2x BREATHY NASAL DROPS Novell TETES HIDUNG Tarik Barang Retur</t>
  </si>
  <si>
    <t>AWBR-3318552868</t>
  </si>
  <si>
    <t>Invoice: TMP-INV-2025/11/16/ 2132499
1x THYROZOL Merck TABLET 5 MG Tarik Barang Retur</t>
  </si>
  <si>
    <t>AWBR-3318552868-01</t>
  </si>
  <si>
    <t>Pickup Return, wajib bawa form BA Return. Bilang ke Apotek “mau tarik barang”. Jika tidak ada barang, tulis keterangan “tidak ada barang retur” di form BA Invoice: TMP-INV-2025/11/16/ 2132499
1x THYROZOL Merck TABLET 5 MG Tarik Barang Retur</t>
  </si>
  <si>
    <t>AWBR-3319145256</t>
  </si>
  <si>
    <t>TMP-INV-2026/06/06/ 2824883</t>
  </si>
  <si>
    <t>Invoice: TMP-INV-2026/06/06/ 2824883
Full Return Tarik Barang Retur</t>
  </si>
  <si>
    <t>AWBR-3319145256-01</t>
  </si>
  <si>
    <t>Pickup Return, wajib bawa form BA Return. Bilang ke Apotek “mau tarik barang”. Jika tidak ada barang, tulis keterangan “tidak ada barang retur” di form BA Invoice: TMP-INV-2026/06/06/ 2824883
Full Return Tarik Barang Retur</t>
  </si>
  <si>
    <t>AWBR-3319063330</t>
  </si>
  <si>
    <t>TMP-INV-2025/05/15/ 1578964</t>
  </si>
  <si>
    <t>Invoice: TMP-INV-2025/05/15/ 1578964
Full Return Tarik Barang Retur</t>
  </si>
  <si>
    <t>AWBR-3319063330-01</t>
  </si>
  <si>
    <t>Pickup Return, wajib bawa form BA Return. Bilang ke Apotek “mau tarik barang”. Jika tidak ada barang, tulis keterangan “tidak ada barang retur” di form BA Invoice: TMP-INV-2025/05/15/ 1578964
Full Return Tarik Barang Retur</t>
  </si>
  <si>
    <t>AWBR-3318703168</t>
  </si>
  <si>
    <t>TMP-INV-2026/06/11/ 2843562</t>
  </si>
  <si>
    <t>Invoice: TMP-INV-2026/06/11/ 2843562
Full Return Tarik Barang Retur</t>
  </si>
  <si>
    <t>AWBR-3318703168-01</t>
  </si>
  <si>
    <t>Pickup Return, wajib bawa form BA Return. Bilang ke Apotek “mau tarik barang”. Jika tidak ada barang, tulis keterangan “tidak ada barang retur” di form BA Invoice: TMP-INV-2026/06/11/ 2843562
Full Return Tarik Barang Retur</t>
  </si>
  <si>
    <t>AWBR-3319200730</t>
  </si>
  <si>
    <t>TMP-INV-2024/11/11/ 1131426</t>
  </si>
  <si>
    <t>Invoice: TMP-INV-2024/11/11/1131426
1x VENTOLIN Gsk SIRUP 2 MG/5 ML Tarik Barang Retur</t>
  </si>
  <si>
    <t>AWBR-3319200730-01</t>
  </si>
  <si>
    <t>Pickup Return, wajib bawa form BA Return. Bilang ke Apotek “mau tarik barang”. Jika tidak ada barang, tulis keterangan “tidak ada barang retur” di form BA Invoice: TMP-INV-2024/11/11/1131426
1x VENTOLIN Gsk SIRUP 2 MG/5 ML Tarik Barang Retur</t>
  </si>
  <si>
    <t>AWBR-3319194770</t>
  </si>
  <si>
    <t>TMP-INV-2025/03/28/ 1460121</t>
  </si>
  <si>
    <t>Invoice: TMP-INV-2025/03/28/ 1460121
2x BLACKMORES MULTI B PERFORMANCE Kalbe TABLET Tarik Barang Retur</t>
  </si>
  <si>
    <t>AWBR-3319194770-01</t>
  </si>
  <si>
    <t>Pickup Return, wajib bawa form BA Return. Bilang ke Apotek “mau tarik barang”. Jika tidak ada barang, tulis keterangan “tidak ada barang retur” di form BA Invoice: TMP-INV-2025/03/28/ 1460121
2x BLACKMORES MULTI B PERFORMANCE Kalbe TABLET Tarik Barang Retur</t>
  </si>
  <si>
    <t>AWBR-3319167462</t>
  </si>
  <si>
    <t>TMP-INV-2026/05/25/ 2782205</t>
  </si>
  <si>
    <t>Apotek Lestari Pusaka Rakyat Tarumajaya</t>
  </si>
  <si>
    <t>Jl Tarumajaya No.62 Prapatan KP Bogor, Desa/Kelurahan Pusaka Rakyat, Kec. Tarumajaya, Kab. Bekasi</t>
  </si>
  <si>
    <t>Invoice: TMP-INV-2026/05/25/ 2782205
Full Return Tarik Barang Retur</t>
  </si>
  <si>
    <t>AWBR-3319167462-01</t>
  </si>
  <si>
    <t>Pickup Return, wajib bawa form BA Return. Bilang ke Apotek “mau tarik barang”. Jika tidak ada barang, tulis keterangan “tidak ada barang retur” di form BA Invoice: TMP-INV-2026/05/25/ 2782205
Full Return Tarik Barang Retur</t>
  </si>
  <si>
    <t>AWBR-3319122417</t>
  </si>
  <si>
    <t>TMP-INV-2026/03/23/ 2555529</t>
  </si>
  <si>
    <t>Apotek Ben Waras Sriamur Tambun Utara</t>
  </si>
  <si>
    <t>Jl. H. Nausan RT/RW 02/06 Gabus Bulak No. 89 Desa/Kel. Sriamur Kec. Tambun Utara Kab. Bekasi 17511</t>
  </si>
  <si>
    <t>Invoice: TMP-INV-2026/03/23/ 2555529
3x VOLTAREN Gsk EMULGEL 1 % Tarik Barang Retur</t>
  </si>
  <si>
    <t>AWBR-3319122417-01</t>
  </si>
  <si>
    <t>Pickup Return, wajib bawa form BA Return. Bilang ke Apotek “mau tarik barang”. Jika tidak ada barang, tulis keterangan “tidak ada barang retur” di form BA Invoice: TMP-INV-2026/03/23/ 2555529
3x VOLTAREN Gsk EMULGEL 1 % Tarik Barang Retur</t>
  </si>
  <si>
    <t>AWBR-3319091329</t>
  </si>
  <si>
    <t>TMP-INV-2026/06/11/ 2842667</t>
  </si>
  <si>
    <t>Apotek Qarnicare Sukamahi Cikarang Pusat</t>
  </si>
  <si>
    <t>Kp. Cimahi RT. 007 RW. 004, Desa/Kelurahan Sukamahi, Kec. Cikarang Pusat, Kab. Bekasi</t>
  </si>
  <si>
    <t>Invoice: TMP-INV-2026/06/11/ 2842667
1x CATAFLAM Novartis TABLET 25 MG Tarik Barang Retur</t>
  </si>
  <si>
    <t>AWBR-3319091329-01</t>
  </si>
  <si>
    <t>Pickup Return, wajib bawa form BA Return. Bilang ke Apotek “mau tarik barang”. Jika tidak ada barang, tulis keterangan “tidak ada barang retur” di form BA Invoice: TMP-INV-2026/06/11/ 2842667
1x CATAFLAM Novartis TABLET 25 MG Tarik Barang Retur</t>
  </si>
  <si>
    <t>AWBR-3318659750</t>
  </si>
  <si>
    <t>TMP-INV-2026/06/10/ 2837045</t>
  </si>
  <si>
    <t>Apotek Kondang Sehat 2</t>
  </si>
  <si>
    <t>Jalan KH. Fudholi Kp. Kebon Kopi RT. 02 RW. 06, Ruko AK 10 Desa Karangasih, Kecamatan Cikarang Utara, Kabupaten Bekasi, Jawa Barat 17530</t>
  </si>
  <si>
    <t>Invoice: TMP-INV-2026/06/10/ 2837045
Full Return Tarik Barang Retur</t>
  </si>
  <si>
    <t>AWBR-3318659750-01</t>
  </si>
  <si>
    <t>Pickup Return, wajib bawa form BA Return. Bilang ke Apotek “mau tarik barang”. Jika tidak ada barang, tulis keterangan “tidak ada barang retur” di form BA Invoice: TMP-INV-2026/06/10/ 2837045
Full Return Tarik Barang Retur</t>
  </si>
  <si>
    <t>AWBR-3319217030</t>
  </si>
  <si>
    <t>TMP-INV-2026/06/12/ 2846556</t>
  </si>
  <si>
    <t>Apotek Denma Inti Farma Tajurhalang Tajurhalang</t>
  </si>
  <si>
    <t>Kp. Babakan RT. 01 RW. 03 Desa Tajur Halang Kec. Tajur Halang Kab. Bogor 16320</t>
  </si>
  <si>
    <t>Invoice: TMP-INV-2026/06/12/ 2846556
1x ENERVON ACTIVE Darya-Varia TABLET Tarik Barang Retur</t>
  </si>
  <si>
    <t>AWBR-3319217030-01</t>
  </si>
  <si>
    <t>Pickup Return, wajib bawa form BA Return. Bilang ke Apotek “mau tarik barang”. Jika tidak ada barang, tulis keterangan “tidak ada barang retur” di form BA Invoice: TMP-INV-2026/06/12/ 2846556
1x ENERVON ACTIVE Darya-Varia TABLET Tarik Barang Retur</t>
  </si>
  <si>
    <t>AWBR-3319132737</t>
  </si>
  <si>
    <t>TMP-INV-2026/06/11/ 2842132</t>
  </si>
  <si>
    <t>Apotek Ritaka Farma</t>
  </si>
  <si>
    <t>Jl. Pasar Ciluar, Lebak Pasar RT. 02 RW. 02 Desa Pasirlaja Kec. Sukaraja Kab. Bogor 16711</t>
  </si>
  <si>
    <t>Invoice: TMP-INV-2026/06/11/ 2842132
1x IMBOOST EXTRA VIT C dan D3 Soho KAPLET Tarik Barang Retur</t>
  </si>
  <si>
    <t>AWBR-3319132737-01</t>
  </si>
  <si>
    <t>Pickup Return, wajib bawa form BA Return. Bilang ke Apotek “mau tarik barang”. Jika tidak ada barang, tulis keterangan “tidak ada barang retur” di form BA Invoice: TMP-INV-2026/06/11/ 2842132
1x IMBOOST EXTRA VIT C dan D3 Soho KAPLET Tarik Barang Retur</t>
  </si>
  <si>
    <t>AWBR-3318785744</t>
  </si>
  <si>
    <t>TMP-INV-2026/05/25/ 2782436</t>
  </si>
  <si>
    <t>Invoice: TMP-INV-2026/05/25/ 2782436
12x TRINORDIOL-28 Sunthi TABLET Tarik Barang Retur</t>
  </si>
  <si>
    <t>AWBR-3318785744-01</t>
  </si>
  <si>
    <t>Pickup Return, wajib bawa form BA Return. Bilang ke Apotek “mau tarik barang”. Jika tidak ada barang, tulis keterangan “tidak ada barang retur” di form BA Invoice: TMP-INV-2026/05/25/ 2782436
12x TRINORDIOL-28 Sunthi TABLET Tarik Barang Retur</t>
  </si>
  <si>
    <t>AWBR-3318667690</t>
  </si>
  <si>
    <t>TMP-INV-2026/06/03/ 2813414</t>
  </si>
  <si>
    <t>Apotek Meda Ciangsana Gn Putri</t>
  </si>
  <si>
    <t>Ruko Sentra Eropa Blok E No. 24 Kota Wisata Desa Ciangsana Kec. Gunung Putri Kab. Bogor 16968</t>
  </si>
  <si>
    <t>Invoice: TMP-INV-2026/06/03/ 2813414
1x CORMEGA Pertiwi Agung KAPSUL
5x POLAR BEAR MINYAK ANGIN Perdana Sakti Tarik Barang Retur</t>
  </si>
  <si>
    <t>AWBR-3318667690-01</t>
  </si>
  <si>
    <t>Pickup Return, wajib bawa form BA Return. Bilang ke Apotek “mau tarik barang”. Jika tidak ada barang, tulis keterangan “tidak ada barang retur” di form BA Invoice: TMP-INV-2026/06/03/ 2813414
1x CORMEGA Pertiwi Agung KAPSUL
5x POLAR BEAR MINYAK ANGIN Perdana Sakti Tarik Barang Retur</t>
  </si>
  <si>
    <t>AWBR-3318607077</t>
  </si>
  <si>
    <t>TMP-INV-2026/06/06/ 2825306</t>
  </si>
  <si>
    <t>Apotek Efada Farma</t>
  </si>
  <si>
    <t>Ruko Graha Kartika Pratama Blok J-5 Desa Bojong Gede Kec. Bojong Gede Kab. Bogor 16922</t>
  </si>
  <si>
    <t>Invoice: TMP-INV-2026/06/06/ 2825306
1x SALONPAS Hisamitsu Tarik Barang Retur</t>
  </si>
  <si>
    <t>AWBR-3318607077-01</t>
  </si>
  <si>
    <t>Pickup Return, wajib bawa form BA Return. Bilang ke Apotek “mau tarik barang”. Jika tidak ada barang, tulis keterangan “tidak ada barang retur” di form BA Invoice: TMP-INV-2026/06/06/ 2825306
1x SALONPAS Hisamitsu Tarik Barang Retur</t>
  </si>
  <si>
    <t>AWBR-3318653267</t>
  </si>
  <si>
    <t>TMP-INV-2026/06/08/ 2829624</t>
  </si>
  <si>
    <t>Apotek Kita Sehat Bayalangu Gegesik Kidul Gegesik</t>
  </si>
  <si>
    <t>Jl. Arjawinangun Jagapura Desa Gegesik Kidul Kec. Gegesik Kab Cirebon</t>
  </si>
  <si>
    <t>Invoice: TMP-INV-2026/06/08/ 2829624
1x PHARMATON GO Saka KAPLET Tarik Barang Retur</t>
  </si>
  <si>
    <t>AWBR-3318653267-01</t>
  </si>
  <si>
    <t>Pickup Return, wajib bawa form BA Return. Bilang ke Apotek “mau tarik barang”. Jika tidak ada barang, tulis keterangan “tidak ada barang retur” di form BA Invoice: TMP-INV-2026/06/08/ 2829624
1x PHARMATON GO Saka KAPLET Tarik Barang Retur</t>
  </si>
  <si>
    <t>AWBR-3319146615</t>
  </si>
  <si>
    <t>TMP-INV-2026/06/03/ 2813743</t>
  </si>
  <si>
    <t>Invoice: TMP-INV-2026/06/03/ 2813743
6x AMLODIPINE BESILATE Novell TABLET 5 MG Tarik Barang Retur</t>
  </si>
  <si>
    <t>AWBR-3319146615-01</t>
  </si>
  <si>
    <t>Pickup Return, wajib bawa form BA Return. Bilang ke Apotek “mau tarik barang”. Jika tidak ada barang, tulis keterangan “tidak ada barang retur” di form BA Invoice: TMP-INV-2026/06/03/ 2813743
6x AMLODIPINE BESILATE Novell TABLET 5 MG Tarik Barang Retur</t>
  </si>
  <si>
    <t>AWBR-3319140600</t>
  </si>
  <si>
    <t>TMP-INV-2026/06/02/ 2809159</t>
  </si>
  <si>
    <t>Apotek Sehat Bersama 4 Jatimakmur Pd Gede</t>
  </si>
  <si>
    <t>Jl Raya Jati Makmur, Ruko Pesona Taman Mini Blok B1 no 7 RT 001 RW 23, Desa/Kel. Jatimakmur, Kec. Pondokgede, Kota Bekasi</t>
  </si>
  <si>
    <t>Invoice: TMP-INV-2026/06/02/ 2809159
1x INPEPSA Pratapa Nirmala SUSPENSI 500 MG/5 ML Tarik Barang Retur</t>
  </si>
  <si>
    <t>AWBR-3319140600-01</t>
  </si>
  <si>
    <t>Pickup Return, wajib bawa form BA Return. Bilang ke Apotek “mau tarik barang”. Jika tidak ada barang, tulis keterangan “tidak ada barang retur” di form BA Invoice: TMP-INV-2026/06/02/ 2809159
1x INPEPSA Pratapa Nirmala SUSPENSI 500 MG/5 ML Tarik Barang Retur</t>
  </si>
  <si>
    <t>AWBR-3319128626</t>
  </si>
  <si>
    <t>TMP-INV-2026/05/04/ 2707587</t>
  </si>
  <si>
    <t>Invoice: TMP-INV-2026/05/04/ 2707587
3x MINYAK ANGIN CAP KAPAK Yahi Utama Tarik Barang Retur</t>
  </si>
  <si>
    <t>AWBR-3319128626-01</t>
  </si>
  <si>
    <t>Pickup Return, wajib bawa form BA Return. Bilang ke Apotek “mau tarik barang”. Jika tidak ada barang, tulis keterangan “tidak ada barang retur” di form BA Invoice: TMP-INV-2026/05/04/ 2707587
3x MINYAK ANGIN CAP KAPAK Yahi Utama Tarik Barang Retur</t>
  </si>
  <si>
    <t>AWBR-3318584545</t>
  </si>
  <si>
    <t>TMP-INV-2026/06/10/ 2838639</t>
  </si>
  <si>
    <t>Apotek K24 Bintara Bekasi Bintara Bekasi Barat</t>
  </si>
  <si>
    <t>Jln Raya Bintara No 5 RT 001 RW 008, Desa/Kelurahan Bintara, Kec. Bekasi Barat, Kota Bekasi</t>
  </si>
  <si>
    <t>Invoice: TMP-INV-2026/06/10/ 2838639
5x MINOSEP MILD Minorock OBAT KUMUR
6x MINOSEP MILD Minorock OBAT KUMUR Tarik Barang Retur</t>
  </si>
  <si>
    <t>AWBR-3318584545-01</t>
  </si>
  <si>
    <t>Pickup Return, wajib bawa form BA Return. Bilang ke Apotek “mau tarik barang”. Jika tidak ada barang, tulis keterangan “tidak ada barang retur” di form BA Invoice: TMP-INV-2026/06/10/ 2838639
5x MINOSEP MILD Minorock OBAT KUMUR
6x MINOSEP MILD Minorock OBAT KUMUR Tarik Barang Retur</t>
  </si>
  <si>
    <t>AWBR-3319086144</t>
  </si>
  <si>
    <t>AWBR-3319086144-01</t>
  </si>
  <si>
    <t>AWBR-3318596663</t>
  </si>
  <si>
    <t>TMP-INV-2026/06/09/ 2833122</t>
  </si>
  <si>
    <t>Apotek Sumber Sehat 3</t>
  </si>
  <si>
    <t>Jl Perjuangan No.6 Kel. Karyamulya, Kec. Kesambi, Kota Cirebon, Jawa Barat 45135</t>
  </si>
  <si>
    <t>Invoice: TMP-INV-2026/06/09/ 2833122
5x MINOSEP RED Minorock OBAT KUMUR Tarik Barang Retur</t>
  </si>
  <si>
    <t>AWBR-3318596663-01</t>
  </si>
  <si>
    <t>Pickup Return, wajib bawa form BA Return. Bilang ke Apotek “mau tarik barang”. Jika tidak ada barang, tulis keterangan “tidak ada barang retur” di form BA Invoice: TMP-INV-2026/06/09/ 2833122
5x MINOSEP RED Minorock OBAT KUMUR Tarik Barang Retur</t>
  </si>
  <si>
    <t>AWBR-3319151613</t>
  </si>
  <si>
    <t>TMP-INV-2025/09/24/ 1959478</t>
  </si>
  <si>
    <t>Invoice: TMP-INV-2025/09/24/ 1959478
1x LACTOGEN LACTOSE FREE Nestle Tarik Barang Retur</t>
  </si>
  <si>
    <t>AWBR-3319151613-01</t>
  </si>
  <si>
    <t>Pickup Return, wajib bawa form BA Return. Bilang ke Apotek “mau tarik barang”. Jika tidak ada barang, tulis keterangan “tidak ada barang retur” di form BA Invoice: TMP-INV-2025/09/24/ 1959478
1x LACTOGEN LACTOSE FREE Nestle Tarik Barang Retur</t>
  </si>
  <si>
    <t>AWBR-3319148242</t>
  </si>
  <si>
    <t>TMP-INV-2026/06/03/ 2813789</t>
  </si>
  <si>
    <t>Klinik dr Hurus Pancoran Mas Pancoran Mas</t>
  </si>
  <si>
    <t>Jl. Pitara Raya No 06 RT 003 RW 015 Kel. Pancoran Mas Kec. Pancoran Mas Kota Depok</t>
  </si>
  <si>
    <t>Invoice: TMP-INV-2026/06/03/ 2813789
15x GRAFAMIC Graha Farma KAPLET 500 MG Tarik Barang Retur</t>
  </si>
  <si>
    <t>AWBR-3319148242-01</t>
  </si>
  <si>
    <t>Pickup Return, wajib bawa form BA Return. Bilang ke Apotek “mau tarik barang”. Jika tidak ada barang, tulis keterangan “tidak ada barang retur” di form BA Invoice: TMP-INV-2026/06/03/ 2813789
15x GRAFAMIC Graha Farma KAPLET 500 MG Tarik Barang Retur</t>
  </si>
  <si>
    <t>AWBR-3319134197</t>
  </si>
  <si>
    <t>TMP-INV-2026/06/06/ 2825662</t>
  </si>
  <si>
    <t>Apotek Cemara Sehat Grogol Limo</t>
  </si>
  <si>
    <t>Jl. Cemara No. 10 RT. 003 RW. 007, Desa/Kelurahan Grogol, Kecamatan Limo, Kota Depok</t>
  </si>
  <si>
    <t>Invoice: TMP-INV-2026/06/06/ 2825662
Full Return Tarik Barang Retur</t>
  </si>
  <si>
    <t>AWBR-3319134197-01</t>
  </si>
  <si>
    <t>Pickup Return, wajib bawa form BA Return. Bilang ke Apotek “mau tarik barang”. Jika tidak ada barang, tulis keterangan “tidak ada barang retur” di form BA Invoice: TMP-INV-2026/06/06/ 2825662
Full Return Tarik Barang Retur</t>
  </si>
  <si>
    <t>AWBR-3319085619</t>
  </si>
  <si>
    <t>TMP-INV-2026/06/11/ 2843855</t>
  </si>
  <si>
    <t>Invoice: TMP-INV-2026/06/11/ 2843855
11x BALSEM LANG Eagle Indo Tarik Barang Retur</t>
  </si>
  <si>
    <t>AWBR-3319085619-01</t>
  </si>
  <si>
    <t>Pickup Return, wajib bawa form BA Return. Bilang ke Apotek “mau tarik barang”. Jika tidak ada barang, tulis keterangan “tidak ada barang retur” di form BA Invoice: TMP-INV-2026/06/11/ 2843855
11x BALSEM LANG Eagle Indo Tarik Barang Retur</t>
  </si>
  <si>
    <t>AWBR-3318585636</t>
  </si>
  <si>
    <t>TMP-INV-2025/08/26/ 1868379</t>
  </si>
  <si>
    <t>Invoice: TMP-INV-2025/08/26/ 1868379
2x STIMUNO RASA ANGGUR Dexa Medica SIRUP Tarik Barang Retur</t>
  </si>
  <si>
    <t>AWBR-3318585636-01</t>
  </si>
  <si>
    <t>Pickup Return, wajib bawa form BA Return. Bilang ke Apotek “mau tarik barang”. Jika tidak ada barang, tulis keterangan “tidak ada barang retur” di form BA Invoice: TMP-INV-2025/08/26/ 1868379
2x STIMUNO RASA ANGGUR Dexa Medica SIRUP Tarik Barang Retur</t>
  </si>
  <si>
    <t>AWBR-14016-2026-6-13</t>
  </si>
  <si>
    <t>TMP-INV-2026/06/12/ 2844600</t>
  </si>
  <si>
    <t>Apotek Inofarma Fajar Baru</t>
  </si>
  <si>
    <t>Jl. Fajar Baru Selatan No. 70, RT 12 RW 12, Kel. Cengkareng Timur, Kec. Cengkareng Kota, Jakarta Barat</t>
  </si>
  <si>
    <t>TMP-INV-2026/06/12/ 2844600 SURBEX Z Abbott TABLET DUS, 5 STRIP @ 6 TABLET SALUT SELAPUT Tarik Barang Retur</t>
  </si>
  <si>
    <t>AWBR-14016-2026-6-13-01</t>
  </si>
  <si>
    <t>Pickup Return, wajib bawa form BA Return. Bilang ke Apotek “mau tarik barang”. Jika tidak ada barang, tulis keterangan “tidak ada barang retur” di form BA TMP-INV-2026/06/12/ 2844600 SURBEX Z Abbott TABLET DUS, 5 STRIP @ 6 TABLET SALUT SELAPUT Tarik Barang Retur</t>
  </si>
  <si>
    <t>AWBR-14002-2026-6-13</t>
  </si>
  <si>
    <t>TMP-INV-2026/06/11/ 2844375</t>
  </si>
  <si>
    <t>Apotek Inofarma Kayu Manis</t>
  </si>
  <si>
    <t>Jl. Kayu Manis RT 06 RW 05, Balekambang, Kec. Kramat Jati Kota Jakarta Timur</t>
  </si>
  <si>
    <t>TMP-INV-2026/06/11/ 2844375 SELECTION FACIAL COTTON PACK @ 50 GRAM Tarik Barang Damaged</t>
  </si>
  <si>
    <t>AWBR-14002-2026-6-13-01</t>
  </si>
  <si>
    <t>Pickup Return, wajib bawa form BA Return. Bilang ke Apotek “mau tarik barang”. Jika tidak ada barang, tulis keterangan “tidak ada barang retur” di form BA TMP-INV-2026/06/11/ 2844375 SELECTION FACIAL COTTON PACK @ 50 GRAM Tarik Barang Damaged</t>
  </si>
  <si>
    <t>AWBR-14007-2026-6-13</t>
  </si>
  <si>
    <t>TMP-INV-2026/06/11/ 2844565</t>
  </si>
  <si>
    <t>Apotek Inofarma Koja</t>
  </si>
  <si>
    <t>Jln. Walang Baru V No. 10 D, RT 001/RW 007, Tugu Utara, Koja, Jakarta Utara</t>
  </si>
  <si>
    <t>TMP-INV-2026/06/11/ 2844565 ANTANGIN MINT Deltomed SIRUP DUS, 12 SACHET @ 15 ML Tarik Barang Retur</t>
  </si>
  <si>
    <t>AWBR-14007-2026-6-13-01</t>
  </si>
  <si>
    <t>Pickup Return, wajib bawa form BA Return. Bilang ke Apotek “mau tarik barang”. Jika tidak ada barang, tulis keterangan “tidak ada barang retur” di form BA TMP-INV-2026/06/11/ 2844565 ANTANGIN MINT Deltomed SIRUP DUS, 12 SACHET @ 15 ML Tarik Barang Retur</t>
  </si>
  <si>
    <t>AWBR-14029-2026-6-13</t>
  </si>
  <si>
    <t>TMP-INV-2026/05/18/ 2758846</t>
  </si>
  <si>
    <t>TMP-INV-2026/05/18/ 2758846 ANAKONIDIN Konimex SIRUP DUS, BOTOL @ 60 ML Tarik Barang Damaged</t>
  </si>
  <si>
    <t>AWBR-14029-2026-6-13-01</t>
  </si>
  <si>
    <t>Pickup Return, wajib bawa form BA Return. Bilang ke Apotek “mau tarik barang”. Jika tidak ada barang, tulis keterangan “tidak ada barang retur” di form BA TMP-INV-2026/05/18/ 2758846 ANAKONIDIN Konimex SIRUP DUS, BOTOL @ 60 ML Tarik Barang Damaged</t>
  </si>
  <si>
    <t>AWBR-3320011842</t>
  </si>
  <si>
    <t>TMP-INV-2026/05/30/ 2799171</t>
  </si>
  <si>
    <t>Apotek Sehat Krendang</t>
  </si>
  <si>
    <t>Jalan Kampung Krendang 28 RT 005 RW 007 Kelurahan Krendang Kecamatan Tambora Jakarta Barat 11260</t>
  </si>
  <si>
    <t>Invoice: TMP-INV-2026/05/30/ 2799171
2x RENOVIT GOLD Konimex KAPLET Tarik Barang Retur</t>
  </si>
  <si>
    <t>AWBR-3320011842-01</t>
  </si>
  <si>
    <t>Pickup Return, wajib bawa form BA Return. Bilang ke Apotek “mau tarik barang”. Jika tidak ada barang, tulis keterangan “tidak ada barang retur” di form BA Invoice: TMP-INV-2026/05/30/ 2799171
2x RENOVIT GOLD Konimex KAPLET Tarik Barang Retur</t>
  </si>
  <si>
    <t>AWBR-3319775475</t>
  </si>
  <si>
    <t>TMP-INV-2026/06/13/ 2850409</t>
  </si>
  <si>
    <t>Klinik Utama Rawat Jalan Luvia</t>
  </si>
  <si>
    <t>Jalan Pramuka Raya No. A 394, Kelurahan Paseban, Kecamatan Senen, Jakarta Pusat, DKI Jakarta 10440</t>
  </si>
  <si>
    <t>Invoice: TMP-INV-2026/06/13/ 2850409
1x LACIDOFIL Dexa Medica SERBUK Tarik Barang Retur</t>
  </si>
  <si>
    <t>AWBR-3319775475-01</t>
  </si>
  <si>
    <t>Pickup Return, wajib bawa form BA Return. Bilang ke Apotek “mau tarik barang”. Jika tidak ada barang, tulis keterangan “tidak ada barang retur” di form BA Invoice: TMP-INV-2026/06/13/ 2850409
1x LACIDOFIL Dexa Medica SERBUK Tarik Barang Retur</t>
  </si>
  <si>
    <t>AWBR-3319427700</t>
  </si>
  <si>
    <t>TMP-INV-2026/06/11/ 2843675</t>
  </si>
  <si>
    <t>Invoice: TMP-INV-2026/06/11/ 2843675
10x ONEMED KASA STERIL Jayamas Medica Tarik Barang Retur</t>
  </si>
  <si>
    <t>AWBR-3319427700-01</t>
  </si>
  <si>
    <t>Pickup Return, wajib bawa form BA Return. Bilang ke Apotek “mau tarik barang”. Jika tidak ada barang, tulis keterangan “tidak ada barang retur” di form BA Invoice: TMP-INV-2026/06/11/ 2843675
10x ONEMED KASA STERIL Jayamas Medica Tarik Barang Retur</t>
  </si>
  <si>
    <t>AWBR-3319725230</t>
  </si>
  <si>
    <t>TMP-INV-2025/02/13/ 1352601</t>
  </si>
  <si>
    <t>Invoice: TMP-INV-2025/02/13/ 1352601
2x IMBOOST FORCE KIDS Soho SIRUP Tarik Barang Retur</t>
  </si>
  <si>
    <t>AWBR-3319725230-01</t>
  </si>
  <si>
    <t>Pickup Return, wajib bawa form BA Return. Bilang ke Apotek “mau tarik barang”. Jika tidak ada barang, tulis keterangan “tidak ada barang retur” di form BA Invoice: TMP-INV-2025/02/13/ 1352601
2x IMBOOST FORCE KIDS Soho SIRUP Tarik Barang Retur</t>
  </si>
  <si>
    <t>AWBR-3319719271</t>
  </si>
  <si>
    <t>TMP-INV-2026/06/10/ 2839343</t>
  </si>
  <si>
    <t>Apotek Karomah Kalisari Pasar Rebo</t>
  </si>
  <si>
    <t>Jl. Kalisari, Desa/Kel. Kalisari, Kec. Pasar Rebo, Kota Adm. Jakarta Timur</t>
  </si>
  <si>
    <t>Invoice: TMP-INV-2026/06/10/ 2839343
1x ATORVASTATIN CALCIUM TRIHYDRATE Dexa Medica TABLET 20 MG
----------------------------------------
Invoice: TMP-INV-2026/06/12/ 2847080
Full Return Tarik Barang Retur</t>
  </si>
  <si>
    <t>AWBR-3319719271-01</t>
  </si>
  <si>
    <t>Pickup Return, wajib bawa form BA Return. Bilang ke Apotek “mau tarik barang”. Jika tidak ada barang, tulis keterangan “tidak ada barang retur” di form BA Invoice: TMP-INV-2026/06/10/ 2839343
1x ATORVASTATIN CALCIUM TRIHYDRATE Dexa Medica TABLET 20 MG
----------------------------------------
Invoice: TMP-INV-2026/06/12/ 2847080
Full Return Tarik Barang Retur</t>
  </si>
  <si>
    <t>AWBR-3319700320</t>
  </si>
  <si>
    <t>TMP-INV-2026/06/11/ 2843077</t>
  </si>
  <si>
    <t>Apotek Rami Farma Cipinang Besar Selatan Jatinegara</t>
  </si>
  <si>
    <t>Jl. Jend. Basuki Rachmat No.8 RT/RW: 003/006, Cipinang Besar Selatan, Kec. Jatinegara Kota Jakarta Timur</t>
  </si>
  <si>
    <t>Invoice: TMP-INV-2026/06/11/ 2843077
1x APOLAR Actavis KRIM
1x BLACKMORES MULTIVITAMINS + MINERALS Kalbe
1x BLACKMORES MULTIVITAMINS + MINERALS Kalbe
1x DEGIROL Darya-Varia TABLET HISAP 0.25 MG
1x LASAL 2 Lapi KAPSUL
1x MEFINAL 500 Sanbe KAPLET 500 MG
1x REDOXON TRIPLE ACTION ORANGE Bayer TABLET EFFERVESCENT
----------------------------------------
Invoice: TMP-INV-2026/06/11/ 2843077
1x VICKS VAPORUB Darya-Varia Tarik Barang Retur</t>
  </si>
  <si>
    <t>AWBR-3319700320-01</t>
  </si>
  <si>
    <t>Pickup Return, wajib bawa form BA Return. Bilang ke Apotek “mau tarik barang”. Jika tidak ada barang, tulis keterangan “tidak ada barang retur” di form BA Invoice: TMP-INV-2026/06/11/ 2843077
1x APOLAR Actavis KRIM
1x BLACKMORES MULTIVITAMINS + MINERALS Kalbe
1x BLACKMORES MULTIVITAMINS + MINERALS Kalbe
1x DEGIROL Darya-Varia TABLET HISAP 0.25 MG
1x LASAL 2 Lapi KAPSUL
1x MEFINAL 500 Sanbe KAPLET 500 MG
1x REDOXON TRIPLE ACTION ORANGE Bayer TABLET EFFERVESCENT
----------------------------------------
Invoice: TMP-INV-2026/06/11/ 2843077
1x VICKS VAPORUB Darya-Varia Tarik Barang Retur</t>
  </si>
  <si>
    <t>AWBR-3319963512</t>
  </si>
  <si>
    <t>TMP-INV-2026/06/13/ 2850256</t>
  </si>
  <si>
    <t>Apotek Senja Farma 2 Segara Jaya Tarumajaya</t>
  </si>
  <si>
    <t>Ruko Descada Blok RSC 16 No. 15-16 Segara City,Desa/Kelurahan Segarajaya, Kecamatan Tarumajaya, Kabupaten Bekasi,Jawa Barat,17218</t>
  </si>
  <si>
    <t>Invoice: TMP-INV-2026/06/13/ 2850256
1x IMBOOST Soho TABLET Tarik Barang Retur</t>
  </si>
  <si>
    <t>AWBR-3319963512-01</t>
  </si>
  <si>
    <t>Pickup Return, wajib bawa form BA Return. Bilang ke Apotek “mau tarik barang”. Jika tidak ada barang, tulis keterangan “tidak ada barang retur” di form BA Invoice: TMP-INV-2026/06/13/ 2850256
1x IMBOOST Soho TABLET Tarik Barang Retur</t>
  </si>
  <si>
    <t>AWBR-3319749236</t>
  </si>
  <si>
    <t>TMP-INV-2026/05/30/ 2798961</t>
  </si>
  <si>
    <t>Invoice: TMP-INV-2026/05/30/ 2798961
2x BUFACOMB Bufa KRIM Tarik Barang Retur</t>
  </si>
  <si>
    <t>AWBR-3319749236-01</t>
  </si>
  <si>
    <t>Pickup Return, wajib bawa form BA Return. Bilang ke Apotek “mau tarik barang”. Jika tidak ada barang, tulis keterangan “tidak ada barang retur” di form BA Invoice: TMP-INV-2026/05/30/ 2798961
2x BUFACOMB Bufa KRIM Tarik Barang Retur</t>
  </si>
  <si>
    <t>AWBR-3319694782</t>
  </si>
  <si>
    <t>TMP-INV-2026/06/11/ 2843406</t>
  </si>
  <si>
    <t>Apotek Nobel</t>
  </si>
  <si>
    <t>Jalan Pahlawan Sabeki/Gang Noble Kp. Pondok Manggis RT 03 RW 02 Desa Bojong Baru Kecamatan Bojong Gede Kabupaten Bogor 16920</t>
  </si>
  <si>
    <t>Invoice: TMP-INV-2026/06/11/ 2843406
2x THROMBOPHOB Tunggal Idaman SALEP Tarik Barang Retur</t>
  </si>
  <si>
    <t>AWBR-3319694782-01</t>
  </si>
  <si>
    <t>Pickup Return, wajib bawa form BA Return. Bilang ke Apotek “mau tarik barang”. Jika tidak ada barang, tulis keterangan “tidak ada barang retur” di form BA Invoice: TMP-INV-2026/06/11/ 2843406
2x THROMBOPHOB Tunggal Idaman SALEP Tarik Barang Retur</t>
  </si>
  <si>
    <t>AWBR-3320027639</t>
  </si>
  <si>
    <t>TMP-INV-2026/06/13/ 2851486</t>
  </si>
  <si>
    <t>Invoice: TMP-INV-2026/06/13/ 2851486
Full Return
----------------------------------------
Invoice: TMP-INV-2026/06/13/ 2851663
Full Return Tarik Barang Retur</t>
  </si>
  <si>
    <t>AWBR-3320027639-01</t>
  </si>
  <si>
    <t>Pickup Return, wajib bawa form BA Return. Bilang ke Apotek “mau tarik barang”. Jika tidak ada barang, tulis keterangan “tidak ada barang retur” di form BA Invoice: TMP-INV-2026/06/13/ 2851486
Full Return
----------------------------------------
Invoice: TMP-INV-2026/06/13/ 2851663
Full Return Tarik Barang Retur</t>
  </si>
  <si>
    <t>AWBR-3319961992</t>
  </si>
  <si>
    <t>TMP-INV-2026/06/13/ 2851509</t>
  </si>
  <si>
    <t>Invoice: TMP-INV-2026/06/13/ 2851509
3x IMBOOST FORCE COUGH KIDS Soho CAIRAN ORAL Tarik Barang Retur</t>
  </si>
  <si>
    <t>AWBR-3319961992-01</t>
  </si>
  <si>
    <t>Pickup Return, wajib bawa form BA Return. Bilang ke Apotek “mau tarik barang”. Jika tidak ada barang, tulis keterangan “tidak ada barang retur” di form BA Invoice: TMP-INV-2026/06/13/ 2851509
3x IMBOOST FORCE COUGH KIDS Soho CAIRAN ORAL Tarik Barang Retur</t>
  </si>
  <si>
    <t>AWBR-3319433560</t>
  </si>
  <si>
    <t>TMP-INV-2026/06/11/ 2841901</t>
  </si>
  <si>
    <t>Apotek Kondang Sehat Sejahtera</t>
  </si>
  <si>
    <t>Jalan Jati Kubang C 20 No.14 RT 004 RW 005 Desa Mekarsari Kecamatan Tambun Selatan Bekasi 17510</t>
  </si>
  <si>
    <t>Invoice: TMP-INV-2026/06/11/ 2841901
2x HANSAPLAST SALEP LUKA Beiersdorf Tarik Barang Retur</t>
  </si>
  <si>
    <t>AWBR-3319433560-01</t>
  </si>
  <si>
    <t>Pickup Return, wajib bawa form BA Return. Bilang ke Apotek “mau tarik barang”. Jika tidak ada barang, tulis keterangan “tidak ada barang retur” di form BA Invoice: TMP-INV-2026/06/11/ 2841901
2x HANSAPLAST SALEP LUKA Beiersdorf Tarik Barang Retur</t>
  </si>
  <si>
    <t>AWBR-3319979842</t>
  </si>
  <si>
    <t>TMP-INV-2026/06/13/ 2851662</t>
  </si>
  <si>
    <t>Invoice: TMP-INV-2026/06/13/ 2851662
2x ETAWALIN SEREAL BUBUK RASA JAHE Tarik Barang Retur</t>
  </si>
  <si>
    <t>AWBR-3319979842-01</t>
  </si>
  <si>
    <t>Pickup Return, wajib bawa form BA Return. Bilang ke Apotek “mau tarik barang”. Jika tidak ada barang, tulis keterangan “tidak ada barang retur” di form BA Invoice: TMP-INV-2026/06/13/ 2851662
2x ETAWALIN SEREAL BUBUK RASA JAHE Tarik Barang Retur</t>
  </si>
  <si>
    <t>AWBR-3319962581</t>
  </si>
  <si>
    <t>TMP-INV-2026/06/13/ 2851505</t>
  </si>
  <si>
    <t>Apotek Palito Farma</t>
  </si>
  <si>
    <t>Jl. Raden Sanim, Ko - Lemirage Compound A6, RT. 002/RW. 011, Kelurahan Tanah Baru, Kecamatan Beji, Depok, Jawa Barat 16426</t>
  </si>
  <si>
    <t>Invoice: TMP-INV-2026/06/13/ 2851505
3x DOHIXAT Ifars KAPSUL 100 MG Tarik Barang Retur</t>
  </si>
  <si>
    <t>AWBR-3319962581-01</t>
  </si>
  <si>
    <t>Pickup Return, wajib bawa form BA Return. Bilang ke Apotek “mau tarik barang”. Jika tidak ada barang, tulis keterangan “tidak ada barang retur” di form BA Invoice: TMP-INV-2026/06/13/ 2851505
3x DOHIXAT Ifars KAPSUL 100 MG Tarik Barang Retur</t>
  </si>
  <si>
    <t>AWBR-3319960107</t>
  </si>
  <si>
    <t>TMP-INV-2026/06/13/ 2851665</t>
  </si>
  <si>
    <t>Invoice: TMP-INV-2026/06/13/ 2851665
1x OM3HEART 600 OMEGA 3 MYWELL Ultrasakti KAPSUL Tarik Barang Retur</t>
  </si>
  <si>
    <t>AWBR-3319960107-01</t>
  </si>
  <si>
    <t>Pickup Return, wajib bawa form BA Return. Bilang ke Apotek “mau tarik barang”. Jika tidak ada barang, tulis keterangan “tidak ada barang retur” di form BA Invoice: TMP-INV-2026/06/13/ 2851665
1x OM3HEART 600 OMEGA 3 MYWELL Ultrasakti KAPSUL Tarik Barang Retur</t>
  </si>
  <si>
    <t>AWBR-3319958888</t>
  </si>
  <si>
    <t>TMP-INV-2026/06/13/ 2851569</t>
  </si>
  <si>
    <t>Apotek K24 Kelapa Dua</t>
  </si>
  <si>
    <t>Jalan Kelapa Dua Raya (RTM) No.17 C RT 002 RW 0011 Kelurahan Tugu Kecamatan Cimanggis Depok 16451</t>
  </si>
  <si>
    <t>Invoice: TMP-INV-2026/06/13/ 2851569
1x DISOLF Dexa Medica TABLET 490 MG (ED DEKAT - EXTRA DISC) Tarik Barang Retur</t>
  </si>
  <si>
    <t>AWBR-3319958888-01</t>
  </si>
  <si>
    <t>Pickup Return, wajib bawa form BA Return. Bilang ke Apotek “mau tarik barang”. Jika tidak ada barang, tulis keterangan “tidak ada barang retur” di form BA Invoice: TMP-INV-2026/06/13/ 2851569
1x DISOLF Dexa Medica TABLET 490 MG (ED DEKAT - EXTRA DISC) Tarik Barang Retur</t>
  </si>
  <si>
    <t>AWBR-3319763653</t>
  </si>
  <si>
    <t>TMP-INV-2026/06/12/ 2845673</t>
  </si>
  <si>
    <t>Apotek Fatih Farma Arjosari Blimbing</t>
  </si>
  <si>
    <t>Jl. Teluk Etna No. 63,Desa/Kelurahan Arjosari, Kecamatan Blimbing, Kota Malang, Jawa Timur, 65126</t>
  </si>
  <si>
    <t>Invoice: TMP-INV-2026/06/12/ 2845673
2x IMBOOST KIDS Soho SIRUP Tarik Barang Retur</t>
  </si>
  <si>
    <t>AWBR-3319763653-01</t>
  </si>
  <si>
    <t>Pickup Return, wajib bawa form BA Return. Bilang ke Apotek “mau tarik barang”. Jika tidak ada barang, tulis keterangan “tidak ada barang retur” di form BA TMP-INV-2026/06/12/ 2845673
2x IMBOOST KIDS Soho SIRUP Tarik Barang Retur</t>
  </si>
  <si>
    <t>AWBR-3320229194</t>
  </si>
  <si>
    <t>TMP-INV-2026/06/12/ 2848428</t>
  </si>
  <si>
    <t>Apotek Kalisidi Sehat Kalisidi Ungaran Barat</t>
  </si>
  <si>
    <t>RT 05 RW 06, Desa Kalisidi, Kecamatan Ungaran Barat, Kabupaten Semarang, Jawa Tengah, 50519</t>
  </si>
  <si>
    <t>Invoice: TMP-INV-2026/06/12/ 2848428
1x LACTO-B Novell SERBUK
----------------------------------------
Invoice: TMP-INV-2026/06/13/ 2848871
2x ASEPSO PLUS Pan Pacific SABUN BATANG Tarik Barang Retur</t>
  </si>
  <si>
    <t>AWBR-3320229194-01</t>
  </si>
  <si>
    <t>Pickup Return, wajib bawa form BA Return. Bilang ke Apotek “mau tarik barang”. Jika tidak ada barang, tulis keterangan “tidak ada barang retur” di form BA Invoice: TMP-INV-2026/06/12/ 2848428
1x LACTO-B Novell SERBUK
----------------------------------------
Invoice: TMP-INV-2026/06/13/ 2848871
2x ASEPSO PLUS Pan Pacific SABUN BATANG Tarik Barang Retur</t>
  </si>
  <si>
    <t>AWBR-3320283979</t>
  </si>
  <si>
    <t>TMP-INV-2026/06/11/ 2844105</t>
  </si>
  <si>
    <t>Invoice: TMP-INV-2026/06/11/ 2844105
10x GUANISTREP Itrasal SUSPENSI Tarik Barang Retur</t>
  </si>
  <si>
    <t>AWBR-3320283979-01</t>
  </si>
  <si>
    <t>Pickup Return, wajib bawa form BA Return. Bilang ke Apotek “mau tarik barang”. Jika tidak ada barang, tulis keterangan “tidak ada barang retur” di form BA Invoice: TMP-INV-2026/06/11/ 2844105
10x GUANISTREP Itrasal SUSPENSI Tarik Barang Retur</t>
  </si>
  <si>
    <t>AWBR-3320300143</t>
  </si>
  <si>
    <t>TMP-INV-2025/08/23/ 1857429</t>
  </si>
  <si>
    <t>Apotek Prima Medika Jelambar Baru Grogol Petamburan</t>
  </si>
  <si>
    <t>Jl.Jelambar Utama Raya No.81 RT.003 / RW.004,Desa/Kelurahan Jelambar Baru,Kec.Grogol Petamburan, Kota.Jakarta Barat</t>
  </si>
  <si>
    <t>Invoice: TMP-INV-2025/08/23/ 1857429
1x YOUVIT MULTIVITAMIN GUMMY RASA STRAWBERRY, GOJIBERRY, CANBERRY, RASPBERRY, BLUEBERRY Yupi - DUS Tarik Barang Retur</t>
  </si>
  <si>
    <t>AWBR-3320300143-01</t>
  </si>
  <si>
    <t>Pickup Return, wajib bawa form BA Return. Bilang ke Apotek “mau tarik barang”. Jika tidak ada barang, tulis keterangan “tidak ada barang retur” di form BA Invoice: TMP-INV-2025/08/23/ 1857429
1x YOUVIT MULTIVITAMIN GUMMY RASA STRAWBERRY, GOJIBERRY, CANBERRY, RASPBERRY, BLUEBERRY Yupi - DUS Tarik Barang Retur</t>
  </si>
  <si>
    <t>AWBR-3320285363</t>
  </si>
  <si>
    <t>TMP-INV-2026/06/12/ 2846363</t>
  </si>
  <si>
    <t>Apotek KEJ Ps Manggis Setiabudi</t>
  </si>
  <si>
    <t>Jalan Minangkabau no. 17B Blok E. Persil no 10,Desa/Kelurahan Pasar Manggis,Kecamatan Setiabudi,Kota Adm. Jakarta Selatan,DKI Jakarta,12970</t>
  </si>
  <si>
    <t>Invoice: TMP-INV-2026/06/12/ 2846363
Full Return Tarik Barang Retur</t>
  </si>
  <si>
    <t>AWBR-3320285363-01</t>
  </si>
  <si>
    <t>Pickup Return, wajib bawa form BA Return. Bilang ke Apotek “mau tarik barang”. Jika tidak ada barang, tulis keterangan “tidak ada barang retur” di form BA Invoice: TMP-INV-2026/06/12/ 2846363
Full Return Tarik Barang Retur</t>
  </si>
  <si>
    <t>AWBR-3320247233</t>
  </si>
  <si>
    <t>TMP-INV-2024/05/22/ 796137</t>
  </si>
  <si>
    <t>Invoice: TMP-INV-2024/05/22/ 796137
5x PANADOL ANAK-ANAK Gsk TABLET KUNYAH 120 MG Tarik Barang Retur</t>
  </si>
  <si>
    <t>AWBR-3320247233-01</t>
  </si>
  <si>
    <t>Pickup Return, wajib bawa form BA Return. Bilang ke Apotek “mau tarik barang”. Jika tidak ada barang, tulis keterangan “tidak ada barang retur” di form BA Invoice: TMP-INV-2024/05/22/ 796137
5x PANADOL ANAK-ANAK Gsk TABLET KUNYAH 120 MG Tarik Barang Retur</t>
  </si>
  <si>
    <t>AWBR-3320298802</t>
  </si>
  <si>
    <t>TMP-INV-2025/07/03/ 1709505</t>
  </si>
  <si>
    <t>Apotek GM Pharma Cipayung Cipayung</t>
  </si>
  <si>
    <t>Jl. Raya Setu Cipayung No. 17C, Desa/Kelurahan Cipayung, Kec. Cipayung, Kota Adm. Jakarta Timur</t>
  </si>
  <si>
    <t>Invoice: TMP-INV-2025/07/03/ 1709505
1x BLACKMORES HEALTHY JOINTS Kalbe TABLET Tarik Barang Retur</t>
  </si>
  <si>
    <t>AWBR-3320298802-01</t>
  </si>
  <si>
    <t>Pickup Return, wajib bawa form BA Return. Bilang ke Apotek “mau tarik barang”. Jika tidak ada barang, tulis keterangan “tidak ada barang retur” di form BA Invoice: TMP-INV-2025/07/03/ 1709505
1x BLACKMORES HEALTHY JOINTS Kalbe TABLET Tarik Barang Retur</t>
  </si>
  <si>
    <t>AWBR-3320202550</t>
  </si>
  <si>
    <t>TMP-INV-2026/06/14/ 2852728</t>
  </si>
  <si>
    <t>Apotek Cemerlang Rawamangun</t>
  </si>
  <si>
    <t>Jalan Pinang Raya No.53A, RT 02 RW 08 Kelurahan Rawamangun, Kecamatan Pulo Gadung Jakarta Timur,13220</t>
  </si>
  <si>
    <t>Invoice: TMP-INV-2026/06/14/ 2852728
1x LESICHOL-600 Pertiwi Agung KAPSUL Tarik Barang Retur</t>
  </si>
  <si>
    <t>AWBR-3320202550-01</t>
  </si>
  <si>
    <t>Pickup Return, wajib bawa form BA Return. Bilang ke Apotek “mau tarik barang”. Jika tidak ada barang, tulis keterangan “tidak ada barang retur” di form BA Invoice: TMP-INV-2026/06/14/ 2852728
1x LESICHOL-600 Pertiwi Agung KAPSUL Tarik Barang Retur</t>
  </si>
  <si>
    <t>AWBR-3320320377</t>
  </si>
  <si>
    <t>Invoice: TMP-INV-2025/05/15/ 1578964
1x FAKTU Pharos SALEP Tarik Barang Retur</t>
  </si>
  <si>
    <t>AWBR-3320320377-01</t>
  </si>
  <si>
    <t>Pickup Return, wajib bawa form BA Return. Bilang ke Apotek “mau tarik barang”. Jika tidak ada barang, tulis keterangan “tidak ada barang retur” di form BA Invoice: TMP-INV-2025/05/15/ 1578964
1x FAKTU Pharos SALEP Tarik Barang Retur</t>
  </si>
  <si>
    <t>AWBR-3320242085</t>
  </si>
  <si>
    <t>TMP-INV-2025/03/05/ 1400818</t>
  </si>
  <si>
    <t>Invoice: TMP-INV-2025/03/05/ 1400818
2x NASONEX Organon SEMPROT HIDUNG 50 MCG/DOSIS Tarik Barang Retur</t>
  </si>
  <si>
    <t>AWBR-3320242085-01</t>
  </si>
  <si>
    <t>Pickup Return, wajib bawa form BA Return. Bilang ke Apotek “mau tarik barang”. Jika tidak ada barang, tulis keterangan “tidak ada barang retur” di form BA Invoice: TMP-INV-2025/03/05/ 1400818
2x NASONEX Organon SEMPROT HIDUNG 50 MCG/DOSIS Tarik Barang Retur</t>
  </si>
  <si>
    <t>AWBR-3320209864</t>
  </si>
  <si>
    <t>TMP-INV-2025/04/08/ 1481063</t>
  </si>
  <si>
    <t>Invoice: TMP-INV-2025/04/08/ 1481063
1x ASTRIA FORCE Pertiwi agung KAPSUL
1x ASTRIA Pertiwi Agung KAPSUL 4 MG Tarik Barang Retur</t>
  </si>
  <si>
    <t>AWBR-3320209864-01</t>
  </si>
  <si>
    <t>Pickup Return, wajib bawa form BA Return. Bilang ke Apotek “mau tarik barang”. Jika tidak ada barang, tulis keterangan “tidak ada barang retur” di form BA Invoice: TMP-INV-2025/04/08/ 1481063
1x ASTRIA FORCE Pertiwi agung KAPSUL
1x ASTRIA Pertiwi Agung KAPSUL 4 MG Tarik Barang Retur</t>
  </si>
  <si>
    <t>AWBR-3320208340</t>
  </si>
  <si>
    <t>TMP-INV-2026/04/29/ 2689971</t>
  </si>
  <si>
    <t>Apotek Afifah Farma</t>
  </si>
  <si>
    <t>Perum Telaga Murni Blok B1 No. 30-31 Desa/Kelurahan Telaga Murni Kecamatan Cikarang Barat Kabupaten Bekasi 17530</t>
  </si>
  <si>
    <t>Invoice: TMP-INV-2026/04/29/ 2689971
Full Return Tarik Barang Retur</t>
  </si>
  <si>
    <t>AWBR-3320208340-01</t>
  </si>
  <si>
    <t>Pickup Return, wajib bawa form BA Return. Bilang ke Apotek “mau tarik barang”. Jika tidak ada barang, tulis keterangan “tidak ada barang retur” di form BA Invoice: TMP-INV-2026/04/29/ 2689971
Full Return Tarik Barang Retur</t>
  </si>
  <si>
    <t>AWBR-3320203318</t>
  </si>
  <si>
    <t>TMP-INV-2026/06/13/ 2849709</t>
  </si>
  <si>
    <t>Invoice: TMP-INV-2026/06/13/ 2849709
2x PROME Interbat SIRUP
1x SILADEX MUCOLYTIC and EXPECTORANT Konimex SIRUP
1x SELSUN YELLOW DOUBLE IMPACT Rohto SHAMPOO Tarik Barang Retur</t>
  </si>
  <si>
    <t>AWBR-3320203318-01</t>
  </si>
  <si>
    <t>Pickup Return, wajib bawa form BA Return. Bilang ke Apotek “mau tarik barang”. Jika tidak ada barang, tulis keterangan “tidak ada barang retur” di form BA Invoice: TMP-INV-2026/06/13/ 2849709
2x PROME Interbat SIRUP
1x SILADEX MUCOLYTIC and EXPECTORANT Konimex SIRUP
1x SELSUN YELLOW DOUBLE IMPACT Rohto SHAMPOO Tarik Barang Retur</t>
  </si>
  <si>
    <t>AWBR-3320240234</t>
  </si>
  <si>
    <t>TMP-INV-2025/02/06/ 1334223</t>
  </si>
  <si>
    <t>Invoice: TMP-INV-2025/02/06/ 1334223
1x VENTOLIN Gsk SIRUP 2 MG/5 ML Tarik Barang Retur</t>
  </si>
  <si>
    <t>AWBR-3320240234-01</t>
  </si>
  <si>
    <t>Pickup Return, wajib bawa form BA Return. Bilang ke Apotek “mau tarik barang”. Jika tidak ada barang, tulis keterangan “tidak ada barang retur” di form BA Invoice: TMP-INV-2025/02/06/ 1334223
1x VENTOLIN Gsk SIRUP 2 MG/5 ML Tarik Barang Retur</t>
  </si>
  <si>
    <t>AWBR-3320272181</t>
  </si>
  <si>
    <t>TMP-INV-2026/06/13/ 2851913</t>
  </si>
  <si>
    <t>Apotek Arfa Farma</t>
  </si>
  <si>
    <t>Jalan Raya Sukamantri RT 01/ RW 01 Desa Sukamantri, Kecamatan Sukamantri, Kabupaten Ciamis 46264</t>
  </si>
  <si>
    <t>Invoice: TMP-INV-2026/06/13/ 2851913
1x XEPAZYM Metiska KAPLET Tarik Barang Retur</t>
  </si>
  <si>
    <t>AWBR-3320272181-01</t>
  </si>
  <si>
    <t>Pickup Return, wajib bawa form BA Return. Bilang ke Apotek “mau tarik barang”. Jika tidak ada barang, tulis keterangan “tidak ada barang retur” di form BA Invoice: TMP-INV-2026/06/13/ 2851913
1x XEPAZYM Metiska KAPLET Tarik Barang Retur</t>
  </si>
  <si>
    <t>AWBR-3320247039</t>
  </si>
  <si>
    <t>TMP-INV-2026/06/12/ 2844925</t>
  </si>
  <si>
    <t>Apotek Fani 2 Babakan Babakan</t>
  </si>
  <si>
    <t>Jl. Pangeran Sutajaya Desa Babakan Kec. Babakan Kab. Cirebon</t>
  </si>
  <si>
    <t>Invoice: TMP-INV-2026/06/12/ 2844925
3x DEXTAMINE Phapros KAPLET
2x LORATADINE Hexpharm TABLET 10 MG Tarik Barang Retur</t>
  </si>
  <si>
    <t>AWBR-3320247039-01</t>
  </si>
  <si>
    <t>Pickup Return, wajib bawa form BA Return. Bilang ke Apotek “mau tarik barang”. Jika tidak ada barang, tulis keterangan “tidak ada barang retur” di form BA Invoice: TMP-INV-2026/06/12/ 2844925
3x DEXTAMINE Phapros KAPLET
2x LORATADINE Hexpharm TABLET 10 MG Tarik Barang Retur</t>
  </si>
  <si>
    <t>AWBR-3320248770</t>
  </si>
  <si>
    <t>TMP-INV-2025/10/14/ 2022305</t>
  </si>
  <si>
    <t>Invoice: TMP-INV-2025/10/14/ 2022305
1x VENTOLIN INHALER CFC FREE Gsk 200 Doses Tarik Barang Retur</t>
  </si>
  <si>
    <t>AWBR-3320248770-01</t>
  </si>
  <si>
    <t>Pickup Return, wajib bawa form BA Return. Bilang ke Apotek “mau tarik barang”. Jika tidak ada barang, tulis keterangan “tidak ada barang retur” di form BA Invoice: TMP-INV-2025/10/14/ 2022305
1x VENTOLIN INHALER CFC FREE Gsk 200 Doses Tarik Barang Retur</t>
  </si>
  <si>
    <t>AWBR-3320228841</t>
  </si>
  <si>
    <t>TMP-INV-2024/10/03/ 1046777</t>
  </si>
  <si>
    <t>Invoice: TMP-INV-2024/10/03/ 1046777
1x MEBO Pharma Health Tarik Barang Retur</t>
  </si>
  <si>
    <t>AWBR-3320228841-01</t>
  </si>
  <si>
    <t>Pickup Return, wajib bawa form BA Return. Bilang ke Apotek “mau tarik barang”. Jika tidak ada barang, tulis keterangan “tidak ada barang retur” di form BA Invoice: TMP-INV-2024/10/03/ 1046777
1x MEBO Pharma Health Tarik Barang Retur</t>
  </si>
  <si>
    <t>AWBR-3320250763</t>
  </si>
  <si>
    <t>TMP-INV-2026/06/14/ 2853586</t>
  </si>
  <si>
    <t>Invoice: TMP-INV-2026/06/14/ 2853586
3x OXYCAN GREEN Samator Gas Tarik Barang Retur</t>
  </si>
  <si>
    <t>AWBR-3320250763-01</t>
  </si>
  <si>
    <t>Pickup Return, wajib bawa form BA Return. Bilang ke Apotek “mau tarik barang”. Jika tidak ada barang, tulis keterangan “tidak ada barang retur” di form BA Invoice: TMP-INV-2026/06/14/ 2853586
3x OXYCAN GREEN Samator Gas Tarik Barang Retur</t>
  </si>
  <si>
    <t>AWBR-14015-2026-6-16</t>
  </si>
  <si>
    <t>-</t>
  </si>
  <si>
    <t>TMP-INV-2026/01/27/ 2367282 TMP-INV-2026/01/25/ 2363192
TMP-INV-2026/01/24/ 2359441
TMP-INV-2026/01/25/ 2363191
TMP-INV-2026/02/06/ 2405529
TMP-INV-2026/02/16/ 2437958
TMP-INV-2026/02/27/ 2478631
TMP-INV-2026/03/24/ 2559663
TMP-INV-2026/03/25/ 2563349
TMP-INV-2026/05/15/ 2749573
 MILO ACTIV-GO Nestle COKELAT KARTON LAMIAT 110 ML FULLO Ultra WAFER ROLL RASA SUSU VANILLA ALUMINIUM FOIL @ 70 G
NEPHRISOL D Kalbe RASA VANILA DUS KARTON, ALUMINIUM FOIL 210 g
NEPHRISOL Sanghiang RASA CAPPUCCINO DUS, 3 SACHET @67 G
TROLIT Kalbe SERBUK DUS, 6 SACHET @ 4 GRAM
VYTORIN Organon TABLET 10/20 MG DUS, 3 BLISTER @ 10 TABLET
MILO ACTIV-GO Nestle COKELAT KARTON LAMIAT 110 ML
TROLIT Kalbe SERBUK DUS, 6 SACHET @ 4 GRAM
PEPTIBREN Sanghiang RASA KACANG HIJAU DUS, 3 SACHET @ 65 G
HARNAL D Combiphar TABLET DISPERSIBLE 0.2 MG DUS, 2 BLISTER @ 14 TABLET DISPERSIBEL
TRINORDIOL-28 Sunthi TABLET DUS, 2 BLISTER @ 28 TABLET SALUT GULA
 Tarik Barang Retur</t>
  </si>
  <si>
    <t>AWBR-14015-2026-6-16-01</t>
  </si>
  <si>
    <t>Pickup Return, wajib bawa form BA Return. Bilang ke Apotek “mau tarik barang”. Jika tidak ada barang, tulis keterangan “tidak ada barang retur” di form BA MILO ACTIV-GO Nestle COKELAT KARTON LAMIAT 110 ML FULLO Ultra WAFER ROLL RASA SUSU VANILLA ALUMINIUM FOIL @ 70 G
NEPHRISOL D Kalbe RASA VANILA DUS KARTON, ALUMINIUM FOIL 210 g
NEPHRISOL Sanghiang RASA CAPPUCCINO DUS, 3 SACHET @67 G
TROLIT Kalbe SERBUK DUS, 6 SACHET @ 4 GRAM
VYTORIN Organon TABLET 10/20 MG DUS, 3 BLISTER @ 10 TABLET
MILO ACTIV-GO Nestle COKELAT KARTON LAMIAT 110 ML
TROLIT Kalbe SERBUK DUS, 6 SACHET @ 4 GRAM
PEPTIBREN Sanghiang RASA KACANG HIJAU DUS, 3 SACHET @ 65 G
HARNAL D Combiphar TABLET DISPERSIBLE 0.2 MG DUS, 2 BLISTER @ 14 TABLET DISPERSIBEL
TRINORDIOL-28 Sunthi TABLET DUS, 2 BLISTER @ 28 TABLET SALUT GULA
 Tarik Barang Retur</t>
  </si>
  <si>
    <t>AWBR-14017-2026-6-16</t>
  </si>
  <si>
    <t>Apotek Inofarma Bukit Duri</t>
  </si>
  <si>
    <t>Jl. Bukit Duri Barat Raya No. 9, RT 009 RW 01, Kel. Bukit Duri, Kec. Tebet, Jakarta Selatan</t>
  </si>
  <si>
    <t>TMP-INV-2026/01/25/ 2363274 TMP-INV-2026/02/10/ 2417800
TMP-INV-2026/02/12/ 2425520
TMP-INV-2026/02/26/ 2475172
TMP-INV-2026/02/27/ 2479088
TMP-INV-2026/03/09/ 2512124
TMP-INV-2026/03/24/ 2561203
TMP-INV-2026/05/15/ 2749782
 TROLIT Kalbe SERBUK DUS, 6 SACHET @ 4 GRAM LACTOGEN LACTOSE FREE Nestle KALENG 400 G
PEPTIBREN Sanghiang RASA KACANG HIJAU DUS, 3 SACHET @ 65 G
LACTOGEN LACTOSE FREE Nestle KALENG 400 G
TROLIT Kalbe SERBUK DUS, 6 SACHET @ 4 GRAM
ALPENTIN Actavis KAPSUL 100 MG DUS, 5 BLISTER @ 10 KAPSUL
COLERGIS Dexa Medica TABLET DUS, 10 STRIP @ 10 TABLET
TRINORDIOL-28 Sunthi TABLET DUS, 2 BLISTER @ 28 TABLET SALUT GULA
 Tarik Barang Retur</t>
  </si>
  <si>
    <t>AWBR-14017-2026-6-16-01</t>
  </si>
  <si>
    <t>Pickup Return, wajib bawa form BA Return. Bilang ke Apotek “mau tarik barang”. Jika tidak ada barang, tulis keterangan “tidak ada barang retur” di form BA TROLIT Kalbe SERBUK DUS, 6 SACHET @ 4 GRAM LACTOGEN LACTOSE FREE Nestle KALENG 400 G
PEPTIBREN Sanghiang RASA KACANG HIJAU DUS, 3 SACHET @ 65 G
LACTOGEN LACTOSE FREE Nestle KALENG 400 G
TROLIT Kalbe SERBUK DUS, 6 SACHET @ 4 GRAM
ALPENTIN Actavis KAPSUL 100 MG DUS, 5 BLISTER @ 10 KAPSUL
COLERGIS Dexa Medica TABLET DUS, 10 STRIP @ 10 TABLET
TRINORDIOL-28 Sunthi TABLET DUS, 2 BLISTER @ 28 TABLET SALUT GULA
 Tarik Barang Retur</t>
  </si>
  <si>
    <t>AWBR-14018-2026-6-16</t>
  </si>
  <si>
    <t>Apotek Inofarma Duri Kepa</t>
  </si>
  <si>
    <t>Jl. Duri Raya 5 RT 006 RW 01, Duri Kepa, Kebon Jeruk, Jakarta Barat</t>
  </si>
  <si>
    <t>TMP-INV-2026/03/30/ 2582738 TMP-INV-2026/04/02/ 2591182
TMP-INV-2026/04/02/ 2591164
TMP-INV-2026/04/03/ 2598570
TMP-INV-2026/04/04/ 2601619
TMP-INV-2026/05/12/ 2739132
 NECIBLOK Dankos SUSPENSI DUS, BOTOL 100 ML LACTOGEN LACTOSE FREE Nestle KALENG 400 G
MILNA NTURE RUMPUT LAUT POUCH, 13 G
YOU C-1000 LEMON WATER BOTOL PLASTIK @ 500 ML
PEPTIBREN Sanghiang RASA KACANG HIJAU DUS, 3 SACHET @ 65 G
TRINORDIOL-28 Sunthi TABLET DUS, 2 BLISTER @ 28 TABLET SALUT GULA
 Tarik Barang Retur</t>
  </si>
  <si>
    <t>AWBR-14018-2026-6-16-01</t>
  </si>
  <si>
    <t>Pickup Return, wajib bawa form BA Return. Bilang ke Apotek “mau tarik barang”. Jika tidak ada barang, tulis keterangan “tidak ada barang retur” di form BA NECIBLOK Dankos SUSPENSI DUS, BOTOL 100 ML LACTOGEN LACTOSE FREE Nestle KALENG 400 G
MILNA NTURE RUMPUT LAUT POUCH, 13 G
YOU C-1000 LEMON WATER BOTOL PLASTIK @ 500 ML
PEPTIBREN Sanghiang RASA KACANG HIJAU DUS, 3 SACHET @ 65 G
TRINORDIOL-28 Sunthi TABLET DUS, 2 BLISTER @ 28 TABLET SALUT GULA
 Tarik Barang Retur</t>
  </si>
  <si>
    <t>AWBR-14016-2026-6-16</t>
  </si>
  <si>
    <t>TMP-INV-2026/01/22/ 2355471 TMP-INV-2026/01/23/ 2358371
TMP-INV-2026/01/23/ 2358892
TMP-INV-2026/02/20/ 2454918
TMP-INV-2026/02/27/ 2480013
TMP-INV-2026/03/09/ 2512041
TMP-INV-2026/05/17/ 2754592 DALFAROL 200 Darya-Varia KAPSUL DUS, 25 STRIP @ 4 KAPSUL LUNAK TROLIT Kalbe SERBUK DUS, 6 SACHET @ 4 GRAM
NEPHRISOL D Kalbe RASA VANILA DUS KARTON, ALUMINIUM FOIL 210 g
NEPHRISOL Sanghiang RASA CAPPUCCINO DUS, 3 SACHET @67 G
PEPTIBREN Sanghiang RASA KACANG HIJAU DUS, 3 SACHET @ 65 G
VYTORIN Organon TABLET 10/20 MG DUS, 3 BLISTER @ 10 TABLET
TROLIT Kalbe SERBUK DUS, 6 SACHET @ 4 GRAM
ALPENTIN Actavis KAPSUL 100 MG DUS, 5 BLISTER @ 10 KAPSUL
TRINORDIOL-28 Sunthi TABLET DUS, 2 BLISTER @ 28 TABLET SALUT GULA
 Tarik Barang Retur</t>
  </si>
  <si>
    <t>AWBR-14016-2026-6-16-01</t>
  </si>
  <si>
    <t>Pickup Return, wajib bawa form BA Return. Bilang ke Apotek “mau tarik barang”. Jika tidak ada barang, tulis keterangan “tidak ada barang retur” di form BA DALFAROL 200 Darya-Varia KAPSUL DUS, 25 STRIP @ 4 KAPSUL LUNAK TROLIT Kalbe SERBUK DUS, 6 SACHET @ 4 GRAM
NEPHRISOL D Kalbe RASA VANILA DUS KARTON, ALUMINIUM FOIL 210 g
NEPHRISOL Sanghiang RASA CAPPUCCINO DUS, 3 SACHET @67 G
PEPTIBREN Sanghiang RASA KACANG HIJAU DUS, 3 SACHET @ 65 G
VYTORIN Organon TABLET 10/20 MG DUS, 3 BLISTER @ 10 TABLET
TROLIT Kalbe SERBUK DUS, 6 SACHET @ 4 GRAM
ALPENTIN Actavis KAPSUL 100 MG DUS, 5 BLISTER @ 10 KAPSUL
TRINORDIOL-28 Sunthi TABLET DUS, 2 BLISTER @ 28 TABLET SALUT GULA
 Tarik Barang Retur</t>
  </si>
  <si>
    <t>AWBR-14013-2026-6-16</t>
  </si>
  <si>
    <t>Apotek Inofarma Haji Nawi</t>
  </si>
  <si>
    <t>Jl. H. Nawi No 7, RT 004 RW 007, Kel. Gandaria Utara, Kec. Kebayoran Baru, Jakarta Selatan</t>
  </si>
  <si>
    <t>TMP-INV-2025/11/11/ 2117443 TMP-INV-2025/11/12/ 2120665
TMP-INV-2025/11/14/ 2127481
TMP-INV-2025/11/14/ 2127676
TMP-INV-2025/11/14/ 2127521
TMP-INV-2025/11/14/ 2125561
TMP-INV-2025/11/14/ 2127642
TMP-INV-2025/11/13/ 2124082
TMP-INV-2026/01/06/ 2297202
TMP-INV-2026/01/07/ 2305049
TMP-INV-2026/01/06/ 2297633
TMP-INV-2026/01/13/ 2323103
TMP-INV-2026/01/21/ 2351572
TMP-INV-2026/01/20/ 2348089
TMP-INV-2026/01/22/ 2355109
TMP-INV-2026/01/26/ 2366218
TMP-INV-2026/01/28/ 2374264
TMP-INV-2026/02/24/ 2467773
TMP-INV-2026/02/27/ 2479269
TMP-INV-2026/03/26/ 2564938
TMP-INV-2026/03/28/ 2572949
TMP-INV-2026/04/03/ 2595357
TMP-INV-2026/04/14/ 2637717
TMP-INV-2026/04/27/ 2683618
TMP-INV-2026/05/29/ 2797064
 TROLIT Kalbe SERBUK DUS, 6 SACHET @ 4 DALFAROL 200 Darya-Varia KAPSUL DUS, 25 STRIP @ 4 KAPSUL LUNAK
SANGOBION VITA-TONIK Merck CAIRAN ORAL DUS, BOTOL PLASTIK @ 250 ML
BEAR BRAND GOLD DENGAN SARI MALT PUTIH Nestle KALENG 140 ML
YOUVIT MULTIVITAMIN KIDS GUMMY RASA STRAWBERRY, JERUK, NANAS Yupi - POUCH POUCH @ 30 GUMMIES 120 G
NEOCATE LCP Nutricia SERBUK KALENG 400 G
BEAR BRAND GOLD DENGAN SARI MALT PUTIH Nestle KALENG 140 ML
BEAR BRAND WHITE TEA Nestle KALENG 140 ML
KRATINGDAENG SUPER Asia Health Energi Beverages BOTOL KACA @ 150 ML
NEPHRISOL D Kalbe RASA VANILA DUS KARTON, ALUMINIUM FOIL 210 g
VYTORIN Organon TABLET 10/20 MG DUS, 3 BLISTER @ 10 TABLET
MILNA BUBUR BAYI 6+ RASA TIM HATI AYAM BAYAM POUCH @ 120 G
MILNA BUBUR BAYI 8+ RASA SALMON CAH BAYAM POUCH @ 100 G
NEPHRISOL Sanghiang RASA CAPPUCCINO DUS, 3 SACHET @67 G
OLIGO Sanghiang TROPICAL BANANA DUS, 3 SACHET @ 55 G
PEPTIBREN Sanghiang RASA KACANG HIJAU DUS, 3 SACHET @ 65 G
MILNA BUBUR BAYI 8+ RASA SUP AYAM JAGUNG POUCH @ 100 G
GALVUSMET Novartis TABLET 50/500 MG DUS, 3 STRIP @ 10 TABLET SALUT SELAPUT
TAZOVELL Novell TABLET 30 MG DUS, 3 STRIP @ 10 TABLET
GALVUSMET Novartis TABLET 50/500 MG DUS, 3 STRIP @ 10 TABLET SALUT SELAPUT
YOU C-1000 LEMON WATER BOTOL PLASTIK @ 500 ML
BEAR BRAND WHITE TEA Nestle KALENG 140 ML
PROMINA PUFFS RASA SAPI WAGYU POUCH, 15 G
TROLIT Kalbe SERBUK DUS, 6 SACHET @ 4 GRAM
HARNAL D Combiphar TABLET DISPERSIBLE 0.2 MG DUS, 2 BLISTER @ 14 TABLET DISPERSIBEL
YOU C-1000 LEMON WATER BOTOL PLASTIK @ 500 ML
ALPENTIN Actavis KAPSUL 100 MG DUS, 5 BLISTER @ 10 KAPSUL
YOU C-1000 LEMON WATER BOTOL PLASTIK @ 500 ML
YOU C-1000 LEMON WATER BOTOL PLASTIK @ 500 ML
TRINORDIOL-28 Sunthi TABLET DUS, 2 BLISTER @ 28 TABLET SALUT GULA
 Tarik Barang Retur</t>
  </si>
  <si>
    <t>AWBR-14013-2026-6-16-01</t>
  </si>
  <si>
    <t>Pickup Return, wajib bawa form BA Return. Bilang ke Apotek “mau tarik barang”. Jika tidak ada barang, tulis keterangan “tidak ada barang retur” di form BA TROLIT Kalbe SERBUK DUS, 6 SACHET @ 4 DALFAROL 200 Darya-Varia KAPSUL DUS, 25 STRIP @ 4 KAPSUL LUNAK
SANGOBION VITA-TONIK Merck CAIRAN ORAL DUS, BOTOL PLASTIK @ 250 ML
BEAR BRAND GOLD DENGAN SARI MALT PUTIH Nestle KALENG 140 ML
YOUVIT MULTIVITAMIN KIDS GUMMY RASA STRAWBERRY, JERUK, NANAS Yupi - POUCH POUCH @ 30 GUMMIES 120 G
NEOCATE LCP Nutricia SERBUK KALENG 400 G
BEAR BRAND GOLD DENGAN SARI MALT PUTIH Nestle KALENG 140 ML
BEAR BRAND WHITE TEA Nestle KALENG 140 ML
KRATINGDAENG SUPER Asia Health Energi Beverages BOTOL KACA @ 150 ML
NEPHRISOL D Kalbe RASA VANILA DUS KARTON, ALUMINIUM FOIL 210 g
VYTORIN Organon TABLET 10/20 MG DUS, 3 BLISTER @ 10 TABLET
MILNA BUBUR BAYI 6+ RASA TIM HATI AYAM BAYAM POUCH @ 120 G
MILNA BUBUR BAYI 8+ RASA SALMON CAH BAYAM POUCH @ 100 G
NEPHRISOL Sanghiang RASA CAPPUCCINO DUS, 3 SACHET @67 G
OLIGO Sanghiang TROPICAL BANANA DUS, 3 SACHET @ 55 G
PEPTIBREN Sanghiang RASA KACANG HIJAU DUS, 3 SACHET @ 65 G
MILNA BUBUR BAYI 8+ RASA SUP AYAM JAGUNG POUCH @ 100 G
GALVUSMET Novartis TABLET 50/500 MG DUS, 3 STRIP @ 10 TABLET SALUT SELAPUT
TAZOVELL Novell TABLET 30 MG DUS, 3 STRIP @ 10 TABLET
GALVUSMET Novartis TABLET 50/500 MG DUS, 3 STRIP @ 10 TABLET SALUT SELAPUT
YOU C-1000 LEMON WATER BOTOL PLASTIK @ 500 ML
BEAR BRAND WHITE TEA Nestle KALENG 140 ML
PROMINA PUFFS RASA SAPI WAGYU POUCH, 15 G
TROLIT Kalbe SERBUK DUS, 6 SACHET @ 4 GRAM
HARNAL D Combiphar TABLET DISPERSIBLE 0.2 MG DUS, 2 BLISTER @ 14 TABLET DISPERSIBEL
YOU C-1000 LEMON WATER BOTOL PLASTIK @ 500 ML
ALPENTIN Actavis KAPSUL 100 MG DUS, 5 BLISTER @ 10 KAPSUL
YOU C-1000 LEMON WATER BOTOL PLASTIK @ 500 ML
YOU C-1000 LEMON WATER BOTOL PLASTIK @ 500 ML
TRINORDIOL-28 Sunthi TABLET DUS, 2 BLISTER @ 28 TABLET SALUT GULA
 Tarik Barang Retur</t>
  </si>
  <si>
    <t>AWBR-14005-2026-6-16</t>
  </si>
  <si>
    <t>Apotek Inofarma Jembatan Besi</t>
  </si>
  <si>
    <t>Jl. Jembatan Besi No.119A RT 05 RW 07, Kel. Jembatan Besi, Kec. Tambora, Kota Jakarta Barat,</t>
  </si>
  <si>
    <t>TMP-INV-2025/07/01/ 1702948 TMP-INV-2025/07/08/ 1720921
TMP-INV-2025/07/07/ 1720052
TMP-INV-2025/07/01/ 1703457
TMP-INV-2025/07/01/ 1703238
TMP-INV-2025/07/08/ 1723500
TMP-INV-2025/07/07/ 1720464
TMP-INV-2025/07/08/ 1723161
TMP-INV-2025/07/07/ 1719895
TMP-INV-2025/07/07/ 1720127
TMP-INV-2025/07/15/ 1743522
TMP-INV-2025/08/14/ 1832201
TMP-INV-2025/09/14/ 1927408
TMP-INV-2025/09/14/ 1928368
TMP-INV-2025/09/14/ 1928345
TMP-INV-2025/09/15/ 1928408
TMP-INV-2025/09/18/ 1942545
TMP-INV-2025/10/07/ 2001924
TMP-INV-2025/10/08/ 2005780
TMP-INV-2025/10/08/ 2005817
TMP-INV-2025/10/20/ 2044106
TMP-INV-2026/01/08/ 2308215
TMP-INV-2026/01/08/ 2307629
TMP-INV-2026/01/09/ 2311650
TMP-INV-2026/01/10/ 2315359
TMP-INV-2026/01/13/ 2325047
TMP-INV-2026/02/20/ 2453839
TMP-INV-2026/03/09/ 2512214
TMP-INV-2026/03/24/ 2560914
TMP-INV-2026/04/08/ 2616684
TMP-INV-2026/04/10/ 2620474
TMP-INV-2026/04/11/ 2627499
TMP-INV-2026/04/15/ 2641648
 KRATINGDAENG CLASSIC Asia Health Energi Beverages BOTOL KACA @ 150 ML NEO RHEUMACYL EUCALYPTUS Tempo Scan KRIM BOTOL PLASTIK @ 100 ML
PURITYFIC OMEGA ODOURLESS FISH OIL 1500 MG + VITAMIN D3 Lintas Batas KAPSUL BOTOL PLASTIK @ 60 KAPSUL LUNAK
TROLIT Kalbe SERBUK DUS, 6 SACHET @ 4 GRAM
VEET HAIR REMOVAL CREAM SENSITIVE SKIN WITH ALOE VERA EXTRACT Reckitt Benckiser DUS, TUBE 25 G
PUREBB HAND and MOUTH BABY WIPES, ALOE VERA Etercon 3 SACHET @ 60 WIPES
INFATRINI Sarihusada BAYI USIA 0-12 BULAN KALENG 400 G
HOLISTICARE ESTER C 1000 Indocare TABLET DUS, BOTOL PLASTIK @ 30 TABLET SALUT SELAPUT
PUREKIDS DEODORANT HAPPY MELON Etercon BOTOL 50 ML
SANOXICAL Sanbe KAPSUL DUS, 2 BLISTER @ 10 KAPSUL LUNAK
LIKURMIN Dankos SIRUP DUS, BOTOL KACA 100 ML
SANOXICAL Sanbe KAPSUL DUS, 2 BLISTER @ 10 KAPSUL LUNAK
NUTRIBABY ROYAL 2 (6-12 BULAN) Nutricia SERBUK DUS, ALUMINIUM FOIL 400 G
CONSTANTIA Novell SUSPENSI 20 MG DUS, 1 VIAL @ 12 ML
SPIROLA 100 Dankos TABLET DUS, 5 STRIP @ 10 TABLET
DIPROSONE OV Organon KRIM DUS, 1 TUBE @ 5 G
CONTREXYN DEMAM (RASA JERUK) Supra Ferbindo DROPS DUS BOTOL@15 ML
HUFAGRIPP BP BATUK KERING DAN PILEK DEWASA Gratia Husada SIRUP DUS, 1 BOTOL @ 60 ML
KRATINGDAENG CLASSIC Asia Health Energi Beverages BOTOL KACA @ 150 ML
NOREPINEPHRINE BITARTRATE MONOHYDRATE Hexpharm INJEKSI DUS, 1 BLISTER @ 5 AMPUL @ 4 ML
TAZOVELL Novell TABLET 30 MG DUS, 3 STRIP @ 10 TABLET
SERETIDE DISKUS Gsk SERBUK INHALER 50/100 MCG DUS, STRIP @ 60 BLISTER DOSIS
FLAMAR Sanbe TETES MATA DUS, 1 BOTOL PLASTIK @ 5 ML
MILNA BUBUR BAYI 6+ RASA TIM HATI AYAM BAYAM POUCH @ 120 G
MILNA BUBUR BAYI 8+ RASA SALMON CAH BAYAM POUCH @ 100 G
NEPHRISOL Sanghiang RASA CAPPUCCINO DUS, 3 SACHET @67 G
OLIGO Sanghiang TROPICAL BANANA DUS, 3 SACHET @ 55 G
YOU C-1000 LEMON WATER BOTOL PLASTIK @ 500 ML
NEPHRISOL Sanghiang RASA CAPPUCCINO DUS, 3 SACHET @67 G
MILNA BUBUR BAYI 8+ RASA SUP AYAM JAGUNG POUCH @ 100 G
KIRANTI SEHAT DATANG BULAN ORANGE BOTOL @ 150 ML
HARNAL D Combiphar TABLET DISPERSIBLE 0.2 MG DUS, 2 BLISTER @ 14 TABLET DISPERSIBEL
PEPTIBREN Sanghiang RASA KACANG HIJAU DUS, 3 SACHET @ 65 G
YOU C-1000 LEMON WATER BOTOL PLASTIK @ 500 ML
YOU C-1000 ORANGE WATER BOTOL PLASTIK @ 500 ML
YOU C-1000 LEMON WATER BOTOL PLASTIK @ 500 ML
YOU C-1000 LEMON WATER BOTOL PLASTIK @ 500 ML
 Tarik Barang Retur</t>
  </si>
  <si>
    <t>AWBR-14005-2026-6-16-01</t>
  </si>
  <si>
    <t>Pickup Return, wajib bawa form BA Return. Bilang ke Apotek “mau tarik barang”. Jika tidak ada barang, tulis keterangan “tidak ada barang retur” di form BA KRATINGDAENG CLASSIC Asia Health Energi Beverages BOTOL KACA @ 150 ML NEO RHEUMACYL EUCALYPTUS Tempo Scan KRIM BOTOL PLASTIK @ 100 ML
PURITYFIC OMEGA ODOURLESS FISH OIL 1500 MG + VITAMIN D3 Lintas Batas KAPSUL BOTOL PLASTIK @ 60 KAPSUL LUNAK
TROLIT Kalbe SERBUK DUS, 6 SACHET @ 4 GRAM
VEET HAIR REMOVAL CREAM SENSITIVE SKIN WITH ALOE VERA EXTRACT Reckitt Benckiser DUS, TUBE 25 G
PUREBB HAND and MOUTH BABY WIPES, ALOE VERA Etercon 3 SACHET @ 60 WIPES
INFATRINI Sarihusada BAYI USIA 0-12 BULAN KALENG 400 G
HOLISTICARE ESTER C 1000 Indocare TABLET DUS, BOTOL PLASTIK @ 30 TABLET SALUT SELAPUT
PUREKIDS DEODORANT HAPPY MELON Etercon BOTOL 50 ML
SANOXICAL Sanbe KAPSUL DUS, 2 BLISTER @ 10 KAPSUL LUNAK
LIKURMIN Dankos SIRUP DUS, BOTOL KACA 100 ML
SANOXICAL Sanbe KAPSUL DUS, 2 BLISTER @ 10 KAPSUL LUNAK
NUTRIBABY ROYAL 2 (6-12 BULAN) Nutricia SERBUK DUS, ALUMINIUM FOIL 400 G
CONSTANTIA Novell SUSPENSI 20 MG DUS, 1 VIAL @ 12 ML
SPIROLA 100 Dankos TABLET DUS, 5 STRIP @ 10 TABLET
DIPROSONE OV Organon KRIM DUS, 1 TUBE @ 5 G
CONTREXYN DEMAM (RASA JERUK) Supra Ferbindo DROPS DUS BOTOL@15 ML
HUFAGRIPP BP BATUK KERING DAN PILEK DEWASA Gratia Husada SIRUP DUS, 1 BOTOL @ 60 ML
KRATINGDAENG CLASSIC Asia Health Energi Beverages BOTOL KACA @ 150 ML
NOREPINEPHRINE BITARTRATE MONOHYDRATE Hexpharm INJEKSI DUS, 1 BLISTER @ 5 AMPUL @ 4 ML
TAZOVELL Novell TABLET 30 MG DUS, 3 STRIP @ 10 TABLET
SERETIDE DISKUS Gsk SERBUK INHALER 50/100 MCG DUS, STRIP @ 60 BLISTER DOSIS
FLAMAR Sanbe TETES MATA DUS, 1 BOTOL PLASTIK @ 5 ML
MILNA BUBUR BAYI 6+ RASA TIM HATI AYAM BAYAM POUCH @ 120 G
MILNA BUBUR BAYI 8+ RASA SALMON CAH BAYAM POUCH @ 100 G
NEPHRISOL Sanghiang RASA CAPPUCCINO DUS, 3 SACHET @67 G
OLIGO Sanghiang TROPICAL BANANA DUS, 3 SACHET @ 55 G
YOU C-1000 LEMON WATER BOTOL PLASTIK @ 500 ML
NEPHRISOL Sanghiang RASA CAPPUCCINO DUS, 3 SACHET @67 G
MILNA BUBUR BAYI 8+ RASA SUP AYAM JAGUNG POUCH @ 100 G
KIRANTI SEHAT DATANG BULAN ORANGE BOTOL @ 150 ML
HARNAL D Combiphar TABLET DISPERSIBLE 0.2 MG DUS, 2 BLISTER @ 14 TABLET DISPERSIBEL
PEPTIBREN Sanghiang RASA KACANG HIJAU DUS, 3 SACHET @ 65 G
YOU C-1000 LEMON WATER BOTOL PLASTIK @ 500 ML
YOU C-1000 ORANGE WATER BOTOL PLASTIK @ 500 ML
YOU C-1000 LEMON WATER BOTOL PLASTIK @ 500 ML
YOU C-1000 LEMON WATER BOTOL PLASTIK @ 500 ML
 Tarik Barang Retur</t>
  </si>
  <si>
    <t>AWBR-14020-2026-6-16</t>
  </si>
  <si>
    <t>Apotek Inofarma Kalibaru</t>
  </si>
  <si>
    <t>Jl. Kalibaru RT 001 RW 003 Kel. Kalibaru, Kec. Cilincing, Jakarta Utara</t>
  </si>
  <si>
    <t>TMP-INV-2026/02/17/ 2442481 TMP-INV-2026/02/25/ 2471727
TMP-INV-2026/03/02/ 2487584
TMP-INV-2026/03/10/ 2515358
TMP-INV-2026/03/28/ 2572951
TMP-INV-2026/05/09/ 2725261
TMP-INV-2026/05/30/ 2800516
 TROLIT Kalbe SERBUK DUS, 6 SACHET @ 4 GRAM VYTORIN Organon TABLET 10/20 MG DUS, 3 BLISTER @ 10 TABLET
TROLIT Kalbe SERBUK DUS, 6 SACHET @ 4 GRAM
ALPENTIN Actavis KAPSUL 100 MG DUS, 5 BLISTER @ 10 KAPSUL
MILNA NTURE RUMPUT LAUT POUCH, 13 G
PEPTIBREN Sanghiang RASA KACANG HIJAU DUS, 3 SACHET @ 65 G
TRINORDIOL-28 Sunthi TABLET DUS, 2 BLISTER @ 28 TABLET SALUT GULA
 Tarik Barang Retur</t>
  </si>
  <si>
    <t>AWBR-14020-2026-6-16-01</t>
  </si>
  <si>
    <t>Pickup Return, wajib bawa form BA Return. Bilang ke Apotek “mau tarik barang”. Jika tidak ada barang, tulis keterangan “tidak ada barang retur” di form BA TROLIT Kalbe SERBUK DUS, 6 SACHET @ 4 GRAM VYTORIN Organon TABLET 10/20 MG DUS, 3 BLISTER @ 10 TABLET
TROLIT Kalbe SERBUK DUS, 6 SACHET @ 4 GRAM
ALPENTIN Actavis KAPSUL 100 MG DUS, 5 BLISTER @ 10 KAPSUL
MILNA NTURE RUMPUT LAUT POUCH, 13 G
PEPTIBREN Sanghiang RASA KACANG HIJAU DUS, 3 SACHET @ 65 G
TRINORDIOL-28 Sunthi TABLET DUS, 2 BLISTER @ 28 TABLET SALUT GULA
 Tarik Barang Retur</t>
  </si>
  <si>
    <t>AWBR-14002-2026-6-16</t>
  </si>
  <si>
    <t>TMP-INV-2025/05/20/ 1592660
TMP-INV-2025/05/20/ 1592606
TMP-INV-2025/05/21/ 1594804
TMP-INV-2025/05/23/ 1600056
TMP-INV-2025/05/22/ 1598025
TMP-INV-2025/05/22/ 1598257
TMP-INV-2025/05/24/ 1603515
TMP-INV-2025/06/06/ 1636132
TMP-INV-2025/06/06/ 1636503
TMP-INV-2025/06/10/ 1645387
TMP-INV-2025/07/04/ 1712717
TMP-INV-2025/10/04/ 1990518
TMP-INV-2025/10/08/ 2006038
TMP-INV-2025/10/08/ 2005864
TMP-INV-2025/10/08/ 2005949
TMP-INV-2025/10/09/ 2009882
TMP-INV-2025/10/09/ 2009221
TMP-INV-2025/10/09/ 2009555
TMP-INV-2026/01/03/ 2291012
TMP-INV-2026/01/06/ 2301010
TMP-INV-2026/01/06/ 2301007
TMP-INV-2026/01/09/ 2312395
TMP-INV-2026/01/13/ 2324842
TMP-INV-2026/03/25/ 2564908
TMP-INV-2026/04/02/ 2591266
TMP-INV-2026/04/07/ 2608274
TMP-INV-2026/04/14/ 2637944
TMP-INV-2026/05/05/ 2708347
TMP-INV-2026/05/17/ 2754423 PUREKIDS DEODORANT HAPPY MELON Etercon BOTOL 50 ML PUREBB HAND and MOUTH BABY WIPES, ALOE VERA Etercon SACHET, 60 WIPES
MEDERMA FOR KIDS Combiphar DUS, TUBE 20 g
BLEMISH SPOT ACNEMED Surya Dermato GEL DUS, TUBE 12 GRAM
TROLIT Kalbe SERBUK DUS, 6 SACHET @ 4 GRAM
PURITYFIC OMEGA ODOURLESS FISH OIL 1500 MG + VITAMIN D3 Lintas Batas KAPSUL BOTOL PLASTIK @ 60 KAPSUL LUNAK
SGM BBLR DUS, KARTON 200 G
BEBITHEN Erlimpex KRIM 50 MG DUS, 1 TUBE @ 20 GRAM
DEXA-M Dexa Medica TABLET 0.75 MG DUS, 50 BLISTER @ 10 TABLET
SUCRALBAT Interbat SUSPENSI DUS, 1 BOTOL @ 100 ML
BETADINE VAGINAL DOUCHE Mbf VAGINAL DOUCHE DUS, BOTOL PLASTIK 100 ML DENGAN APLIKATOR
PUREBB HAND and MOUTH BABY WIPES, ALOE VERA Etercon SACHET, 60 WIPES
SERETIDE DISKUS Gsk SERBUK INHALER 50/100 MCG DUS, STRIP @ 60 BLISTER DOSIS
NOREPINEPHRINE BITARTRATE MONOHYDRATE Hexpharm INJEKSI DUS, 1 BLISTER @ 5 AMPUL @ 4 ML
ENTRAKID Sanghiang RASA COKLAT DUS, ALUMINIUM FOIL @ 185 G
ENTRASOY Sanghiang RASA ALMOND DAN KEDELAI DUS, 5 SACHET @ 40 G
SERETIDE 125 Gsk INHALER 25/125 MCG DUS, 1 CANISTER @ 120 DOSIS DENGAN DOSE COUNTER
NOREPINEPHRINE BITARTRATE MONOHYDRATE Hexpharm INJEKSI DUS, 1 BLISTER @ 5 AMPUL @ 4 ML
SERETIDE DISKUS Gsk SERBUK INHALER 50/100 MCG DUS, STRIP @ 60 BLISTER DOSIS
OLIGO Sanghiang TROPICAL BANANA DUS, 3 SACHET @ 55 G
MILNA BUBUR BAYI 6+ RASA TIM HATI AYAM BAYAM POUCH @ 120 G
MILNA BUBUR BAYI 8+ RASA SALMON CAH BAYAM POUCH @ 100 G
TROLIT Kalbe SERBUK DUS, 6 SACHET @ 4 GRAM
MILNA BUBUR BAYI 8+ RASA SUP AYAM JAGUNG POUCH @ 100 G
YOU C-1000 LEMON WATER BOTOL PLASTIK @ 500 ML
BLACKMORES ULTRA REFINED HABBATUSSAUDA OIL Kalbe KAPSUL BOTOL KACA @ 30 KAPSUL LUNAK
YOU C-1000 LEMON WATER BOTOL PLASTIK @ 500 ML
YOU C-1000 LEMON WATER BOTOL PLASTIK @ 500 ML
YOU C-1000 LEMON WATER BOTOL PLASTIK @ 500 ML
TRINORDIOL-28 Sunthi TABLET DUS, 2 BLISTER @ 28 TABLET SALUT GULA Tarik Barang Retur</t>
  </si>
  <si>
    <t>AWBR-14002-2026-6-16-01</t>
  </si>
  <si>
    <t>Pickup Return, wajib bawa form BA Return. Bilang ke Apotek “mau tarik barang”. Jika tidak ada barang, tulis keterangan “tidak ada barang retur” di form BA PUREKIDS DEODORANT HAPPY MELON Etercon BOTOL 50 ML PUREBB HAND and MOUTH BABY WIPES, ALOE VERA Etercon SACHET, 60 WIPES
MEDERMA FOR KIDS Combiphar DUS, TUBE 20 g
BLEMISH SPOT ACNEMED Surya Dermato GEL DUS, TUBE 12 GRAM
TROLIT Kalbe SERBUK DUS, 6 SACHET @ 4 GRAM
PURITYFIC OMEGA ODOURLESS FISH OIL 1500 MG + VITAMIN D3 Lintas Batas KAPSUL BOTOL PLASTIK @ 60 KAPSUL LUNAK
SGM BBLR DUS, KARTON 200 G
BEBITHEN Erlimpex KRIM 50 MG DUS, 1 TUBE @ 20 GRAM
DEXA-M Dexa Medica TABLET 0.75 MG DUS, 50 BLISTER @ 10 TABLET
SUCRALBAT Interbat SUSPENSI DUS, 1 BOTOL @ 100 ML
BETADINE VAGINAL DOUCHE Mbf VAGINAL DOUCHE DUS, BOTOL PLASTIK 100 ML DENGAN APLIKATOR
PUREBB HAND and MOUTH BABY WIPES, ALOE VERA Etercon SACHET, 60 WIPES
SERETIDE DISKUS Gsk SERBUK INHALER 50/100 MCG DUS, STRIP @ 60 BLISTER DOSIS
NOREPINEPHRINE BITARTRATE MONOHYDRATE Hexpharm INJEKSI DUS, 1 BLISTER @ 5 AMPUL @ 4 ML
ENTRAKID Sanghiang RASA COKLAT DUS, ALUMINIUM FOIL @ 185 G
ENTRASOY Sanghiang RASA ALMOND DAN KEDELAI DUS, 5 SACHET @ 40 G
SERETIDE 125 Gsk INHALER 25/125 MCG DUS, 1 CANISTER @ 120 DOSIS DENGAN DOSE COUNTER
NOREPINEPHRINE BITARTRATE MONOHYDRATE Hexpharm INJEKSI DUS, 1 BLISTER @ 5 AMPUL @ 4 ML
SERETIDE DISKUS Gsk SERBUK INHALER 50/100 MCG DUS, STRIP @ 60 BLISTER DOSIS
OLIGO Sanghiang TROPICAL BANANA DUS, 3 SACHET @ 55 G
MILNA BUBUR BAYI 6+ RASA TIM HATI AYAM BAYAM POUCH @ 120 G
MILNA BUBUR BAYI 8+ RASA SALMON CAH BAYAM POUCH @ 100 G
TROLIT Kalbe SERBUK DUS, 6 SACHET @ 4 GRAM
MILNA BUBUR BAYI 8+ RASA SUP AYAM JAGUNG POUCH @ 100 G
YOU C-1000 LEMON WATER BOTOL PLASTIK @ 500 ML
BLACKMORES ULTRA REFINED HABBATUSSAUDA OIL Kalbe KAPSUL BOTOL KACA @ 30 KAPSUL LUNAK
YOU C-1000 LEMON WATER BOTOL PLASTIK @ 500 ML
YOU C-1000 LEMON WATER BOTOL PLASTIK @ 500 ML
YOU C-1000 LEMON WATER BOTOL PLASTIK @ 500 ML
TRINORDIOL-28 Sunthi TABLET DUS, 2 BLISTER @ 28 TABLET SALUT GULA Tarik Barang Retur</t>
  </si>
  <si>
    <t>AWBR-14019-2026-6-16</t>
  </si>
  <si>
    <t>Apotek Inofarma Keamanan</t>
  </si>
  <si>
    <t>Jl. Keamanan Raya No 59, RT 001 RW 07, Kel. Keagungan, Kec. Tamansari, Jakarta Barat</t>
  </si>
  <si>
    <t>TMP-INV-2026/04/21/ 2659162 TMP-INV-2026/04/21/ 2659152 GALVUSMET Novartis TABLET 50/500 MG DUS, 3 STRIP @ 10 TABLET SALUT SELAPUT SYMBICORT TURBUHALER AstraZeneca SERBUK INHALASI 160 MCG /4.5 MCG DUS, 1 TURBUHALER @ 120 DOSIS Tarik Barang Retur</t>
  </si>
  <si>
    <t>AWBR-14019-2026-6-16-01</t>
  </si>
  <si>
    <t>Pickup Return, wajib bawa form BA Return. Bilang ke Apotek “mau tarik barang”. Jika tidak ada barang, tulis keterangan “tidak ada barang retur” di form BA GALVUSMET Novartis TABLET 50/500 MG DUS, 3 STRIP @ 10 TABLET SALUT SELAPUT SYMBICORT TURBUHALER AstraZeneca SERBUK INHALASI 160 MCG /4.5 MCG DUS, 1 TURBUHALER @ 120 DOSIS Tarik Barang Retur</t>
  </si>
  <si>
    <t>AWBR-14021-2026-6-16</t>
  </si>
  <si>
    <t>TMP-INV-2026/02/15/ 2435378 TMP-INV-2026/02/17/ 2442380
TMP-INV-2026/03/02/ 2488312
TMP-INV-2026/03/02/ 2488715
TMP-INV-2026/03/05/ 2499263
TMP-INV-2026/03/10/ 2516060
TMP-INV-2026/03/10/ 2516387
TMP-INV-2026/03/25/ 2561390
TMP-INV-2026/04/02/ 2591225
TMP-INV-2026/04/10/ 2620412
TMP-INV-2026/04/13/ 2633653
 MILNA BUBUR BAYI 8+ RASA SUP AYAM JAGUNG POUCH @ 100 G TROLIT Kalbe SERBUK DUS, 6 SACHET @ 4 GRAM
TROLIT Kalbe SERBUK DUS, 6 SACHET @ 4 GRAM
MILNA NTURE RUMPUT LAUT POUCH, 13 G
TROLIT Kalbe SERBUK DUS, 6 SACHET @ 4 GRAM
ALPENTIN Actavis KAPSUL 100 MG DUS, 5 BLISTER @ 10 KAPSUL
GALVUSMET Novartis TABLET 850/50 MG DUS, 3 STRIP @ 10 TABLET SALUT SELAPUT
PEPTIBREN Sanghiang RASA KACANG HIJAU DUS, 3 SACHET @ 65 G
HARNAL D Combiphar TABLET DISPERSIBLE 0.2 MG DUS, 2 BLISTER @ 14 TABLET DISPERSIBEL
YOU C-1000 LEMON WATER BOTOL PLASTIK @ 500 ML
YOU C-1000 LEMON WATER BOTOL PLASTIK @ 500 ML
 Tarik Barang Retur</t>
  </si>
  <si>
    <t>AWBR-14021-2026-6-16-01</t>
  </si>
  <si>
    <t>Pickup Return, wajib bawa form BA Return. Bilang ke Apotek “mau tarik barang”. Jika tidak ada barang, tulis keterangan “tidak ada barang retur” di form BA MILNA BUBUR BAYI 8+ RASA SUP AYAM JAGUNG POUCH @ 100 G TROLIT Kalbe SERBUK DUS, 6 SACHET @ 4 GRAM
TROLIT Kalbe SERBUK DUS, 6 SACHET @ 4 GRAM
MILNA NTURE RUMPUT LAUT POUCH, 13 G
TROLIT Kalbe SERBUK DUS, 6 SACHET @ 4 GRAM
ALPENTIN Actavis KAPSUL 100 MG DUS, 5 BLISTER @ 10 KAPSUL
GALVUSMET Novartis TABLET 850/50 MG DUS, 3 STRIP @ 10 TABLET SALUT SELAPUT
PEPTIBREN Sanghiang RASA KACANG HIJAU DUS, 3 SACHET @ 65 G
HARNAL D Combiphar TABLET DISPERSIBLE 0.2 MG DUS, 2 BLISTER @ 14 TABLET DISPERSIBEL
YOU C-1000 LEMON WATER BOTOL PLASTIK @ 500 ML
YOU C-1000 LEMON WATER BOTOL PLASTIK @ 500 ML
 Tarik Barang Retur</t>
  </si>
  <si>
    <t>AWBR-14014-2026-6-16</t>
  </si>
  <si>
    <t>Apotek Inofarma Kerja Bakti</t>
  </si>
  <si>
    <t>Jl. Kerja Bakti No. 8, RT 002 RW 010, Kel. Kramat Jati, Kec. Kramat Jati - Kota Jakarta Timur</t>
  </si>
  <si>
    <t>TMP-INV-2025/12/12/ 2218231 TMP-INV-2025/12/16/ 2234622
TMP-INV-2025/12/15/ 2230352
TMP-INV-2025/12/16/ 2234341
TMP-INV-2025/12/16/ 2234675
TMP-INV-2025/12/15/ 2230283
TMP-INV-2026/01/09/ 2311891
TMP-INV-2026/01/09/ 2311922
TMP-INV-2026/01/09/ 2311923
TMP-INV-2026/01/13/ 2324912
TMP-INV-2026/01/13/ 2324725
TMP-INV-2026/01/21/ 2350928
TMP-INV-2026/01/22/ 2355223
TMP-INV-2026/03/05/ 2498735
TMP-INV-2026/03/26/ 2564945
 DALFAROL 200 Darya-Varia KAPSUL DUS, 25 STRIP @ 4 KAPSUL LUNAK YOUVIT MULTIVITAMIN GUMMY RASA STRAWBERRY, GOJIBERRY, CANBERRY, RASPBERRY, BLUEBERRY Yupi - DUS DUS, 6 SACHET @ 7 GUMMIES 28 G
YOUVIT MULTIVITAMIN GUMMY RASA STRAWBERRY, GOJIBERRY, CANBERRY, RASPBERRY, BLUEBERRY Yupi - POUCH POUCH @ 30 GUMMIES 120 G
NEPHRISOL D Kalbe RASA VANILA DUS KARTON, ALUMINIUM FOIL 210 g
DIPROSONE OV Organon KRIM DUS, 1 TUBE @ 5 G
GALVUSMET Novartis TABLET 50/500 MG DUS, 3 STRIP @ 10 TABLET SALUT SELAPUT
SYMBICORT TURBUHALER AstraZeneca SERBUK INHALASI 160 MCG /4.5 MCG DUS, 1 TURBUHALER @ 120 DOSIS
PURITYFIC OMEGA ODOURLESS FISH OIL 1500 MG + VITAMIN D3 Lintas Batas KAPSUL BOTOL PLASTIK @ 60 KAPSUL LUNAK
NEPHRISOL Sanghiang RASA CAPPUCCINO DUS, 3 SACHET @67 G
OLIGO Sanghiang TROPICAL BANANA DUS, 3 SACHET @ 55 G
MILNA BUBUR BAYI 6+ RASA TIM HATI AYAM BAYAM POUCH @ 120 G
PURITYFIC OMEGA ODOURLESS FISH OIL 1500 MG + VITAMIN D3 Lintas Batas KAPSUL BOTOL PLASTIK @ 60 KAPSUL LUNAK
NEPHRISOL Sanghiang RASA CAPPUCCINO DUS, 3 SACHET @67 G
TAZOVELL Novell TABLET 30 MG DUS, 3 STRIP @ 10 TABLET
PEPTIBREN Sanghiang RASA KACANG HIJAU DUS, 3 SACHET @ 65 G
LACTOGEN LACTOSE FREE Nestle KALENG 400 G
COLERGIS Dexa Medica TABLET DUS, 10 STRIP @ 10 TABLET
HARNAL D Combiphar TABLET DISPERSIBLE 0.2 MG DUS, 2 BLISTER @ 14 TABLET DISPERSIBEL
 Tarik Barang Retur</t>
  </si>
  <si>
    <t>AWBR-14014-2026-6-16-01</t>
  </si>
  <si>
    <t>Pickup Return, wajib bawa form BA Return. Bilang ke Apotek “mau tarik barang”. Jika tidak ada barang, tulis keterangan “tidak ada barang retur” di form BA DALFAROL 200 Darya-Varia KAPSUL DUS, 25 STRIP @ 4 KAPSUL LUNAK YOUVIT MULTIVITAMIN GUMMY RASA STRAWBERRY, GOJIBERRY, CANBERRY, RASPBERRY, BLUEBERRY Yupi - DUS DUS, 6 SACHET @ 7 GUMMIES 28 G
YOUVIT MULTIVITAMIN GUMMY RASA STRAWBERRY, GOJIBERRY, CANBERRY, RASPBERRY, BLUEBERRY Yupi - POUCH POUCH @ 30 GUMMIES 120 G
NEPHRISOL D Kalbe RASA VANILA DUS KARTON, ALUMINIUM FOIL 210 g
DIPROSONE OV Organon KRIM DUS, 1 TUBE @ 5 G
GALVUSMET Novartis TABLET 50/500 MG DUS, 3 STRIP @ 10 TABLET SALUT SELAPUT
SYMBICORT TURBUHALER AstraZeneca SERBUK INHALASI 160 MCG /4.5 MCG DUS, 1 TURBUHALER @ 120 DOSIS
PURITYFIC OMEGA ODOURLESS FISH OIL 1500 MG + VITAMIN D3 Lintas Batas KAPSUL BOTOL PLASTIK @ 60 KAPSUL LUNAK
NEPHRISOL Sanghiang RASA CAPPUCCINO DUS, 3 SACHET @67 G
OLIGO Sanghiang TROPICAL BANANA DUS, 3 SACHET @ 55 G
MILNA BUBUR BAYI 6+ RASA TIM HATI AYAM BAYAM POUCH @ 120 G
PURITYFIC OMEGA ODOURLESS FISH OIL 1500 MG + VITAMIN D3 Lintas Batas KAPSUL BOTOL PLASTIK @ 60 KAPSUL LUNAK
NEPHRISOL Sanghiang RASA CAPPUCCINO DUS, 3 SACHET @67 G
TAZOVELL Novell TABLET 30 MG DUS, 3 STRIP @ 10 TABLET
PEPTIBREN Sanghiang RASA KACANG HIJAU DUS, 3 SACHET @ 65 G
LACTOGEN LACTOSE FREE Nestle KALENG 400 G
COLERGIS Dexa Medica TABLET DUS, 10 STRIP @ 10 TABLET
HARNAL D Combiphar TABLET DISPERSIBLE 0.2 MG DUS, 2 BLISTER @ 14 TABLET DISPERSIBEL
 Tarik Barang Retur</t>
  </si>
  <si>
    <t>AWBR-14007-2026-6-16</t>
  </si>
  <si>
    <t>TMP-INV-2025/09/14/ 1927539
TMP-INV-2025/09/17/ 1939292
TMP-INV-2025/09/14/ 1928350
TMP-INV-2025/09/17/ 1939713
TMP-INV-2025/09/14/ 1928361
TMP-INV-2025/09/19/ 1945746
TMP-INV-2025/09/19/ 1946423
TMP-INV-2025/10/08/ 2005045
TMP-INV-2025/10/08/ 2005862
TMP-INV-2025/10/08/ 2005931
TMP-INV-2025/10/08/ 2005411
TMP-INV-2025/10/09/ 2007127
TMP-INV-2025/11/07/ 2103581
TMP-INV-2026/01/09/ 2311504
TMP-INV-2026/01/09/ 2311551
TMP-INV-2026/02/27/ 2478395
TMP-INV-2026/03/24/ 2559707
 DALFAROL 200 Darya-Varia KAPSUL DUS, 25 STRIP @ 4 KAPSUL LUNAK KRATINGDAENG CLASSIC Asia Health Energi Beverages BOTOL KACA @ 150 ML
SANOXICAL Sanbe KAPSUL DUS, 2 BLISTER @ 10 KAPSUL LUNAK
YOUVIT MULTIVITAMIN GUMMY RASA STRAWBERRY, GOJIBERRY, CANBERRY, RASPBERRY, BLUEBERRY Yupi - POUCH POUCH @ 30 GUMMIES 120 G
FITKOM GUMMY MULTIVITAMIN BIRU Soho BOX, 5 SACHET @ 21 g
HUFAGRIPP BP BATUK KERING DAN PILEK DEWASA Gratia Husada SIRUP DUS, 1 BOTOL @ 60 ML
CONTREXYN DEMAM (RASA JERUK) Supra Ferbindo DROPS DUS BOTOL@15 ML
KRATINGDAENG CLASSIC Asia Health Energi Beverages BOTOL KACA @ 150 ML
SERETIDE DISKUS Gsk SERBUK INHALER 50/100 MCG DUS, STRIP @ 60 BLISTER DOSIS
NOREPINEPHRINE BITARTRATE MONOHYDRATE Hexpharm INJEKSI DUS, 1 BLISTER @ 5 AMPUL @ 4 ML
TAZOVELL Novell TABLET 30 MG DUS, 3 STRIP @ 10 TABLET
FENOFIBRATE Bernofarm KAPSUL 200 MG DUS, 10 STRIP @ 10 KAPSUL
HARNAL D Combiphar TABLET DISPERSIBLE 0.2 MG DUS, 2 BLISTER @ 14 TABLET DISPERSIBEL
GALVUSMET Novartis TABLET 50/500 MG DUS, 3 STRIP @ 10 TABLET SALUT SELAPUT
NEPHRISOL Sanghiang RASA CAPPUCCINO DUS, 3 SACHET @67 G
MILNA BUBUR BAYI 6+ RASA TIM HATI AYAM BAYAM POUCH @ 120 G
MILNA BUBUR BAYI 8+ RASA SALMON CAH BAYAM POUCH @ 100 G
TROLIT Kalbe SERBUK DUS, 6 SACHET @ 4 GRAM
PEPTIBREN Sanghiang RASA KACANG HIJAU DUS, 3 SACHET @ 65 G
 Tarik Barang Retur</t>
  </si>
  <si>
    <t>AWBR-14007-2026-6-16-01</t>
  </si>
  <si>
    <t>Pickup Return, wajib bawa form BA Return. Bilang ke Apotek “mau tarik barang”. Jika tidak ada barang, tulis keterangan “tidak ada barang retur” di form BA DALFAROL 200 Darya-Varia KAPSUL DUS, 25 STRIP @ 4 KAPSUL LUNAK KRATINGDAENG CLASSIC Asia Health Energi Beverages BOTOL KACA @ 150 ML
SANOXICAL Sanbe KAPSUL DUS, 2 BLISTER @ 10 KAPSUL LUNAK
YOUVIT MULTIVITAMIN GUMMY RASA STRAWBERRY, GOJIBERRY, CANBERRY, RASPBERRY, BLUEBERRY Yupi - POUCH POUCH @ 30 GUMMIES 120 G
FITKOM GUMMY MULTIVITAMIN BIRU Soho BOX, 5 SACHET @ 21 g
HUFAGRIPP BP BATUK KERING DAN PILEK DEWASA Gratia Husada SIRUP DUS, 1 BOTOL @ 60 ML
CONTREXYN DEMAM (RASA JERUK) Supra Ferbindo DROPS DUS BOTOL@15 ML
KRATINGDAENG CLASSIC Asia Health Energi Beverages BOTOL KACA @ 150 ML
SERETIDE DISKUS Gsk SERBUK INHALER 50/100 MCG DUS, STRIP @ 60 BLISTER DOSIS
NOREPINEPHRINE BITARTRATE MONOHYDRATE Hexpharm INJEKSI DUS, 1 BLISTER @ 5 AMPUL @ 4 ML
TAZOVELL Novell TABLET 30 MG DUS, 3 STRIP @ 10 TABLET
FENOFIBRATE Bernofarm KAPSUL 200 MG DUS, 10 STRIP @ 10 KAPSUL
HARNAL D Combiphar TABLET DISPERSIBLE 0.2 MG DUS, 2 BLISTER @ 14 TABLET DISPERSIBEL
GALVUSMET Novartis TABLET 50/500 MG DUS, 3 STRIP @ 10 TABLET SALUT SELAPUT
NEPHRISOL Sanghiang RASA CAPPUCCINO DUS, 3 SACHET @67 G
MILNA BUBUR BAYI 6+ RASA TIM HATI AYAM BAYAM POUCH @ 120 G
MILNA BUBUR BAYI 8+ RASA SALMON CAH BAYAM POUCH @ 100 G
TROLIT Kalbe SERBUK DUS, 6 SACHET @ 4 GRAM
PEPTIBREN Sanghiang RASA KACANG HIJAU DUS, 3 SACHET @ 65 G
 Tarik Barang Retur</t>
  </si>
  <si>
    <t>AWBR-14003-2026-6-16</t>
  </si>
  <si>
    <t>Apotek Inofarma Pisangan Lama</t>
  </si>
  <si>
    <t>Jl. Pisangan Lama III No 2 RT 008 RW 04, Desa/Kelurahan Pisangan Timur, Kec. Pulogadung, Kota Adm. Jakarta Timur</t>
  </si>
  <si>
    <t>TMP-INV-2025/05/29/ 1616978 TMP-INV-2025/06/18/ 1668891
TMP-INV-2025/06/19/ 1671058
TMP-INV-2025/06/20/ 1672780
TMP-INV-2025/06/20/ 1673058
TMP-INV-2025/09/10/ 1915447
TMP-INV-2025/10/08/ 2005004
TMP-INV-2025/10/08/ 2005810
TMP-INV-2025/10/09/ 2009092
TMP-INV-2026/01/07/ 2303929
TMP-INV-2026/01/07/ 2304288
TMP-INV-2026/01/13/ 2324172
TMP-INV-2026/03/06/ 2502766
TMP-INV-2026/03/09/ 2511248
TMP-INV-2026/03/25/ 2563350
TMP-INV-2026/04/07/ 2608235
TMP-INV-2026/04/20/ 2659043
TMP-INV-2026/05/06/ 2712860
TMP-INV-2026/05/13/ 2743164
TMP-INV-2026/05/17/ 2753952
TMP-INV-2026/05/25/ 2783665
 BLEMISH SPOT ACNEMED Surya Dermato GEL DUS, TUBE 12 GRAM BEBITHEN Erlimpex KRIM 50 MG DUS, 1 TUBE @ 20 GRAM
CONSTANTIA Novell SUSPENSI 20 MG DUS, 1 VIAL @ 12 ML
WOODS' PEPPERMINT EXPECTORANT Kalbe SIRUP DUS, 1 BOTOL PLASTIK @ 100 ML
VOMETRAZ Dexa Medica TABLET 8 MG DUS, 1 STRIP @ 10 TABLET SALUT SELAPUT
FLAMAR Sanbe TETES MATA DUS, 1 BOTOL PLASTIK @ 5 ML
NOREPINEPHRINE BITARTRATE MONOHYDRATE Hexpharm INJEKSI DUS, 1 BLISTER @ 5 AMPUL @ 4 ML
ENTRASOY Sanghiang RASA ALMOND DAN KEDELAI DUS, 5 SACHET @ 40 G
NOREPINEPHRINE BITARTRATE MONOHYDRATE Hexpharm INJEKSI DUS, 1 BLISTER @ 5 AMPUL @ 4 ML
TAZOVELL Novell TABLET 30 MG DUS, 3 STRIP @ 10 TABLET
OLIGO Sanghiang TROPICAL BANANA DUS, 3 SACHET @ 55 G
PEPTIBREN Sanghiang RASA KACANG HIJAU DUS, 3 SACHET @ 65 G
CHIL-KID GOLD Sanghiang Perkasa RASA MADU KARTON @ 390 G
MILNA BUBUR BAYI 8+ RASA SUP AYAM JAGUNG POUCH @ 100 G
MILNA NTURE RUMPUT LAUT POUCH, 13 G
DALFAROL 200 Darya-Varia KAPSUL DUS, 25 STRIP @ 4 KAPSUL LUNAK
YOU C-1000 LEMON WATER BOTOL PLASTIK @ 500 ML
YOU C-1000 LEMON WATER BOTOL PLASTIK @ 500 ML
YOU C-1000 LEMON WATER BOTOL PLASTIK @ 500 ML
MILNA KREKERS BERAS RASA UBI DAN WORTEL DUS, 5 SACHET @ 4 G
KRATINGDAENG RED BULL Asia Sejahtera Perdana KALENG @ 250 ML
TRINORDIOL-28 Sunthi TABLET DUS, 2 BLISTER @ 28 TABLET SALUT GULA
TRINORDIOL-28 Sunthi TABLET DUS, 2 BLISTER @ 28 TABLET SALUT GULA
 Tarik Barang Retur</t>
  </si>
  <si>
    <t>AWBR-14003-2026-6-16-01</t>
  </si>
  <si>
    <t>Pickup Return, wajib bawa form BA Return. Bilang ke Apotek “mau tarik barang”. Jika tidak ada barang, tulis keterangan “tidak ada barang retur” di form BA BLEMISH SPOT ACNEMED Surya Dermato GEL DUS, TUBE 12 GRAM BEBITHEN Erlimpex KRIM 50 MG DUS, 1 TUBE @ 20 GRAM
CONSTANTIA Novell SUSPENSI 20 MG DUS, 1 VIAL @ 12 ML
WOODS' PEPPERMINT EXPECTORANT Kalbe SIRUP DUS, 1 BOTOL PLASTIK @ 100 ML
VOMETRAZ Dexa Medica TABLET 8 MG DUS, 1 STRIP @ 10 TABLET SALUT SELAPUT
FLAMAR Sanbe TETES MATA DUS, 1 BOTOL PLASTIK @ 5 ML
NOREPINEPHRINE BITARTRATE MONOHYDRATE Hexpharm INJEKSI DUS, 1 BLISTER @ 5 AMPUL @ 4 ML
ENTRASOY Sanghiang RASA ALMOND DAN KEDELAI DUS, 5 SACHET @ 40 G
NOREPINEPHRINE BITARTRATE MONOHYDRATE Hexpharm INJEKSI DUS, 1 BLISTER @ 5 AMPUL @ 4 ML
TAZOVELL Novell TABLET 30 MG DUS, 3 STRIP @ 10 TABLET
OLIGO Sanghiang TROPICAL BANANA DUS, 3 SACHET @ 55 G
PEPTIBREN Sanghiang RASA KACANG HIJAU DUS, 3 SACHET @ 65 G
CHIL-KID GOLD Sanghiang Perkasa RASA MADU KARTON @ 390 G
MILNA BUBUR BAYI 8+ RASA SUP AYAM JAGUNG POUCH @ 100 G
MILNA NTURE RUMPUT LAUT POUCH, 13 G
DALFAROL 200 Darya-Varia KAPSUL DUS, 25 STRIP @ 4 KAPSUL LUNAK
YOU C-1000 LEMON WATER BOTOL PLASTIK @ 500 ML
YOU C-1000 LEMON WATER BOTOL PLASTIK @ 500 ML
YOU C-1000 LEMON WATER BOTOL PLASTIK @ 500 ML
MILNA KREKERS BERAS RASA UBI DAN WORTEL DUS, 5 SACHET @ 4 G
KRATINGDAENG RED BULL Asia Sejahtera Perdana KALENG @ 250 ML
TRINORDIOL-28 Sunthi TABLET DUS, 2 BLISTER @ 28 TABLET SALUT GULA
TRINORDIOL-28 Sunthi TABLET DUS, 2 BLISTER @ 28 TABLET SALUT GULA
 Tarik Barang Retur</t>
  </si>
  <si>
    <t>AWBR-14029-2026-6-16</t>
  </si>
  <si>
    <t>TMP-INV-2026/04/04/ 2599950 TMP-INV-2026/04/09/ 2620225
TMP-INV-2026/04/09/ 2620404
TMP-INV-2026/04/10/ 2624354
TMP-INV-2026/04/13/ 2633569
TMP-INV-2026/05/12/ 2739015
TMP-INV-2026/05/15/ 2749621
TMP-INV-2026/04/09/ 2620225 BLACKMORES ULTRA REFINED HABBATUSSAUDA OIL Kalbe KAPSUL BOTOL KACA @ 30 KAPSUL LUNAK KIRANTI SEHAT DATANG BULAN ORANGE BOTOL @ 150 ML
YOU C-1000 LEMON WATER BOTOL PLASTIK @ 500 ML
MILNA NTURE RUMPUT LAUT POUCH, 13 G
PEPTIBREN Sanghiang RASA KACANG HIJAU DUS, 3 SACHET @ 65 G
GALVUSMET Novartis TABLET 50/500 MG DUS, 3 STRIP @ 10 TABLET SALUT SELAPUT
LIPITOR Pfizer TABLET 40 MG DUS, 3 BLISTER @ 10 TABLET SALUT SELAPUT
TRINORDIOL-28 Sunthi TABLET DUS, 2 BLISTER @ 28 TABLET SALUT GULA Tarik Barang Retur</t>
  </si>
  <si>
    <t>AWBR-14029-2026-6-16-01</t>
  </si>
  <si>
    <t>Pickup Return, wajib bawa form BA Return. Bilang ke Apotek “mau tarik barang”. Jika tidak ada barang, tulis keterangan “tidak ada barang retur” di form BA BLACKMORES ULTRA REFINED HABBATUSSAUDA OIL Kalbe KAPSUL BOTOL KACA @ 30 KAPSUL LUNAK KIRANTI SEHAT DATANG BULAN ORANGE BOTOL @ 150 ML
YOU C-1000 LEMON WATER BOTOL PLASTIK @ 500 ML
MILNA NTURE RUMPUT LAUT POUCH, 13 G
PEPTIBREN Sanghiang RASA KACANG HIJAU DUS, 3 SACHET @ 65 G
GALVUSMET Novartis TABLET 50/500 MG DUS, 3 STRIP @ 10 TABLET SALUT SELAPUT
LIPITOR Pfizer TABLET 40 MG DUS, 3 BLISTER @ 10 TABLET SALUT SELAPUT
TRINORDIOL-28 Sunthi TABLET DUS, 2 BLISTER @ 28 TABLET SALUT GULA Tarik Barang Retur</t>
  </si>
  <si>
    <t>AWBR-14025-2026-6-16</t>
  </si>
  <si>
    <t>TMP-INV-2026/04/16/ 2645820 TMP-INV-2026/05/22/ 2774960 PEPTIBREN Sanghiang RASA KACANG HIJAU DUS, 3 SACHET @ 65 G SYMBICORT TURBUHALER AstraZeneca SERBUK INHALASI 160 MCG /4.5 MCG DUS, 1 TURBUHALER @ 120 DOSIS Tarik Barang Retur</t>
  </si>
  <si>
    <t>AWBR-14025-2026-6-16-01</t>
  </si>
  <si>
    <t>Pickup Return, wajib bawa form BA Return. Bilang ke Apotek “mau tarik barang”. Jika tidak ada barang, tulis keterangan “tidak ada barang retur” di form BA PEPTIBREN Sanghiang RASA KACANG HIJAU DUS, 3 SACHET @ 65 G SYMBICORT TURBUHALER AstraZeneca SERBUK INHALASI 160 MCG /4.5 MCG DUS, 1 TURBUHALER @ 120 DOSIS Tarik Barang Retur</t>
  </si>
  <si>
    <t>AWBR-14034-2026-6-16</t>
  </si>
  <si>
    <t>Apotek Inofarma Taruna Jaya</t>
  </si>
  <si>
    <t>Jl. Taruna Jaya RT 006 RW 005 RT 006 RW 005, Kel. Cibubur, Kec. Ciracas, Kota Jakarta Timur</t>
  </si>
  <si>
    <t>TMP-INV-2026/04/26/ 2678782 TMP-INV-2026/04/21/ 2663432 PEPTIBREN Sanghiang RASA KACANG HIJAU DUS, 3 SACHET @ 65 G SYMBICORT TURBUHALER AstraZeneca SERBUK INHALASI 160 MCG /4.5 MCG DUS, 1 GALVUSMET Novartis TABLET 50/500 MG DUS, 3 STRIP @ 10 TABLET SALUT SELAPUT TURBUHALER @ 120 DOSIS Tarik Barang Retur</t>
  </si>
  <si>
    <t>AWBR-14034-2026-6-16-01</t>
  </si>
  <si>
    <t>Pickup Return, wajib bawa form BA Return. Bilang ke Apotek “mau tarik barang”. Jika tidak ada barang, tulis keterangan “tidak ada barang retur” di form BA PEPTIBREN Sanghiang RASA KACANG HIJAU DUS, 3 SACHET @ 65 G SYMBICORT TURBUHALER AstraZeneca SERBUK INHALASI 160 MCG /4.5 MCG DUS, 1 GALVUSMET Novartis TABLET 50/500 MG DUS, 3 STRIP @ 10 TABLET SALUT SELAPUT TURBUHALER @ 120 DOSIS Tarik Barang Retur</t>
  </si>
  <si>
    <t>AWBR-14009-2026-6-16</t>
  </si>
  <si>
    <t>Apotek Inofarma Warakas</t>
  </si>
  <si>
    <t>Jl. Warakas I No 18, RT 004 RW 001, Warakas, Tanjung Priok, Kota Jakarta Utara, DKI Jakarta,14370</t>
  </si>
  <si>
    <t>TMP-TO-08054 TMP-INV-2025/10/14/ 2026047
TMP-INV-2025/10/16/ 2029925
TMP-INV-2025/10/17/ 2036982
TMP-INV-2025/10/23/ 2052976
TMP-INV-2025/10/23/ 2055660
TMP-INV-2025/10/24/ 2059651
TMP-INV-2025/10/25/ 2062332
TMP-INV-2026/01/14/ 2328032
TMP-INV-2026/01/14/ 2328090
TMP-INV-2026/01/15/ 2331674
TMP-INV-2026/01/20/ 2348162
TMP-INV-2026/01/22/ 2354063
TMP-INV-2026/01/26/ 2365541
TMP-INV-2026/02/27/ 2478831
TMP-INV-2026/03/02/ 2487525
TMP-INV-2026/03/06/ 2502657
TMP-INV-2026/03/09/ 2511325
TMP-INV-2026/03/25/ 2563546
TMP-INV-2026/03/31/ 2586975
TMP-INV-2026/04/07/ 2608163
TMP-INV-2026/04/14/ 2637343
TMP-INV-2026/04/21/ 2663244
TMP-INV-2026/04/21/ 2663304
 PURITYFIC OMEGA ODOURLESS FISH OIL 1500 MG + VITAMIN D3 Lintas Batas KAPSUL BOTOL PLASTIK @ 60 KAPSUL LUNAK TROLIT Kalbe SERBUK DUS, 6 SACHET @ 4 GRAM
DALFAROL 200 Darya-Varia KAPSUL DUS, 25 STRIP @ 4 KAPSUL LUNAK
NEOCATE LCP Nutricia SERBUK KALENG 400 G
CONTREXYN DEMAM (RASA JERUK) Supra Ferbindo DROPS DUS BOTOL@15 ML
NELLCO SPESIAL OBH PE UNTUK ANAK-ANAK Nellco SIRUP RASA JERUK DUS, 1 BOTOL @ 55 ML
FLAMAR Sanbe TETES MATA DUS, 1 BOTOL PLASTIK @ 5 ML
SPIROLA 100 Dankos TABLET DUS, 5 STRIP @ 10 TABLET
MILNA BUBUR BAYI 6+ RASA TIM HATI AYAM BAYAM POUCH @ 120 G
MILNA BUBUR BAYI 8+ RASA SALMON CAH BAYAM POUCH @ 100 G
MILNA BUBUR BAYI 8+ RASA SUP AYAM JAGUNG POUCH @ 100 G
NEPHRISOL Sanghiang RASA CAPPUCCINO DUS, 3 SACHET @67 G
MILNA NTURE RUMPUT LAUT POUCH, 13 G
SERETIDE DISKUS Gsk SERBUK INHALER 50/100 MCG DUS, STRIP @ 60 BLISTER DOSIS
PEPTIBREN Sanghiang RASA KACANG HIJAU DUS, 3 SACHET @ 65 G
YOU C-1000 LEMON WATER BOTOL PLASTIK @ 500 ML
TROLIT Kalbe SERBUK DUS, 6 SACHET @ 4 GRAM
MILNA NTURE RUMPUT LAUT POUCH, 13 G
YOU C-1000 LEMON WATER BOTOL PLASTIK @ 500 ML
HARNAL D Combiphar TABLET DISPERSIBLE 0.2 MG DUS, 2 BLISTER @ 14 TABLET DISPERSIBEL
MILNA NTURE RUMPUT LAUT POUCH, 13 G
MILNA NTURE RUMPUT LAUT POUCH, 13 G
YOU C-1000 LEMON WATER BOTOL PLASTIK @ 500 ML
YOU C-1000 LEMON WATER BOTOL PLASTIK @ 500 ML
ACICLOVIR Phapros TABLET 200 MG DUS, 5 STRIP @ 10 TABLET
GALVUSMET Novartis TABLET 50/500 MG DUS, 3 STRIP @ 10 TABLET SALUT SELAPUT
 Tarik Barang Retur</t>
  </si>
  <si>
    <t>AWBR-14009-2026-6-16-01</t>
  </si>
  <si>
    <t>Pickup Return, wajib bawa form BA Return. Bilang ke Apotek “mau tarik barang”. Jika tidak ada barang, tulis keterangan “tidak ada barang retur” di form BA PURITYFIC OMEGA ODOURLESS FISH OIL 1500 MG + VITAMIN D3 Lintas Batas KAPSUL BOTOL PLASTIK @ 60 KAPSUL LUNAK TROLIT Kalbe SERBUK DUS, 6 SACHET @ 4 GRAM
DALFAROL 200 Darya-Varia KAPSUL DUS, 25 STRIP @ 4 KAPSUL LUNAK
NEOCATE LCP Nutricia SERBUK KALENG 400 G
CONTREXYN DEMAM (RASA JERUK) Supra Ferbindo DROPS DUS BOTOL@15 ML
NELLCO SPESIAL OBH PE UNTUK ANAK-ANAK Nellco SIRUP RASA JERUK DUS, 1 BOTOL @ 55 ML
FLAMAR Sanbe TETES MATA DUS, 1 BOTOL PLASTIK @ 5 ML
SPIROLA 100 Dankos TABLET DUS, 5 STRIP @ 10 TABLET
MILNA BUBUR BAYI 6+ RASA TIM HATI AYAM BAYAM POUCH @ 120 G
MILNA BUBUR BAYI 8+ RASA SALMON CAH BAYAM POUCH @ 100 G
MILNA BUBUR BAYI 8+ RASA SUP AYAM JAGUNG POUCH @ 100 G
NEPHRISOL Sanghiang RASA CAPPUCCINO DUS, 3 SACHET @67 G
MILNA NTURE RUMPUT LAUT POUCH, 13 G
SERETIDE DISKUS Gsk SERBUK INHALER 50/100 MCG DUS, STRIP @ 60 BLISTER DOSIS
PEPTIBREN Sanghiang RASA KACANG HIJAU DUS, 3 SACHET @ 65 G
YOU C-1000 LEMON WATER BOTOL PLASTIK @ 500 ML
TROLIT Kalbe SERBUK DUS, 6 SACHET @ 4 GRAM
MILNA NTURE RUMPUT LAUT POUCH, 13 G
YOU C-1000 LEMON WATER BOTOL PLASTIK @ 500 ML
HARNAL D Combiphar TABLET DISPERSIBLE 0.2 MG DUS, 2 BLISTER @ 14 TABLET DISPERSIBEL
MILNA NTURE RUMPUT LAUT POUCH, 13 G
MILNA NTURE RUMPUT LAUT POUCH, 13 G
YOU C-1000 LEMON WATER BOTOL PLASTIK @ 500 ML
YOU C-1000 LEMON WATER BOTOL PLASTIK @ 500 ML
ACICLOVIR Phapros TABLET 200 MG DUS, 5 STRIP @ 10 TABLET
GALVUSMET Novartis TABLET 50/500 MG DUS, 3 STRIP @ 10 TABLET SALUT SELAPUT
 Tarik Barang Retur</t>
  </si>
  <si>
    <t>AWBR-10778-2026-6-16</t>
  </si>
  <si>
    <t>TMP-INV-2026/05/27/ 2789811 SGM ANANDA GAIN 100 Sarihusada DUS, ALUMUNIUM FOIL @ 400 G Tarik Barang Retur</t>
  </si>
  <si>
    <t>AWBR-10778-2026-6-16-01</t>
  </si>
  <si>
    <t>Pickup Return, wajib bawa form BA Return. Bilang ke Apotek “mau tarik barang”. Jika tidak ada barang, tulis keterangan “tidak ada barang retur” di form BA SGM ANANDA GAIN 100 Sarihusada DUS, ALUMUNIUM FOIL @ 400 G Tarik Barang Retur</t>
  </si>
  <si>
    <t>AWBR-TMP-103-2026-6-16</t>
  </si>
  <si>
    <t>Apotek Zam Zam Mulia</t>
  </si>
  <si>
    <t>Jl Kebon Sirih Barat IX No 7D RT 004 RW 005 Kelurahan Kebon Sirih Kecamatan Menteng Jakarta Pusat DKI Jakarta 10340 (Rumah Ibu Elvi)</t>
  </si>
  <si>
    <t>TMP-INV-2026/03/29/ 2578117 TMP-INV-2026/03/29/ 2578100
TMP-INV-2026/03/20/ 2554064
TMP-INV-2026/03/20/ 2553972
TMP-INV-2026/03/20/ 2553964
TMP-INV-2026/03/20/ 2554215
TMP-INV-2026/05/23/ 2776576 Tarik Faktur</t>
  </si>
  <si>
    <t>AWBR-TMP-103-2026-6-16-01</t>
  </si>
  <si>
    <t>Pickup Return, wajib bawa form BA Return. Bilang ke Apotek “mau tarik barang”. Jika tidak ada barang, tulis keterangan “tidak ada barang retur” di form BA TMP-INV-2026/03/29/ 2578117 TMP-INV-2026/03/29/ 2578100
TMP-INV-2026/03/20/ 2554064
TMP-INV-2026/03/20/ 2553972
TMP-INV-2026/03/20/ 2553964
TMP-INV-2026/03/20/ 2554215
TMP-INV-2026/05/23/ 2776576 Tarik Faktur</t>
  </si>
  <si>
    <t>AWBR-TMP-405-2026-6-16</t>
  </si>
  <si>
    <t>Apotek Alam Medika</t>
  </si>
  <si>
    <t>TMP-INV-2026/05/23/ 2776576
TMP-INV-2026/05/22/ 2772993
TMP-INV-2026/05/14/ 2743853
TMP-INV-2026/05/14/ 2743780
TMP-INV-2026/05/14/ 2743814
 Tarik Faktur</t>
  </si>
  <si>
    <t>AWBR-TMP-405-2026-6-16-01</t>
  </si>
  <si>
    <t>Pickup Return, wajib bawa form BA Return. Bilang ke Apotek “mau tarik barang”. Jika tidak ada barang, tulis keterangan “tidak ada barang retur” di form BA TMP-INV-2026/05/23/ 2776576
TMP-INV-2026/05/22/ 2772993
TMP-INV-2026/05/14/ 2743853
TMP-INV-2026/05/14/ 2743780
TMP-INV-2026/05/14/ 2743814
 Tarik Faktur</t>
  </si>
  <si>
    <t>AWBR-TMP-455-2026-6-16</t>
  </si>
  <si>
    <t>TMP-INV-2026/03/20/ 2553463
TMP-INV-2026/03/20/ 2553364
TMP-INV-2026/03/20/ 2553484
TMP-INV-2026/03/19/ 2553150
TMP-INV-2026/03/19/ 2553085
TMP-INV-2026/02/17/ 2441113
TMP-INV-2026/02/14/ 2432963
 Tarik Faktur</t>
  </si>
  <si>
    <t>AWBR-TMP-455-2026-6-16-01</t>
  </si>
  <si>
    <t>Pickup Return, wajib bawa form BA Return. Bilang ke Apotek “mau tarik barang”. Jika tidak ada barang, tulis keterangan “tidak ada barang retur” di form BA TMP-INV-2026/03/20/ 2553463
TMP-INV-2026/03/20/ 2553364
TMP-INV-2026/03/20/ 2553484
TMP-INV-2026/03/19/ 2553150
TMP-INV-2026/03/19/ 2553085
TMP-INV-2026/02/17/ 2441113
TMP-INV-2026/02/14/ 2432963
 Tarik Faktur</t>
  </si>
  <si>
    <t>AWBR-TMP-475-2026-6-16</t>
  </si>
  <si>
    <t>Apotek 8</t>
  </si>
  <si>
    <t>TMP-INV-2026/04/02/ 2593935 / TMP-INV-2026/03/19/ 2551975 Tarik Faktur</t>
  </si>
  <si>
    <t>AWBR-TMP-475-2026-6-16-01</t>
  </si>
  <si>
    <t>Pickup Return, wajib bawa form BA Return. Bilang ke Apotek “mau tarik barang”. Jika tidak ada barang, tulis keterangan “tidak ada barang retur” di form BA TMP-INV-2026/04/02/ 2593935 / TMP-INV-2026/03/19/ 2551975 Tarik Faktur</t>
  </si>
  <si>
    <t>AWBR-TMP-657-2026-6-16</t>
  </si>
  <si>
    <t>Apotek Salva Medika</t>
  </si>
  <si>
    <t>TMP-INV-2026/05/23/ 2776581
TMP-INV-2026/05/14/ 2744621
TMP-INV-2026/05/14/ 2744617
TMP-INV-2026/04/23/ 2667525
TMP-INV-2026/04/22/ 2667056
TMP-INV-2026/03/04/ 2495114
TMP-INV-2026/03/04/ 2494946
TMP-INV-2026/03/04/ 2495174
 Tarik Faktur</t>
  </si>
  <si>
    <t>AWBR-TMP-657-2026-6-16-01</t>
  </si>
  <si>
    <t>Pickup Return, wajib bawa form BA Return. Bilang ke Apotek “mau tarik barang”. Jika tidak ada barang, tulis keterangan “tidak ada barang retur” di form BA TMP-INV-2026/05/23/ 2776581
TMP-INV-2026/05/14/ 2744621
TMP-INV-2026/05/14/ 2744617
TMP-INV-2026/04/23/ 2667525
TMP-INV-2026/04/22/ 2667056
TMP-INV-2026/03/04/ 2495114
TMP-INV-2026/03/04/ 2494946
TMP-INV-2026/03/04/ 2495174
 Tarik Faktur</t>
  </si>
  <si>
    <t>AWBR-TMP-722-2026-6-16</t>
  </si>
  <si>
    <t>Apotek Sehat Bersama 2</t>
  </si>
  <si>
    <t>TMP-INV-2026/03/30/ 2581578
TMP-INV-2026/03/30/ 2581423
TMP-INV-2026/03/19/ 2551611
 Tarik Faktur</t>
  </si>
  <si>
    <t>AWBR-TMP-722-2026-6-16-01</t>
  </si>
  <si>
    <t>Pickup Return, wajib bawa form BA Return. Bilang ke Apotek “mau tarik barang”. Jika tidak ada barang, tulis keterangan “tidak ada barang retur” di form BA TMP-INV-2026/03/30/ 2581578
TMP-INV-2026/03/30/ 2581423
TMP-INV-2026/03/19/ 2551611
 Tarik Faktur</t>
  </si>
  <si>
    <t>AWBR-TMP-982-2026-6-16</t>
  </si>
  <si>
    <t>TMP-INV-2026/04/07/ 2610969 TMP-INV-2026/04/07/ 2611430
TMP-INV-2026/03/26/ 2567622
TMP-INV-2026/03/26/ 2567774
TMP-INV-2026/03/24/ 2560066
TMP-INV-2026/03/24/ 2560194
TMP-INV-2026/03/24/ 2560335
TMP-INV-2026/03/23/ 2555975
TMP-INV-2026/03/23/ 2556391
TMP-INV-2026/03/23/ 2556654
TMP-INV-2026/03/20/ 2553548
TMP-INV-2026/03/20/ 2553906
TMP-INV-2026/03/20/ 2553818
TMP-INV-2026/03/20/ 2553404
TMP-INV-2026/03/18/ 2548714
TMP-INV-2026/03/17/ 2543799
 Tarik Faktur</t>
  </si>
  <si>
    <t>AWBR-TMP-982-2026-6-16-01</t>
  </si>
  <si>
    <t>Pickup Return, wajib bawa form BA Return. Bilang ke Apotek “mau tarik barang”. Jika tidak ada barang, tulis keterangan “tidak ada barang retur” di form BA TMP-INV-2026/04/07/ 2610969 TMP-INV-2026/04/07/ 2611430
TMP-INV-2026/03/26/ 2567622
TMP-INV-2026/03/26/ 2567774
TMP-INV-2026/03/24/ 2560066
TMP-INV-2026/03/24/ 2560194
TMP-INV-2026/03/24/ 2560335
TMP-INV-2026/03/23/ 2555975
TMP-INV-2026/03/23/ 2556391
TMP-INV-2026/03/23/ 2556654
TMP-INV-2026/03/20/ 2553548
TMP-INV-2026/03/20/ 2553906
TMP-INV-2026/03/20/ 2553818
TMP-INV-2026/03/20/ 2553404
TMP-INV-2026/03/18/ 2548714
TMP-INV-2026/03/17/ 2543799
 Tarik Faktur</t>
  </si>
  <si>
    <t>AWBR-TMP-1036-2026-6-16</t>
  </si>
  <si>
    <t>Klinik Pratama Adia Bintara</t>
  </si>
  <si>
    <t>TMP-INV-2026/05/06/ 2713236
TMP-INV-2026/05/06/ 2713325
TMP-INV-2026/04/29/ 2688976
 Tarik Faktur</t>
  </si>
  <si>
    <t>AWBR-TMP-1036-2026-6-16-01</t>
  </si>
  <si>
    <t>Pickup Return, wajib bawa form BA Return. Bilang ke Apotek “mau tarik barang”. Jika tidak ada barang, tulis keterangan “tidak ada barang retur” di form BA TMP-INV-2026/05/06/ 2713236
TMP-INV-2026/05/06/ 2713325
TMP-INV-2026/04/29/ 2688976
 Tarik Faktur</t>
  </si>
  <si>
    <t>AWBR-TMP-1184-2026-6-16</t>
  </si>
  <si>
    <t>TMP-INV-2026/05/25/ 2782093
TMP-INV-2026/05/25/ 2782648
TMP-INV-2026/05/25/ 2781950
TMP-INV-2026/05/25/ 2782285
TMP-INV-2026/05/23/ 2777098
TMP-INV-2026/05/23/ 2776941
TMP-INV-2026/01/03/ 2290531
 Tarik Faktur</t>
  </si>
  <si>
    <t>AWBR-TMP-1184-2026-6-16-01</t>
  </si>
  <si>
    <t>Pickup Return, wajib bawa form BA Return. Bilang ke Apotek “mau tarik barang”. Jika tidak ada barang, tulis keterangan “tidak ada barang retur” di form BA TMP-INV-2026/05/25/ 2782093
TMP-INV-2026/05/25/ 2782648
TMP-INV-2026/05/25/ 2781950
TMP-INV-2026/05/25/ 2782285
TMP-INV-2026/05/23/ 2777098
TMP-INV-2026/05/23/ 2776941
TMP-INV-2026/01/03/ 2290531
 Tarik Faktur</t>
  </si>
  <si>
    <t>AWBR-TMP-1442-2026-6-16</t>
  </si>
  <si>
    <t>TMP-INV-2026/04/07/ 2610899
TMP-INV-2026/04/07/ 2611269
TMP-INV-2026/03/26/ 2567297
TMP-INV-2026/03/26/ 2566659
TMP-INV-2026/03/26/ 2567635
TMP-INV-2026/03/16/ 2538720
 Tarik Faktur</t>
  </si>
  <si>
    <t>AWBR-TMP-1442-2026-6-16-01</t>
  </si>
  <si>
    <t>Pickup Return, wajib bawa form BA Return. Bilang ke Apotek “mau tarik barang”. Jika tidak ada barang, tulis keterangan “tidak ada barang retur” di form BA TMP-INV-2026/04/07/ 2610899
TMP-INV-2026/04/07/ 2611269
TMP-INV-2026/03/26/ 2567297
TMP-INV-2026/03/26/ 2566659
TMP-INV-2026/03/26/ 2567635
TMP-INV-2026/03/16/ 2538720
 Tarik Faktur</t>
  </si>
  <si>
    <t>AWBR-TMP-1455-2026-6-16</t>
  </si>
  <si>
    <t>TMP-INV-2026/04/07/ 2611187
TMP-INV-2026/04/07/ 2611759
TMP-INV-2026/04/01/ 2589818
TMP-INV-2026/03/31/ 2585501
TMP-INV-2026/03/31/ 2585623
TMP-INV-2026/03/31/ 2586161
TMP-INV-2026/03/31/ 2583615
TMP-INV-2026/03/25/ 2563709
TMP-INV-2026/03/25/ 2563733
TMP-INV-2026/03/25/ 2563829
TMP-INV-2026/03/25/ 2563231
TMP-INV-2026/03/25/ 2563929
TMP-INV-2026/03/25/ 2561471
TMP-INV-2026/03/20/ 2553340
TMP-INV-2026/03/19/ 2553202
TMP-INV-2026/03/20/ 2553594
TMP-INV-2026/03/19/ 2552467
TMP-INV-2026/03/19/ 2552303
TMP-INV-2026/03/18/ 2549605
TMP-INV-2026/03/19/ 2552311
TMP-INV-2026/02/11/ 2421752
TMP-INV-2026/02/11/ 2422104
TMP-INV-2026/02/11/ 2421653
TMP-INV-2026/02/11/ 2420262
TMP-INV-2026/02/11/ 2421425
TMP-INV-2026/02/11/ 2421055
TMP-INV-2026/01/21/ 2348573
 Tarik Faktur</t>
  </si>
  <si>
    <t>AWBR-TMP-1455-2026-6-16-01</t>
  </si>
  <si>
    <t>Pickup Return, wajib bawa form BA Return. Bilang ke Apotek “mau tarik barang”. Jika tidak ada barang, tulis keterangan “tidak ada barang retur” di form BA TMP-INV-2026/04/07/ 2611187
TMP-INV-2026/04/07/ 2611759
TMP-INV-2026/04/01/ 2589818
TMP-INV-2026/03/31/ 2585501
TMP-INV-2026/03/31/ 2585623
TMP-INV-2026/03/31/ 2586161
TMP-INV-2026/03/31/ 2583615
TMP-INV-2026/03/25/ 2563709
TMP-INV-2026/03/25/ 2563733
TMP-INV-2026/03/25/ 2563829
TMP-INV-2026/03/25/ 2563231
TMP-INV-2026/03/25/ 2563929
TMP-INV-2026/03/25/ 2561471
TMP-INV-2026/03/20/ 2553340
TMP-INV-2026/03/19/ 2553202
TMP-INV-2026/03/20/ 2553594
TMP-INV-2026/03/19/ 2552467
TMP-INV-2026/03/19/ 2552303
TMP-INV-2026/03/18/ 2549605
TMP-INV-2026/03/19/ 2552311
TMP-INV-2026/02/11/ 2421752
TMP-INV-2026/02/11/ 2422104
TMP-INV-2026/02/11/ 2421653
TMP-INV-2026/02/11/ 2420262
TMP-INV-2026/02/11/ 2421425
TMP-INV-2026/02/11/ 2421055
TMP-INV-2026/01/21/ 2348573
 Tarik Faktur</t>
  </si>
  <si>
    <t>AWBR-TMP-1518-2026-6-16</t>
  </si>
  <si>
    <t>TMP-INV-2026/04/03/ 2598653
TMP-INV-2026/04/04/ 2599578
TMP-INV-2026/04/02/ 2594113
TMP-INV-2026/04/02/ 2594082
TMP-INV-2026/03/10/ 2513808
TMP-INV-2026/03/10/ 2515628
 Tarik Faktur</t>
  </si>
  <si>
    <t>AWBR-TMP-1518-2026-6-16-01</t>
  </si>
  <si>
    <t>Pickup Return, wajib bawa form BA Return. Bilang ke Apotek “mau tarik barang”. Jika tidak ada barang, tulis keterangan “tidak ada barang retur” di form BA TMP-INV-2026/04/03/ 2598653
TMP-INV-2026/04/04/ 2599578
TMP-INV-2026/04/02/ 2594113
TMP-INV-2026/04/02/ 2594082
TMP-INV-2026/03/10/ 2513808
TMP-INV-2026/03/10/ 2515628
 Tarik Faktur</t>
  </si>
  <si>
    <t>AWBR-TMP-1629-2026-6-16</t>
  </si>
  <si>
    <t>TMP-INV-2026/04/22/ 2664826
TMP-INV-2026/04/18/ 2651686
TMP-INV-2026/04/11/ 2626315
 Tarik Faktur</t>
  </si>
  <si>
    <t>AWBR-TMP-1629-2026-6-16-01</t>
  </si>
  <si>
    <t>Pickup Return, wajib bawa form BA Return. Bilang ke Apotek “mau tarik barang”. Jika tidak ada barang, tulis keterangan “tidak ada barang retur” di form BA TMP-INV-2026/04/22/ 2664826
TMP-INV-2026/04/18/ 2651686
TMP-INV-2026/04/11/ 2626315
 Tarik Faktur</t>
  </si>
  <si>
    <t>AWBR-TMP-2124-2026-6-16</t>
  </si>
  <si>
    <t>Apotek Bintara 8</t>
  </si>
  <si>
    <t>TMP-INV-2026/05/08/ 2721582
TMP-INV-2026/03/11/ 2521477
 Tarik Faktur</t>
  </si>
  <si>
    <t>AWBR-TMP-2124-2026-6-16-01</t>
  </si>
  <si>
    <t>Pickup Return, wajib bawa form BA Return. Bilang ke Apotek “mau tarik barang”. Jika tidak ada barang, tulis keterangan “tidak ada barang retur” di form BA TMP-INV-2026/05/08/ 2721582
TMP-INV-2026/03/11/ 2521477
 Tarik Faktur</t>
  </si>
  <si>
    <t>AWBR-TMP-2131-2026-6-16</t>
  </si>
  <si>
    <t>Apotek Angsana 3</t>
  </si>
  <si>
    <t>TMP-INV-2026/05/23/ 2775398
TMP-INV-2026/05/23/ 2776370
TMP-INV-2026/05/23/ 2775259
TMP-INV-2026/05/14/ 2745058
TMP-INV-2026/05/08/ 2721458
TMP-INV-2026/05/08/ 2721691
TMP-INV-2026/05/08/ 2721424
 Tarik Faktur</t>
  </si>
  <si>
    <t>AWBR-TMP-2131-2026-6-16-01</t>
  </si>
  <si>
    <t>Pickup Return, wajib bawa form BA Return. Bilang ke Apotek “mau tarik barang”. Jika tidak ada barang, tulis keterangan “tidak ada barang retur” di form BA TMP-INV-2026/05/23/ 2775398
TMP-INV-2026/05/23/ 2776370
TMP-INV-2026/05/23/ 2775259
TMP-INV-2026/05/14/ 2745058
TMP-INV-2026/05/08/ 2721458
TMP-INV-2026/05/08/ 2721691
TMP-INV-2026/05/08/ 2721424
 Tarik Faktur</t>
  </si>
  <si>
    <t>AWBR-TMP-2412-2026-6-16</t>
  </si>
  <si>
    <t>Apotek Sentra</t>
  </si>
  <si>
    <t>TMP-INV-2026/05/23/ 2775949
TMP-INV-2026/05/23/ 2775852
TMP-INV-2026/05/23/ 2776023
TMP-INV-2026/05/23/ 2775697
TMP-INV-2026/05/23/ 2775687
 Tarik Faktur</t>
  </si>
  <si>
    <t>AWBR-TMP-2412-2026-6-16-01</t>
  </si>
  <si>
    <t>Pickup Return, wajib bawa form BA Return. Bilang ke Apotek “mau tarik barang”. Jika tidak ada barang, tulis keterangan “tidak ada barang retur” di form BA TMP-INV-2026/05/23/ 2775949
TMP-INV-2026/05/23/ 2775852
TMP-INV-2026/05/23/ 2776023
TMP-INV-2026/05/23/ 2775697
TMP-INV-2026/05/23/ 2775687
 Tarik Faktur</t>
  </si>
  <si>
    <t>AWBR-TMP-3369-2026-6-16</t>
  </si>
  <si>
    <t>Apotek Candra Farma</t>
  </si>
  <si>
    <t>TMP-INV-2026/05/23/ 2775804
TMP-INV-2026/05/23/ 2776497
TMP-INV-2026/04/27/ 2680155
TMP-INV-2026/04/27/ 2680241
TMP-INV-2026/04/27/ 2681570
 Tarik Faktur</t>
  </si>
  <si>
    <t>AWBR-TMP-3369-2026-6-16-01</t>
  </si>
  <si>
    <t>Pickup Return, wajib bawa form BA Return. Bilang ke Apotek “mau tarik barang”. Jika tidak ada barang, tulis keterangan “tidak ada barang retur” di form BA TMP-INV-2026/05/23/ 2775804
TMP-INV-2026/05/23/ 2776497
TMP-INV-2026/04/27/ 2680155
TMP-INV-2026/04/27/ 2680241
TMP-INV-2026/04/27/ 2681570
 Tarik Faktur</t>
  </si>
  <si>
    <t>AWBR-TMP-4376-2026-6-16</t>
  </si>
  <si>
    <t>Apotek Najeeb Farma</t>
  </si>
  <si>
    <t>TMP-INV-2026/05/23/ 2776663
TMP-INV-2026/05/23/ 2775892
TMP-INV-2026/05/14/ 2744959
TMP-INV-2026/05/14/ 2744856
TMP-INV-2026/05/14/ 2744091
TMP-INV-2026/04/07/ 2608160
TMP-INV-2026/02/12/ 2423999
TMP-INV-2026/02/12/ 2424393
 Tarik Faktur</t>
  </si>
  <si>
    <t>AWBR-TMP-4376-2026-6-16-01</t>
  </si>
  <si>
    <t>Pickup Return, wajib bawa form BA Return. Bilang ke Apotek “mau tarik barang”. Jika tidak ada barang, tulis keterangan “tidak ada barang retur” di form BA TMP-INV-2026/05/23/ 2776663
TMP-INV-2026/05/23/ 2775892
TMP-INV-2026/05/14/ 2744959
TMP-INV-2026/05/14/ 2744856
TMP-INV-2026/05/14/ 2744091
TMP-INV-2026/04/07/ 2608160
TMP-INV-2026/02/12/ 2423999
TMP-INV-2026/02/12/ 2424393
 Tarik Faktur</t>
  </si>
  <si>
    <t>AWBR-TMP-5349-2026-6-16</t>
  </si>
  <si>
    <t>Apotek Rizki 5349</t>
  </si>
  <si>
    <t>TMP-INV-2026/04/07/ 2611497
TMP-INV-2026/04/07/ 2611073
TMP-INV-2026/04/07/ 2609857
TMP-INV-2026/04/07/ 2611608
TMP-INV-2026/04/03/ 2597844
TMP-INV-2026/03/30/ 2581330
TMP-INV-2026/03/30/ 2580437
TMP-INV-2026/03/29/ 2578375
TMP-INV-2026/03/29/ 2578173
TMP-INV-2026/03/29/ 2578075
TMP-INV-2026/03/29/ 2577386
TMP-INV-2026/03/18/ 2548834
TMP-INV-2026/02/18/ 2444871
TMP-INV-2026/02/11/ 2421905
TMP-INV-2026/02/11/ 2421705
 Tarik Faktur</t>
  </si>
  <si>
    <t>AWBR-TMP-5349-2026-6-16-01</t>
  </si>
  <si>
    <t>Pickup Return, wajib bawa form BA Return. Bilang ke Apotek “mau tarik barang”. Jika tidak ada barang, tulis keterangan “tidak ada barang retur” di form BA TMP-INV-2026/04/07/ 2611497
TMP-INV-2026/04/07/ 2611073
TMP-INV-2026/04/07/ 2609857
TMP-INV-2026/04/07/ 2611608
TMP-INV-2026/04/03/ 2597844
TMP-INV-2026/03/30/ 2581330
TMP-INV-2026/03/30/ 2580437
TMP-INV-2026/03/29/ 2578375
TMP-INV-2026/03/29/ 2578173
TMP-INV-2026/03/29/ 2578075
TMP-INV-2026/03/29/ 2577386
TMP-INV-2026/03/18/ 2548834
TMP-INV-2026/02/18/ 2444871
TMP-INV-2026/02/11/ 2421905
TMP-INV-2026/02/11/ 2421705
 Tarik Faktur</t>
  </si>
  <si>
    <t>AWBR-TMP-6006-2026-6-16</t>
  </si>
  <si>
    <t>Apotek Visa Farma</t>
  </si>
  <si>
    <t>TMP-INV-2026/05/23/ 2775258
TMP-INV-2026/05/23/ 2775847
TMP-INV-2026/05/23/ 2775331
TMP-INV-2026/05/23/ 2776569
TMP-INV-2026/05/08/ 2722050
TMP-INV-2026/05/04/ 2703901
TMP-INV-2026/05/04/ 2703910
TMP-INV-2026/05/04/ 2704090
TMP-INV-2026/05/04/ 2703956
TMP-INV-2026/05/04/ 2704059
TMP-INV-2026/05/04/ 2704099
TMP-INV-2026/05/04/ 2703848
TMP-INV-2026/05/04/ 2704478
TMP-INV-2026/05/04/ 2704317
TMP-INV-2026/05/04/ 2703862
TMP-INV-2026/05/04/ 2703990
TMP-INV-2026/01/28/ 2371947
TMP-INV-2026/01/28/ 2371769 Tarik Faktur</t>
  </si>
  <si>
    <t>AWBR-TMP-6006-2026-6-16-01</t>
  </si>
  <si>
    <t>Pickup Return, wajib bawa form BA Return. Bilang ke Apotek “mau tarik barang”. Jika tidak ada barang, tulis keterangan “tidak ada barang retur” di form BA TMP-INV-2026/05/23/ 2775258
TMP-INV-2026/05/23/ 2775847
TMP-INV-2026/05/23/ 2775331
TMP-INV-2026/05/23/ 2776569
TMP-INV-2026/05/08/ 2722050
TMP-INV-2026/05/04/ 2703901
TMP-INV-2026/05/04/ 2703910
TMP-INV-2026/05/04/ 2704090
TMP-INV-2026/05/04/ 2703956
TMP-INV-2026/05/04/ 2704059
TMP-INV-2026/05/04/ 2704099
TMP-INV-2026/05/04/ 2703848
TMP-INV-2026/05/04/ 2704478
TMP-INV-2026/05/04/ 2704317
TMP-INV-2026/05/04/ 2703862
TMP-INV-2026/05/04/ 2703990
TMP-INV-2026/01/28/ 2371947
TMP-INV-2026/01/28/ 2371769 Tarik Faktur</t>
  </si>
  <si>
    <t>AWBR-TMP-8787-2026-6-16</t>
  </si>
  <si>
    <t>TMP-INV-2026/04/03/ 2596926
TMP-INV-2026/04/03/ 2597722
TMP-INV-2026/04/03/ 2597263
TMP-INV-2026/04/03/ 2596459
TMP-INV-2026/04/02/ 2594206
TMP-INV-2026/03/17/ 2543399
TMP-INV-2026/03/17/ 2544551
TMP-INV-2026/03/18/ 2548626
TMP-INV-2026/03/18/ 2548972
TMP-INV-2026/03/13/ 2527880
TMP-INV-2026/03/13/ 2526587
TMP-INV-2026/03/13/ 2528275
TMP-INV-2026/03/13/ 2528320
 Tarik Faktur</t>
  </si>
  <si>
    <t>AWBR-TMP-8787-2026-6-16-01</t>
  </si>
  <si>
    <t>Pickup Return, wajib bawa form BA Return. Bilang ke Apotek “mau tarik barang”. Jika tidak ada barang, tulis keterangan “tidak ada barang retur” di form BA TMP-INV-2026/04/03/ 2596926
TMP-INV-2026/04/03/ 2597722
TMP-INV-2026/04/03/ 2597263
TMP-INV-2026/04/03/ 2596459
TMP-INV-2026/04/02/ 2594206
TMP-INV-2026/03/17/ 2543399
TMP-INV-2026/03/17/ 2544551
TMP-INV-2026/03/18/ 2548626
TMP-INV-2026/03/18/ 2548972
TMP-INV-2026/03/13/ 2527880
TMP-INV-2026/03/13/ 2526587
TMP-INV-2026/03/13/ 2528275
TMP-INV-2026/03/13/ 2528320
 Tarik Faktur</t>
  </si>
  <si>
    <t>AWBR-TMP-10824-2026-6-16</t>
  </si>
  <si>
    <t>Apotek Shakira Sehat Bersama Jaticempaka Pondok Gede</t>
  </si>
  <si>
    <t>TMP-INV-2026/04/07/ 2611387
TMP-INV-2026/04/07/ 2610999
TMP-INV-2026/04/07/ 2609635
TMP-INV-2026/04/07/ 2611012
TMP-INV-2026/04/07/ 2609237
TMP-INV-2026/04/07/ 2611509
TMP-INV-2026/03/29/ 2578092
TMP-INV-2026/03/29/ 2578231
TMP-INV-2026/03/29/ 2578270
TMP-INV-2026/03/29/ 2577683
TMP-INV-2026/03/29/ 2578051
TMP-INV-2026/03/20/ 2553491
 Tarik Faktur</t>
  </si>
  <si>
    <t>AWBR-TMP-10824-2026-6-16-01</t>
  </si>
  <si>
    <t>Pickup Return, wajib bawa form BA Return. Bilang ke Apotek “mau tarik barang”. Jika tidak ada barang, tulis keterangan “tidak ada barang retur” di form BA TMP-INV-2026/04/07/ 2611387
TMP-INV-2026/04/07/ 2610999
TMP-INV-2026/04/07/ 2609635
TMP-INV-2026/04/07/ 2611012
TMP-INV-2026/04/07/ 2609237
TMP-INV-2026/04/07/ 2611509
TMP-INV-2026/03/29/ 2578092
TMP-INV-2026/03/29/ 2578231
TMP-INV-2026/03/29/ 2578270
TMP-INV-2026/03/29/ 2577683
TMP-INV-2026/03/29/ 2578051
TMP-INV-2026/03/20/ 2553491
 Tarik Faktur</t>
  </si>
  <si>
    <t>AWBR-TMP-10858-2026-6-16</t>
  </si>
  <si>
    <t>Apotek Fany Farma Bintara Bekasi Barat</t>
  </si>
  <si>
    <t>TMP-INV-2026/05/23/ 2775833
TMP-INV-2026/05/23/ 2776612
TMP-INV-2026/03/12/ 2523056
 Tarik Faktur</t>
  </si>
  <si>
    <t>AWBR-TMP-10858-2026-6-16-01</t>
  </si>
  <si>
    <t>Pickup Return, wajib bawa form BA Return. Bilang ke Apotek “mau tarik barang”. Jika tidak ada barang, tulis keterangan “tidak ada barang retur” di form BA TMP-INV-2026/05/23/ 2775833
TMP-INV-2026/05/23/ 2776612
TMP-INV-2026/03/12/ 2523056
 Tarik Faktur</t>
  </si>
  <si>
    <t>AWBR-TMP-11809-2026-6-16</t>
  </si>
  <si>
    <t>TMP-INV-2026/05/19/ 2763168
TMP-INV-2026/05/06/ 2716259
TMP-INV-2026/04/04/ 2600561
TMP-INV-2026/04/01/ 2589241
TMP-INV-2026/03/25/ 2561350
TMP-INV-2026/03/10/ 2516548
 Tarik Faktur</t>
  </si>
  <si>
    <t>AWBR-TMP-11809-2026-6-16-01</t>
  </si>
  <si>
    <t>Pickup Return, wajib bawa form BA Return. Bilang ke Apotek “mau tarik barang”. Jika tidak ada barang, tulis keterangan “tidak ada barang retur” di form BA TMP-INV-2026/05/19/ 2763168
TMP-INV-2026/05/06/ 2716259
TMP-INV-2026/04/04/ 2600561
TMP-INV-2026/04/01/ 2589241
TMP-INV-2026/03/25/ 2561350
TMP-INV-2026/03/10/ 2516548
 Tarik Faktur</t>
  </si>
  <si>
    <t>AWBR-TMP-11873-2026-6-16</t>
  </si>
  <si>
    <t>TMP-INV-2026/04/01/ 2589671
TMP-INV-2026/03/31/ 2585675
TMP-INV-2026/03/31/ 2585556
TMP-INV-2026/03/31/ 2585934
TMP-INV-2026/03/31/ 2585604
TMP-INV-2026/03/31/ 2585634
TMP-INV-2026/03/31/ 2583141
TMP-INV-2026/03/31/ 2584767
TMP-INV-2026/03/27/ 2571571
TMP-INV-2026/03/27/ 2571737
 Tarik Faktur</t>
  </si>
  <si>
    <t>AWBR-TMP-11873-2026-6-16-01</t>
  </si>
  <si>
    <t>Pickup Return, wajib bawa form BA Return. Bilang ke Apotek “mau tarik barang”. Jika tidak ada barang, tulis keterangan “tidak ada barang retur” di form BA TMP-INV-2026/04/01/ 2589671
TMP-INV-2026/03/31/ 2585675
TMP-INV-2026/03/31/ 2585556
TMP-INV-2026/03/31/ 2585934
TMP-INV-2026/03/31/ 2585604
TMP-INV-2026/03/31/ 2585634
TMP-INV-2026/03/31/ 2583141
TMP-INV-2026/03/31/ 2584767
TMP-INV-2026/03/27/ 2571571
TMP-INV-2026/03/27/ 2571737
 Tarik Faktur</t>
  </si>
  <si>
    <t>AWBR-TMP-11952-2026-6-16</t>
  </si>
  <si>
    <t>TMP-INV-2026/05/10/ 2729966
TMP-INV-2026/05/10/ 2730361
TMP-INV-2026/05/08/ 2724559
TMP-INV-2026/05/06/ 2716034
TMP-INV-2026/05/06/ 2716221
TMP-INV-2026/05/06/ 2716060
TMP-INV-2026/04/07/ 2611630
TMP-INV-2026/04/07/ 2611778
TMP-INV-2026/04/04/ 2600647
TMP-INV-2026/04/03/ 2597838
TMP-INV-2026/04/03/ 2596860
TMP-INV-2026/04/01/ 2589581
TMP-INV-2026/03/19/ 2553105
TMP-INV-2026/03/19/ 2551439
TMP-INV-2026/03/19/ 2551370
TMP-INV-2026/03/18/ 2549589
TMP-INV-2026/03/18/ 2548989
TMP-INV-2026/03/19/ 2551513
TMP-INV-2026/03/11/ 2519640
TMP-INV-2026/03/11/ 2520463
TMP-INV-2026/03/11/ 2520485
TMP-INV-2026/03/11/ 2519014
 Tarik Faktur</t>
  </si>
  <si>
    <t>AWBR-TMP-11952-2026-6-16-01</t>
  </si>
  <si>
    <t>Pickup Return, wajib bawa form BA Return. Bilang ke Apotek “mau tarik barang”. Jika tidak ada barang, tulis keterangan “tidak ada barang retur” di form BA TMP-INV-2026/05/10/ 2729966
TMP-INV-2026/05/10/ 2730361
TMP-INV-2026/05/08/ 2724559
TMP-INV-2026/05/06/ 2716034
TMP-INV-2026/05/06/ 2716221
TMP-INV-2026/05/06/ 2716060
TMP-INV-2026/04/07/ 2611630
TMP-INV-2026/04/07/ 2611778
TMP-INV-2026/04/04/ 2600647
TMP-INV-2026/04/03/ 2597838
TMP-INV-2026/04/03/ 2596860
TMP-INV-2026/04/01/ 2589581
TMP-INV-2026/03/19/ 2553105
TMP-INV-2026/03/19/ 2551439
TMP-INV-2026/03/19/ 2551370
TMP-INV-2026/03/18/ 2549589
TMP-INV-2026/03/18/ 2548989
TMP-INV-2026/03/19/ 2551513
TMP-INV-2026/03/11/ 2519640
TMP-INV-2026/03/11/ 2520463
TMP-INV-2026/03/11/ 2520485
TMP-INV-2026/03/11/ 2519014
 Tarik Faktur</t>
  </si>
  <si>
    <t>AWBR-TMP-12103-2026-6-16</t>
  </si>
  <si>
    <t>Apotek Dhifa Farma Baru Bekasi Barat</t>
  </si>
  <si>
    <t>TMP-INV-2026/03/28/ 2575015
TMP-INV-2026/03/28/ 2574753
TMP-INV-2026/03/28/ 2574668
 Tarik Faktur</t>
  </si>
  <si>
    <t>AWBR-TMP-12103-2026-6-16-01</t>
  </si>
  <si>
    <t>Pickup Return, wajib bawa form BA Return. Bilang ke Apotek “mau tarik barang”. Jika tidak ada barang, tulis keterangan “tidak ada barang retur” di form BA TMP-INV-2026/03/28/ 2575015
TMP-INV-2026/03/28/ 2574753
TMP-INV-2026/03/28/ 2574668
 Tarik Faktur</t>
  </si>
  <si>
    <t>AWBR-TMP-12114-2026-6-16</t>
  </si>
  <si>
    <t>TMP-INV-2026/05/03/ 2702589 Tarik Faktur</t>
  </si>
  <si>
    <t>AWBR-TMP-12114-2026-6-16-01</t>
  </si>
  <si>
    <t>Pickup Return, wajib bawa form BA Return. Bilang ke Apotek “mau tarik barang”. Jika tidak ada barang, tulis keterangan “tidak ada barang retur” di form BA TMP-INV-2026/05/03/ 2702589 Tarik Faktur</t>
  </si>
  <si>
    <t>AWBR-TMP-12745-2026-6-16</t>
  </si>
  <si>
    <t>Apotek Living Kota Baru Bekasi Barat</t>
  </si>
  <si>
    <t>TMP-INV-2026/04/14/ 2634396 Tarik Faktur</t>
  </si>
  <si>
    <t>AWBR-TMP-12745-2026-6-16-01</t>
  </si>
  <si>
    <t>Pickup Return, wajib bawa form BA Return. Bilang ke Apotek “mau tarik barang”. Jika tidak ada barang, tulis keterangan “tidak ada barang retur” di form BA TMP-INV-2026/04/14/ 2634396 Tarik Faktur</t>
  </si>
  <si>
    <t>AWBR-TMP-12892-2026-6-16</t>
  </si>
  <si>
    <t>Apotek Arini Farma Bintara Bekasi Barat</t>
  </si>
  <si>
    <t>TMP-INV-2026/05/23/ 2776505
TMP-INV-2026/05/14/ 2745057
TMP-INV-2026/05/14/ 2744741
TMP-INV-2026/04/30/ 2692921
TMP-INV-2026/04/30/ 2693157
 Tarik Faktur</t>
  </si>
  <si>
    <t>AWBR-TMP-12892-2026-6-16-01</t>
  </si>
  <si>
    <t>Pickup Return, wajib bawa form BA Return. Bilang ke Apotek “mau tarik barang”. Jika tidak ada barang, tulis keterangan “tidak ada barang retur” di form BA TMP-INV-2026/05/23/ 2776505
TMP-INV-2026/05/14/ 2745057
TMP-INV-2026/05/14/ 2744741
TMP-INV-2026/04/30/ 2692921
TMP-INV-2026/04/30/ 2693157
 Tarik Faktur</t>
  </si>
  <si>
    <t>AWBR-TMP-13278-2026-6-16</t>
  </si>
  <si>
    <t>TMP-INV-2026/04/30/ 2695078
TMP-INV-2026/04/13/ 2632043
TMP-INV-2026/04/13/ 2632203
TMP-INV-2026/04/13/ 2632213
TMP-INV-2026/04/07/ 2611157
TMP-INV-2026/04/07/ 2611425
TMP-INV-2026/04/07/ 2611117
TMP-INV-2026/04/05/ 2603040
TMP-INV-2026/04/05/ 2602644
TMP-INV-2026/04/03/ 2597825
TMP-INV-2026/04/03/ 2597251
TMP-INV-2026/03/31/ 2585719
TMP-INV-2026/03/31/ 2585846
TMP-INV-2026/03/30/ 2581833
TMP-INV-2026/03/23/ 2554684
TMP-INV-2026/03/23/ 2556526
TMP-INV-2026/03/23/ 2556431
TMP-INV-2026/03/19/ 2552125
TMP-INV-2026/03/19/ 2551940
TMP-INV-2026/03/19/ 2551974
TMP-INV-2026/03/15/ 2534666
TMP-INV-2026/03/15/ 2534691
TMP-INV-2026/02/05/ 2401298
TMP-INV-2026/02/05/ 2400853
TMP-INV-2026/02/05/ 2400439
TMP-INV-2026/02/05/ 2401421 Tarik Faktur</t>
  </si>
  <si>
    <t>AWBR-TMP-13278-2026-6-16-01</t>
  </si>
  <si>
    <t>Pickup Return, wajib bawa form BA Return. Bilang ke Apotek “mau tarik barang”. Jika tidak ada barang, tulis keterangan “tidak ada barang retur” di form BA TMP-INV-2026/04/30/ 2695078
TMP-INV-2026/04/13/ 2632043
TMP-INV-2026/04/13/ 2632203
TMP-INV-2026/04/13/ 2632213
TMP-INV-2026/04/07/ 2611157
TMP-INV-2026/04/07/ 2611425
TMP-INV-2026/04/07/ 2611117
TMP-INV-2026/04/05/ 2603040
TMP-INV-2026/04/05/ 2602644
TMP-INV-2026/04/03/ 2597825
TMP-INV-2026/04/03/ 2597251
TMP-INV-2026/03/31/ 2585719
TMP-INV-2026/03/31/ 2585846
TMP-INV-2026/03/30/ 2581833
TMP-INV-2026/03/23/ 2554684
TMP-INV-2026/03/23/ 2556526
TMP-INV-2026/03/23/ 2556431
TMP-INV-2026/03/19/ 2552125
TMP-INV-2026/03/19/ 2551940
TMP-INV-2026/03/19/ 2551974
TMP-INV-2026/03/15/ 2534666
TMP-INV-2026/03/15/ 2534691
TMP-INV-2026/02/05/ 2401298
TMP-INV-2026/02/05/ 2400853
TMP-INV-2026/02/05/ 2400439
TMP-INV-2026/02/05/ 2401421 Tarik Faktur</t>
  </si>
  <si>
    <t>AWBR-TMP-13379-2026-6-16</t>
  </si>
  <si>
    <t>TMP-INV-2026/05/24/ 2778653
TMP-INV-2026/05/23/ 2776442
TMP-INV-2026/05/23/ 2775826 Tarik Faktur</t>
  </si>
  <si>
    <t>AWBR-TMP-13379-2026-6-16-01</t>
  </si>
  <si>
    <t>Pickup Return, wajib bawa form BA Return. Bilang ke Apotek “mau tarik barang”. Jika tidak ada barang, tulis keterangan “tidak ada barang retur” di form BA TMP-INV-2026/05/24/ 2778653
TMP-INV-2026/05/23/ 2776442
TMP-INV-2026/05/23/ 2775826 Tarik Faktur</t>
  </si>
  <si>
    <t>AWBR-TMP-13709-2026-6-16</t>
  </si>
  <si>
    <t>Klinik Pratama Regency Medical Jatiwaringin Pondokgede</t>
  </si>
  <si>
    <t>TMP-INV-2026/05/15/ 2749372
TMP-INV-2026/03/15/ 2533987 Tarik Faktur</t>
  </si>
  <si>
    <t>AWBR-TMP-13709-2026-6-16-01</t>
  </si>
  <si>
    <t>Pickup Return, wajib bawa form BA Return. Bilang ke Apotek “mau tarik barang”. Jika tidak ada barang, tulis keterangan “tidak ada barang retur” di form BA TMP-INV-2026/05/15/ 2749372
TMP-INV-2026/03/15/ 2533987 Tarik Faktur</t>
  </si>
  <si>
    <t>AWBR-TMP-15096-2026-6-16</t>
  </si>
  <si>
    <t>TMP-INV-2026/05/22/ 2774221
TMP-INV-2026/05/08/ 2724750
TMP-INV-2026/05/08/ 2724777
TMP-INV-2026/03/29/ 2578230
TMP-INV-2026/03/29/ 2578354
TMP-INV-2026/02/21/ 2458726 Tarik Faktur</t>
  </si>
  <si>
    <t>AWBR-TMP-15096-2026-6-16-01</t>
  </si>
  <si>
    <t>Pickup Return, wajib bawa form BA Return. Bilang ke Apotek “mau tarik barang”. Jika tidak ada barang, tulis keterangan “tidak ada barang retur” di form BA TMP-INV-2026/05/22/ 2774221
TMP-INV-2026/05/08/ 2724750
TMP-INV-2026/05/08/ 2724777
TMP-INV-2026/03/29/ 2578230
TMP-INV-2026/03/29/ 2578354
TMP-INV-2026/02/21/ 2458726 Tarik Faktur</t>
  </si>
  <si>
    <t>AWBR-TMP-15313-2026-6-16</t>
  </si>
  <si>
    <t>Apotek EMJE Baru Bekasi Barat</t>
  </si>
  <si>
    <t>TMP-INV-2026/05/04/ 2705730
TMP-INV-2026/05/04/ 2704957
 Tarik Faktur</t>
  </si>
  <si>
    <t>AWBR-TMP-15313-2026-6-16-01</t>
  </si>
  <si>
    <t>Pickup Return, wajib bawa form BA Return. Bilang ke Apotek “mau tarik barang”. Jika tidak ada barang, tulis keterangan “tidak ada barang retur” di form BA TMP-INV-2026/05/04/ 2705730
TMP-INV-2026/05/04/ 2704957
 Tarik Faktur</t>
  </si>
  <si>
    <t>AWBR-TMP-15869-2026-6-16</t>
  </si>
  <si>
    <t>Apotek K24 Jatiwaringin Jaticempaka Pondokgede</t>
  </si>
  <si>
    <t>TMP-INV-2026/04/07/ 2611715
TMP-INV-2026/04/07/ 2611158
TMP-INV-2026/04/03/ 2597674
TMP-INV-2026/03/26/ 2566728
TMP-INV-2026/03/20/ 2554148
TMP-INV-2026/03/20/ 2554028
 Tarik Faktur</t>
  </si>
  <si>
    <t>AWBR-TMP-15869-2026-6-16-01</t>
  </si>
  <si>
    <t>Pickup Return, wajib bawa form BA Return. Bilang ke Apotek “mau tarik barang”. Jika tidak ada barang, tulis keterangan “tidak ada barang retur” di form BA TMP-INV-2026/04/07/ 2611715
TMP-INV-2026/04/07/ 2611158
TMP-INV-2026/04/03/ 2597674
TMP-INV-2026/03/26/ 2566728
TMP-INV-2026/03/20/ 2554148
TMP-INV-2026/03/20/ 2554028
 Tarik Faktur</t>
  </si>
  <si>
    <t>AWBR-TMP-16587-2026-6-16</t>
  </si>
  <si>
    <t>TMP-INV-2026/04/14/ 2636612
TMP-INV-2026/04/14/ 2636232
TMP-INV-2026/04/14/ 2637156
TMP-INV-2026/04/14/ 2635511
TMP-INV-2026/04/01/ 2590030
TMP-INV-2026/03/25/ 2563233
TMP-INV-2026/03/25/ 2564027
TMP-INV-2026/03/15/ 2533629
TMP-INV-2026/03/15/ 2534828
TMP-INV-2026/03/15/ 2533483
TMP-INV-2026/02/14/ 2432833
TMP-INV-2026/02/14/ 2431323
TMP-INV-2026/02/14/ 2432360
TMP-INV-2026/02/14/ 2431721
 Tarik Faktur</t>
  </si>
  <si>
    <t>AWBR-TMP-16587-2026-6-16-01</t>
  </si>
  <si>
    <t>Pickup Return, wajib bawa form BA Return. Bilang ke Apotek “mau tarik barang”. Jika tidak ada barang, tulis keterangan “tidak ada barang retur” di form BA TMP-INV-2026/04/14/ 2636612
TMP-INV-2026/04/14/ 2636232
TMP-INV-2026/04/14/ 2637156
TMP-INV-2026/04/14/ 2635511
TMP-INV-2026/04/01/ 2590030
TMP-INV-2026/03/25/ 2563233
TMP-INV-2026/03/25/ 2564027
TMP-INV-2026/03/15/ 2533629
TMP-INV-2026/03/15/ 2534828
TMP-INV-2026/03/15/ 2533483
TMP-INV-2026/02/14/ 2432833
TMP-INV-2026/02/14/ 2431323
TMP-INV-2026/02/14/ 2432360
TMP-INV-2026/02/14/ 2431721
 Tarik Faktur</t>
  </si>
  <si>
    <t>AWBR-3320345800</t>
  </si>
  <si>
    <t>TMP-INV-2026/02/06/ 2404497</t>
  </si>
  <si>
    <t>AWBR-3320345800-01</t>
  </si>
  <si>
    <t>AWBR-3320346695</t>
  </si>
  <si>
    <t>TMP-INV-2026/06/13/ 2850539</t>
  </si>
  <si>
    <t>Apotek Raja Sehat Ciganjur Jagakarsa</t>
  </si>
  <si>
    <t>Jl. Moch. Kahfi 2 No. 5A RT. 05 RW 04 Kel. Ciganjur Kec. Jagakarsa Kota Jakarta Selatan</t>
  </si>
  <si>
    <t>Invoice: TMP-INV-2026/06/12/ 2847532
3x TEMPRA (RASA ANGGUR) Taisho SIRUP 2-6 Tahun Tarik Barang Retur</t>
  </si>
  <si>
    <t>AWBR-3320346695-01</t>
  </si>
  <si>
    <t>Pickup Return, wajib bawa form BA Return. Bilang ke Apotek “mau tarik barang”. Jika tidak ada barang, tulis keterangan “tidak ada barang retur” di form BA Invoice: TMP-INV-2026/06/12/ 2847532
3x TEMPRA (RASA ANGGUR) Taisho SIRUP 2-6 Tahun Tarik Barang Retur</t>
  </si>
  <si>
    <t>AWBR-3320460720</t>
  </si>
  <si>
    <t>TMP-INV-2026/06/12/ 2846727</t>
  </si>
  <si>
    <t>Apotek Marta Farma 2</t>
  </si>
  <si>
    <t>Jalan Raya Leuwiliang BTN Purnasari Blok E RT. 01 RW. 01 Desa Leuwiliang Kecamatan Leuwiliang Kabupaten Bogor 16640</t>
  </si>
  <si>
    <t>Invoice: TMP-INV-2026/06/14/ 2852516
1x VISANNE Bayer TABLET 2 MG Tarik Barang Retur</t>
  </si>
  <si>
    <t>AWBR-3320460720-01</t>
  </si>
  <si>
    <t>Pickup Return, wajib bawa form BA Return. Bilang ke Apotek “mau tarik barang”. Jika tidak ada barang, tulis keterangan “tidak ada barang retur” di form BA Invoice: TMP-INV-2026/06/14/ 2852516
1x VISANNE Bayer TABLET 2 MG Tarik Barang Retur</t>
  </si>
  <si>
    <t>AWBR-3320452001</t>
  </si>
  <si>
    <t>TMP-INV-2026/06/14/ 2853253</t>
  </si>
  <si>
    <t>Invoice: TMP-INV-2026/06/13/ 2851639
1x DETTOL ANTISEPTIK CAIR Tarik Barang Retur</t>
  </si>
  <si>
    <t>AWBR-3320452001-01</t>
  </si>
  <si>
    <t>Pickup Return, wajib bawa form BA Return. Bilang ke Apotek “mau tarik barang”. Jika tidak ada barang, tulis keterangan “tidak ada barang retur” di form BA Invoice: TMP-INV-2026/06/13/ 2851639
1x DETTOL ANTISEPTIK CAIR Tarik Barang Retur</t>
  </si>
  <si>
    <t>AWBR-3320350114</t>
  </si>
  <si>
    <t>Apotek Cenina Farma Bantargebang Bantar Gebang</t>
  </si>
  <si>
    <t>Ruko Cahaya Mustika No.8 D Jl. Prapatan Kel. Bantargebang Kec. Bantar Gebang Kota Bekasi</t>
  </si>
  <si>
    <t>Invoice: TMP-INV-2025/09/17/ 1938501
1x NEPHRISOL Sanghiang RASA VANILA Tarik Barang Retur</t>
  </si>
  <si>
    <t>AWBR-3320350114-01</t>
  </si>
  <si>
    <t>Pickup Return, wajib bawa form BA Return. Bilang ke Apotek “mau tarik barang”. Jika tidak ada barang, tulis keterangan “tidak ada barang retur” di form BA Invoice: TMP-INV-2025/09/17/ 1938501
1x NEPHRISOL Sanghiang RASA VANILA Tarik Barang Retur</t>
  </si>
  <si>
    <t>AWBR-3320348514</t>
  </si>
  <si>
    <t>Apotek Jihan Farma</t>
  </si>
  <si>
    <t>Bekasi junction LT. UG Blok S - No. 215,216,197,198, Desa/Kelurahan Margahayu, Kec. Bekasi Timur, Kota Bekasi, 17113</t>
  </si>
  <si>
    <t>Invoice: TMP-INV-2026/06/14/2853631
12x ELZSA Sydna TABLET Tarik Barang Retur</t>
  </si>
  <si>
    <t>AWBR-3320348514-01</t>
  </si>
  <si>
    <t>Pickup Return, wajib bawa form BA Return. Bilang ke Apotek “mau tarik barang”. Jika tidak ada barang, tulis keterangan “tidak ada barang retur” di form BA Invoice: TMP-INV-2026/06/14/2853631
12x ELZSA Sydna TABLET Tarik Barang Retur</t>
  </si>
  <si>
    <t>AWBR-3320940275</t>
  </si>
  <si>
    <t>Invoice: TMP-INV-2026/06/15/ 2857552
2x VECTRINE Dexa Medica KAPSUL 300 MG
1x MADU MURNI TJ Ultrasakti
----------------------------------------
Invoice: TMP-INV-2026/06/15/ 2857092
Complete Return Tarik Barang Retur</t>
  </si>
  <si>
    <t>AWBR-3320940275-01</t>
  </si>
  <si>
    <t>Pickup Return, wajib bawa form BA Return. Bilang ke Apotek “mau tarik barang”. Jika tidak ada barang, tulis keterangan “tidak ada barang retur” di form BA Invoice: TMP-INV-2026/06/15/ 2857552
2x VECTRINE Dexa Medica KAPSUL 300 MG
1x MADU MURNI TJ Ultrasakti
----------------------------------------
Invoice: TMP-INV-2026/06/15/ 2857092
Complete Return Tarik Barang Retur</t>
  </si>
  <si>
    <t>AWBR-3321743603</t>
  </si>
  <si>
    <t>TMP-INV-2026/06/15/ 2857924</t>
  </si>
  <si>
    <t>Apotek Inafarma Selomartani Kalasan</t>
  </si>
  <si>
    <t>Jl. Raya Selomartani , Salakan, Desa/Kelurahan Selomartani, Kecamatan Kalasan,Kabupaten Sleman,DI Yogyakarta,55571</t>
  </si>
  <si>
    <t>Invoice: TMP-INV-2026/06/15/ 2857924
2x LACTULAX COKLAT Ika SIRUP Tarik Barang Retur</t>
  </si>
  <si>
    <t>AWBR-3321743603-01</t>
  </si>
  <si>
    <t>Pickup Return, wajib bawa form BA Return. Bilang ke Apotek “mau tarik barang”. Jika tidak ada barang, tulis keterangan “tidak ada barang retur” di form BA Invoice: TMP-INV-2026/06/15/ 2857924
2x LACTULAX COKLAT Ika SIRUP Tarik Barang Retur</t>
  </si>
  <si>
    <t>AWBR-3321664336</t>
  </si>
  <si>
    <t>TMP-INV-2026/06/13/ 2852022</t>
  </si>
  <si>
    <t>Apotek Camp Medika Bolon Colomadu</t>
  </si>
  <si>
    <t>Jl. Tentara Pelajar, Dusun Madoh RT.01 RW.08, Kel./Desa Bolon, Kec Colomadu, Kab. Karanganyar, Jawa Tengah, 57178</t>
  </si>
  <si>
    <t>Invoice: TMP-INV-2026/06/13/ 2852022
Complete Return Tarik Barang Retur</t>
  </si>
  <si>
    <t>AWBR-3321664336-01</t>
  </si>
  <si>
    <t>Pickup Return, wajib bawa form BA Return. Bilang ke Apotek “mau tarik barang”. Jika tidak ada barang, tulis keterangan “tidak ada barang retur” di form BA Invoice: TMP-INV-2026/06/13/ 2852022
Complete Return Tarik Barang Retur</t>
  </si>
  <si>
    <t>AWBR-3321677661</t>
  </si>
  <si>
    <t>TMP-INV-2026/06/16/ 2858591</t>
  </si>
  <si>
    <t>Apotek Padma 5853</t>
  </si>
  <si>
    <t>Jalan RM Said No.156 Kelurahan Punggawan, Kecamatan Banjarsari, Kota Surakarta, Jawa Tengah 57131</t>
  </si>
  <si>
    <t>Invoice: TMP-INV-2026/06/16/ 2858591
3x KENALOG IN ORABASE Taisho SALEP Tarik Barang Retur</t>
  </si>
  <si>
    <t>AWBR-3321677661-01</t>
  </si>
  <si>
    <t>Pickup Return, wajib bawa form BA Return. Bilang ke Apotek “mau tarik barang”. Jika tidak ada barang, tulis keterangan “tidak ada barang retur” di form BA Invoice: TMP-INV-2026/06/16/ 2858591
3x KENALOG IN ORABASE Taisho SALEP Tarik Barang Retur</t>
  </si>
  <si>
    <t>AWBR-3320351375</t>
  </si>
  <si>
    <t>TMP-INV-2025/08/07/ 1808282</t>
  </si>
  <si>
    <t>Apotek Enggal Waras Kadipiro Banjarsari</t>
  </si>
  <si>
    <t>Bayan RT 004 RW 014 Bayan Krajan,Desa/Kelurahan Kadipiro,Kecamatan Banjarsari,Kota Surakarta,Jawa Tengah,57136</t>
  </si>
  <si>
    <t>Invoice: TMP-INV-2025/08/07/ 1808282
1x ALOCLAIR PLUS Enseval GEL
1x ALOCLAIR PLUS MOUTHWASH Enseval OBAT KUMUR Tarik Barang Retur</t>
  </si>
  <si>
    <t>AWBR-3320351375-01</t>
  </si>
  <si>
    <t>Pickup Return, wajib bawa form BA Return. Bilang ke Apotek “mau tarik barang”. Jika tidak ada barang, tulis keterangan “tidak ada barang retur” di form BA Invoice: TMP-INV-2025/08/07/ 1808282
1x ALOCLAIR PLUS Enseval GEL
1x ALOCLAIR PLUS MOUTHWASH Enseval OBAT KUMUR Tarik Barang Retur</t>
  </si>
  <si>
    <t>AWBR-3320465038</t>
  </si>
  <si>
    <t>TMP-INV-2026/06/14/ 2852818</t>
  </si>
  <si>
    <t>Invoice: TMP-INV-2026/06/14/ 2852818
2x MEDISIO Faratu 36 % Tarik Barang Retur</t>
  </si>
  <si>
    <t>AWBR-3320465038-01</t>
  </si>
  <si>
    <t>Pickup Return, wajib bawa form BA Return. Bilang ke Apotek “mau tarik barang”. Jika tidak ada barang, tulis keterangan “tidak ada barang retur” di form BA Invoice: TMP-INV-2026/06/14/ 2852818
2x MEDISIO Faratu 36 % Tarik Barang Retur</t>
  </si>
  <si>
    <t>AWBR-3321712420</t>
  </si>
  <si>
    <t>TMP-INV-2026/06/16/ 2858530</t>
  </si>
  <si>
    <t>Apotek Abirama Farma</t>
  </si>
  <si>
    <t>Jalan Raya Slamet No. 35 RT. 16 RW. 5, Desa Slamet, Kec. Tumpang, Kab. Malang, Jawa Timur 65156</t>
  </si>
  <si>
    <t>Invoice: TMP-INV-2026/06/16/ 2858530
3x BETADINE ANTISEPTIC SPRAY CLEAR Mbf Tarik Barang Retur</t>
  </si>
  <si>
    <t>AWBR-3321712420-01</t>
  </si>
  <si>
    <t>Pickup Return, wajib bawa form BA Return. Bilang ke Apotek “mau tarik barang”. Jika tidak ada barang, tulis keterangan “tidak ada barang retur” di form BA Invoice: TMP-INV-2026/06/16/ 2858530
3x BETADINE ANTISEPTIC SPRAY CLEAR Mbf Tarik Barang Retur</t>
  </si>
  <si>
    <t>AWBR-3321674536</t>
  </si>
  <si>
    <t>TMP-INV-2026/06/16/ 2858819</t>
  </si>
  <si>
    <t>Apotek Karanganyar Karanganyar Poncokusumo</t>
  </si>
  <si>
    <t>RT.01 RW.01,Desa/Kelurahan Karanganyar,Kecamatan Poncokusumo,Kabupaten Malang,Jawa Timur,65157</t>
  </si>
  <si>
    <t>Invoice: TMP-INV-2026/06/16/ 2858819
1x ACARBOSE Dexa Medica TABLET 100 MG Tarik Barang Retur</t>
  </si>
  <si>
    <t>AWBR-3321674536-01</t>
  </si>
  <si>
    <t>Pickup Return, wajib bawa form BA Return. Bilang ke Apotek “mau tarik barang”. Jika tidak ada barang, tulis keterangan “tidak ada barang retur” di form BA Invoice: TMP-INV-2026/06/16/ 2858819
1x ACARBOSE Dexa Medica TABLET 100 MG Tarik Barang Retur</t>
  </si>
  <si>
    <t>AWBR-3321011705</t>
  </si>
  <si>
    <t>TMP-INV-2026/06/15/ 2855035</t>
  </si>
  <si>
    <t>Apotek Sidomakmur Mulyoagung Dau</t>
  </si>
  <si>
    <t>Jalan Sido Makmur 94 Kav 5,Desa/Kelurahan Mulyoagung,Kecamatan Dau, Kabupaten Malang,Jawa Timur,65151</t>
  </si>
  <si>
    <t>Invoice: TMP-INV-2026/06/15/ 2855035
4x DICLOFENAC POTASSIUM Nulab TABLET 25 MG Tarik Barang Retur</t>
  </si>
  <si>
    <t>AWBR-3321011705-01</t>
  </si>
  <si>
    <t>Pickup Return, wajib bawa form BA Return. Bilang ke Apotek “mau tarik barang”. Jika tidak ada barang, tulis keterangan “tidak ada barang retur” di form BA Invoice: TMP-INV-2026/06/15/ 2855035
4x DICLOFENAC POTASSIUM Nulab TABLET 25 MG Tarik Barang Retur</t>
  </si>
  <si>
    <t>AWBR-3320443091</t>
  </si>
  <si>
    <t>TMP-INV-2025/09/30/ 1976772</t>
  </si>
  <si>
    <t>Apotek An Najaah Manduro Manggunggajah Ngoro</t>
  </si>
  <si>
    <t>Jalan Gempol-Mojokerto RT.013 RW.002 Kelurahan Manduro Manggunggajah, Kecamatan Ngoro, Kabupaten Mojokerto, Jawa Timur,61385</t>
  </si>
  <si>
    <t>Invoice: TMP-INV-2025/09/30/ 1976772
4x IMUNPED DROPS Darya-Varia Tarik Barang Retur</t>
  </si>
  <si>
    <t>AWBR-3320443091-01</t>
  </si>
  <si>
    <t>Pickup Return, wajib bawa form BA Return. Bilang ke Apotek “mau tarik barang”. Jika tidak ada barang, tulis keterangan “tidak ada barang retur” di form BA Invoice: TMP-INV-2025/09/30/ 1976772
4x IMUNPED DROPS Darya-Varia Tarik Barang Retur</t>
  </si>
  <si>
    <t>AWBR-3321679060</t>
  </si>
  <si>
    <t>TMP-INV-2026/06/14/ 2852312</t>
  </si>
  <si>
    <t>Apotek Bugar Dot Com</t>
  </si>
  <si>
    <t>Jalan Raya Ngetal No. 4, DEsa Karangrejo, Kecamatan Gempol, Kabupaten Pasuruan, Jawa Timur 67155</t>
  </si>
  <si>
    <t>Invoice: TMP-INV-2026/06/14/ 2852312
2x TOPSY Galenium KRIM Tarik Barang Retur</t>
  </si>
  <si>
    <t>AWBR-3321679060-01</t>
  </si>
  <si>
    <t>Pickup Return, wajib bawa form BA Return. Bilang ke Apotek “mau tarik barang”. Jika tidak ada barang, tulis keterangan “tidak ada barang retur” di form BA Invoice: TMP-INV-2026/06/14/ 2852312
2x TOPSY Galenium KRIM Tarik Barang Retur</t>
  </si>
  <si>
    <t>AWBR-3321672627</t>
  </si>
  <si>
    <t>TMP-INV-2026/06/16/ 2858197</t>
  </si>
  <si>
    <t>Apotek Meditama Midi</t>
  </si>
  <si>
    <t>Jalan Tarum Barat 2 Ruko Midi Niaga Blok C2 No.8-9 Desa Jayamukti Kecamatan Cikarang Pusat Kabupaten Bekasi 17531</t>
  </si>
  <si>
    <t>Invoice: TMP-INV-2026/06/16/ 2858197
Complete Return Tarik Barang Retur</t>
  </si>
  <si>
    <t>AWBR-3321672627-01</t>
  </si>
  <si>
    <t>Pickup Return, wajib bawa form BA Return. Bilang ke Apotek “mau tarik barang”. Jika tidak ada barang, tulis keterangan “tidak ada barang retur” di form BA Invoice: TMP-INV-2026/06/16/ 2858197
Complete Return Tarik Barang Retur</t>
  </si>
  <si>
    <t>AWBR-3321668077</t>
  </si>
  <si>
    <t>TMP-INV-2026/06/16/ 2859451</t>
  </si>
  <si>
    <t>Apotek Azalea</t>
  </si>
  <si>
    <t>Ruko Arana Blok IX-2 No. 27 Kota Harapan Indah Kelurahan Setia Asih Kecamatan Tarumajaya Kabupaten Bekasi 17215</t>
  </si>
  <si>
    <t>Invoice: TMP-INV-2026/06/16/ 2859451
1x BLACKMORES BIO C 1000 MG Kalbe Tarik Barang Retur</t>
  </si>
  <si>
    <t>AWBR-3321668077-01</t>
  </si>
  <si>
    <t>Pickup Return, wajib bawa form BA Return. Bilang ke Apotek “mau tarik barang”. Jika tidak ada barang, tulis keterangan “tidak ada barang retur” di form BA Invoice: TMP-INV-2026/06/16/ 2859451
1x BLACKMORES BIO C 1000 MG Kalbe Tarik Barang Retur</t>
  </si>
  <si>
    <t>AWBR-3321663473</t>
  </si>
  <si>
    <t>AWBR-3321663473-01</t>
  </si>
  <si>
    <t>AWBR-3321107191</t>
  </si>
  <si>
    <t>TMP-INV-2026/06/14/ 2853170</t>
  </si>
  <si>
    <t>Invoice: TMP-INV-2026/06/14/ 2853170
5x AINIE EXTRACT PAPAYA BRIGHTENING SOAP WITH VITAMIN Sekawan Kosmetik SABUN BATANG Tarik Barang Retur</t>
  </si>
  <si>
    <t>AWBR-3321107191-01</t>
  </si>
  <si>
    <t>Pickup Return, wajib bawa form BA Return. Bilang ke Apotek “mau tarik barang”. Jika tidak ada barang, tulis keterangan “tidak ada barang retur” di form BA Invoice: TMP-INV-2026/06/14/ 2853170
5x AINIE EXTRACT PAPAYA BRIGHTENING SOAP WITH VITAMIN Sekawan Kosmetik SABUN BATANG Tarik Barang Retur</t>
  </si>
  <si>
    <t>AWBR-3321672195</t>
  </si>
  <si>
    <t>TMP-INV-2026/06/14/ 2852516</t>
  </si>
  <si>
    <t>AWBR-3321672195-01</t>
  </si>
  <si>
    <t>AWBR-3321743913</t>
  </si>
  <si>
    <t>TMP-INV-2026/06/15/ 2854246</t>
  </si>
  <si>
    <t>Apotek Siaga 25 Pucung Baru</t>
  </si>
  <si>
    <t>Kp. Krajan RT/RW 002/003 Desa/Kelurahan Pucung Kecamatan Kotabaru Kabupaten Karawang</t>
  </si>
  <si>
    <t>Invoice: TMP-INV-2026/06/15/ 2854246
2x BUFECT FORTE Sanbe SUSPENSI
1x CORTIDEX Sanbe TABLET 0.5 MG
1x FLAMAR Sanbe TABLET 50 MG
1x MUCERA Otto TABLET 30 MG
1x PARAMEX Konimex TABLET Tarik Barang Retur</t>
  </si>
  <si>
    <t>AWBR-3321743913-01</t>
  </si>
  <si>
    <t>Pickup Return, wajib bawa form BA Return. Bilang ke Apotek “mau tarik barang”. Jika tidak ada barang, tulis keterangan “tidak ada barang retur” di form BA Invoice: TMP-INV-2026/06/15/ 2854246
2x BUFECT FORTE Sanbe SUSPENSI
1x CORTIDEX Sanbe TABLET 0.5 MG
1x FLAMAR Sanbe TABLET 50 MG
1x MUCERA Otto TABLET 30 MG
1x PARAMEX Konimex TABLET Tarik Barang Retur</t>
  </si>
  <si>
    <t>AWBR-3321680000</t>
  </si>
  <si>
    <t>TMP-INV-2026/05/19/ 2761637</t>
  </si>
  <si>
    <t>Apotek Filia</t>
  </si>
  <si>
    <t>Jalan Alpukat Raya Blok VK No. 12B RT 006 RW 020 Kelurahan Pejuang Kecamatan Medan Satria Kota Bekasi 17131</t>
  </si>
  <si>
    <t>Invoice: TMP-INV-2026/05/19/ 2761637
4x SALONPAS HOT Hisamitsu Tarik Barang Retur</t>
  </si>
  <si>
    <t>AWBR-3321680000-01</t>
  </si>
  <si>
    <t>Pickup Return, wajib bawa form BA Return. Bilang ke Apotek “mau tarik barang”. Jika tidak ada barang, tulis keterangan “tidak ada barang retur” di form BA Invoice: TMP-INV-2026/05/19/ 2761637
4x SALONPAS HOT Hisamitsu Tarik Barang Retur</t>
  </si>
  <si>
    <t>AWBR-3321665756</t>
  </si>
  <si>
    <t>TMP-INV-2026/06/15/ 2857352</t>
  </si>
  <si>
    <t>Invoice: TMP-INV-2026/06/15/ 2857352
1x ROSAGEN FORCE Interbat SERBUK Tarik Barang Retur</t>
  </si>
  <si>
    <t>AWBR-3321665756-01</t>
  </si>
  <si>
    <t>Pickup Return, wajib bawa form BA Return. Bilang ke Apotek “mau tarik barang”. Jika tidak ada barang, tulis keterangan “tidak ada barang retur” di form BA Invoice: TMP-INV-2026/06/15/ 2857352
1x ROSAGEN FORCE Interbat SERBUK Tarik Barang Retur</t>
  </si>
  <si>
    <t>AWBR-3321662990</t>
  </si>
  <si>
    <t>TMP-INV-2026/06/16/ 2860901</t>
  </si>
  <si>
    <t>Invoice: TMP-INV-2026/06/16/ 2860901
1x INTERLAC Interbat SERBUK Tarik Barang Retur</t>
  </si>
  <si>
    <t>AWBR-3321662990-01</t>
  </si>
  <si>
    <t>Pickup Return, wajib bawa form BA Return. Bilang ke Apotek “mau tarik barang”. Jika tidak ada barang, tulis keterangan “tidak ada barang retur” di form BA Invoice: TMP-INV-2026/06/16/ 2860901
1x INTERLAC Interbat SERBUK Tarik Barang Retur</t>
  </si>
  <si>
    <t>AWBR-3321660207</t>
  </si>
  <si>
    <t>TMP-INV-2026/06/15/ 2857441</t>
  </si>
  <si>
    <t>Invoice: TMP-INV-2026/06/15/ 2857441
2x MINYAK ANGIN CAP KAPAK Yahi Utama Tarik Barang Retur</t>
  </si>
  <si>
    <t>AWBR-3321660207-01</t>
  </si>
  <si>
    <t>Pickup Return, wajib bawa form BA Return. Bilang ke Apotek “mau tarik barang”. Jika tidak ada barang, tulis keterangan “tidak ada barang retur” di form BA Invoice: TMP-INV-2026/06/15/ 2857441
2x MINYAK ANGIN CAP KAPAK Yahi Utama Tarik Barang Retur</t>
  </si>
  <si>
    <t>AWBR-3321096107</t>
  </si>
  <si>
    <t>TMP-INV-2026/06/13/ 2851600</t>
  </si>
  <si>
    <t>Apotek K24 Meruyung Depok</t>
  </si>
  <si>
    <t>Jl. Parung Bingung RT 01 RW 10 Kel. Rangkapan Jaya, Kec. Pancoran Mas, Kota Depok, 16434</t>
  </si>
  <si>
    <t>Invoice: TMP-INV-2026/06/13/ 2851600
1x THIAMYCIN 1000 Interbat KAPLET Tarik Barang Retur</t>
  </si>
  <si>
    <t>AWBR-3321096107-01</t>
  </si>
  <si>
    <t>Pickup Return, wajib bawa form BA Return. Bilang ke Apotek “mau tarik barang”. Jika tidak ada barang, tulis keterangan “tidak ada barang retur” di form BA Invoice: TMP-INV-2026/06/13/ 2851600
1x THIAMYCIN 1000 Interbat KAPLET Tarik Barang Retur</t>
  </si>
  <si>
    <t>AWBR-916-2026-6-18</t>
  </si>
  <si>
    <t>TMP-INV-2026/06/01/ 2804943</t>
  </si>
  <si>
    <t>TMP-INV-2026/06/01/ 2804943 RECOVIT Global Multi Pharmalab SIRUP DUS, BOTOL 100 ML Tarik Barang Retur</t>
  </si>
  <si>
    <t>AWBR-916-2026-6-18-01</t>
  </si>
  <si>
    <t>Pickup Return, wajib bawa form BA Return. Bilang ke Apotek “mau tarik barang”. Jika tidak ada barang, tulis keterangan “tidak ada barang retur” di form BA TMP-INV-2026/06/01/ 2804943 RECOVIT Global Multi Pharmalab SIRUP DUS, BOTOL 100 ML Tarik Barang Retur</t>
  </si>
  <si>
    <t>AWBR-14012-2026-6-18</t>
  </si>
  <si>
    <t>TMP-INV-2026/06/15/ 2857810</t>
  </si>
  <si>
    <t>Apotek Inofarma Karet Raya</t>
  </si>
  <si>
    <t>Jl. Karet Raya 28, RT 005 RW 011, Kel. Cibodasari, Kec. Cibodas, Kota Tangerang</t>
  </si>
  <si>
    <t>TMP-INV-2026/06/15/ 2857810 BODREXIN DEMAM Tempo Scan TABLET 120 MG DUS, 3 STRIP @ 4 TABLET KUNYAH Tarik Barang Damaged</t>
  </si>
  <si>
    <t>AWBR-14012-2026-6-18-01</t>
  </si>
  <si>
    <t>Pickup Return, wajib bawa form BA Return. Bilang ke Apotek “mau tarik barang”. Jika tidak ada barang, tulis keterangan “tidak ada barang retur” di form BA TMP-INV-2026/06/15/ 2857810 BODREXIN DEMAM Tempo Scan TABLET 120 MG DUS, 3 STRIP @ 4 TABLET KUNYAH Tarik Barang Damaged</t>
  </si>
  <si>
    <t>AWBR-14002-2026-6-18</t>
  </si>
  <si>
    <t>TMP-INV-2026/06/06/ 2826113</t>
  </si>
  <si>
    <t>TMP-INV-2026/06/06/ 2826113 PIBAKSIN Sanbe SALEP DUS, TUBE @ 10 G Tarik Barang Retur</t>
  </si>
  <si>
    <t>AWBR-14002-2026-6-18-01</t>
  </si>
  <si>
    <t>Pickup Return, wajib bawa form BA Return. Bilang ke Apotek “mau tarik barang”. Jika tidak ada barang, tulis keterangan “tidak ada barang retur” di form BA TMP-INV-2026/06/06/ 2826113 PIBAKSIN Sanbe SALEP DUS, TUBE @ 10 G Tarik Barang Retur</t>
  </si>
  <si>
    <t>AWBR-14025-2026-6-18</t>
  </si>
  <si>
    <t>TMP-INV-2026/05/31/ 2800883</t>
  </si>
  <si>
    <t>TMP-INV-2026/05/31/ 2800883 CINOLON Sanbe KRIM DUS, 1 TUBE @ 10 G Tarik Barang Retur</t>
  </si>
  <si>
    <t>AWBR-14025-2026-6-18-01</t>
  </si>
  <si>
    <t>Pickup Return, wajib bawa form BA Return. Bilang ke Apotek “mau tarik barang”. Jika tidak ada barang, tulis keterangan “tidak ada barang retur” di form BA TMP-INV-2026/05/31/ 2800883 CINOLON Sanbe KRIM DUS, 1 TUBE @ 10 G Tarik Barang Retur</t>
  </si>
  <si>
    <t>AWBR-14008-2026-6-18</t>
  </si>
  <si>
    <t>TMP-INV-2026/06/06/ 2822766</t>
  </si>
  <si>
    <t>TMP-INV-2026/06/06/ 2822766 MILNA BUBUR BAYI 6+ RASA SUP AYAM WORTEL POUCH @ 120 G Tarik Barang Retur</t>
  </si>
  <si>
    <t>AWBR-14008-2026-6-18-01</t>
  </si>
  <si>
    <t>Pickup Return, wajib bawa form BA Return. Bilang ke Apotek “mau tarik barang”. Jika tidak ada barang, tulis keterangan “tidak ada barang retur” di form BA TMP-INV-2026/06/06/ 2822766 MILNA BUBUR BAYI 6+ RASA SUP AYAM WORTEL POUCH @ 120 G Tarik Barang Retur</t>
  </si>
  <si>
    <t>AWBR-11155-2026-6-18</t>
  </si>
  <si>
    <t>TMP-INV-2024/04/13/ 726060</t>
  </si>
  <si>
    <t>TMP-INV-2024/04/13/ 726060 DIPROGENTA Organon SALEP DUS, TUBE @ 10 G Tarik Barang Retur</t>
  </si>
  <si>
    <t>AWBR-11155-2026-6-18-01</t>
  </si>
  <si>
    <t>Pickup Return, wajib bawa form BA Return. Bilang ke Apotek “mau tarik barang”. Jika tidak ada barang, tulis keterangan “tidak ada barang retur” di form BA TMP-INV-2024/04/13/ 726060 DIPROGENTA Organon SALEP DUS, TUBE @ 10 G Tarik Barang Retur</t>
  </si>
  <si>
    <t>Tracking ID</t>
  </si>
  <si>
    <t>Nama Apotek</t>
  </si>
  <si>
    <t>No telp Apotek</t>
  </si>
  <si>
    <t>Alamat Apotek</t>
  </si>
  <si>
    <t>No Faktur</t>
  </si>
  <si>
    <t>Pickup Instruction</t>
  </si>
  <si>
    <t>Order Creation</t>
  </si>
  <si>
    <t>Inbound Date</t>
  </si>
  <si>
    <t>Completed Date</t>
  </si>
  <si>
    <t>Status</t>
  </si>
  <si>
    <t>Remarks tim FM</t>
  </si>
  <si>
    <t>City</t>
  </si>
  <si>
    <t>Province</t>
  </si>
  <si>
    <t>Area</t>
  </si>
  <si>
    <t>COUNTA of Tracking ID</t>
  </si>
  <si>
    <t>AWBR-17160-2026-4-24-01</t>
  </si>
  <si>
    <t>Apotek Jonathan Sukarame Sukarame</t>
  </si>
  <si>
    <t>Jl. Karimun Jawa Blok C No.6 Kel. Sukarame Kec. Sukarame Kota Bandar Lampung</t>
  </si>
  <si>
    <t>26032517134675jMJFzUcwlD</t>
  </si>
  <si>
    <t>RENOVIT GOLD Konimex KAPLET DUS, 25 CATCH COVER @ 1 STRIP @ 4 KAPLET SALUT SELAPUT -Tarik Barang Retur - wajib bawa BA retur</t>
  </si>
  <si>
    <t>Cancelled</t>
  </si>
  <si>
    <t>Grand Total</t>
  </si>
  <si>
    <t>AWBR-10608-2026-4-27-01</t>
  </si>
  <si>
    <t>Apotek Dayu Tunggorono Jombang</t>
  </si>
  <si>
    <t>Jalan Mayjen Sungkono No. 12, Desa/Kelurahan Tunggorono, Kecamatan Jombang, Kabupaten Jombang, Jawa Timur 61419</t>
  </si>
  <si>
    <t>26042402354067Wq97J4YybZ</t>
  </si>
  <si>
    <t>SGM ANANDA GAIN 100 Sarihusada - Tarik barang retur - Wajib Bawa BA retur</t>
  </si>
  <si>
    <t>Completed</t>
  </si>
  <si>
    <t>Arrived at Sorting Hub</t>
  </si>
  <si>
    <t>AWBR-12839-2026-4-28-01</t>
  </si>
  <si>
    <t>26042312050185UKAhj736c</t>
  </si>
  <si>
    <t>TRINORDIOL-28 Sunthi TABLET DUS, 2 BLISTER @ 28 TABLET SALUT GULA Tarik Barang Retur Wajib Bawa BA Retur</t>
  </si>
  <si>
    <t>AWBR-12478-2026-4-28-01</t>
  </si>
  <si>
    <t>Apotek Inofarma Asmawi Beji Beji</t>
  </si>
  <si>
    <t>Jl. Haji Asmawi No.62A RT 004 RW 005 Kel. Beji Kec. Beji Kota Depok</t>
  </si>
  <si>
    <t>26042403293758ZgkhbjiVk</t>
  </si>
  <si>
    <t>DIPROGENTA Organon SALEP DUS, TUBE @ 10 G Tarik Barang Retur Wajib Bawa BA Retur</t>
  </si>
  <si>
    <t>AWBR-6702-2026-4-28-01</t>
  </si>
  <si>
    <t>26042603050491W0Zjm1cqxT</t>
  </si>
  <si>
    <t>CALADINE BABY LIQUID SOAP WITH ANTI IRRITANT Galenium BOTOL, 200 ML Tarik Barang Retur Wajib Bawa BA Retur</t>
  </si>
  <si>
    <t>On Hold</t>
  </si>
  <si>
    <t>AWBR-6702-2026-4-30-01</t>
  </si>
  <si>
    <t>260319014933855Fxmui8w1</t>
  </si>
  <si>
    <t>TMP-INV-2026/03/19/ 2551381
HUFAGRIPP FLU dan BATUK Gratia SUSPENSI DUS, 1 BOTOL @ 60 ML
LACOLDIN Lapi SIRUP DUS, 1 BOTOL @ 60 ML
LAPIFED Lapi SIRUP DUS, 1 BOTOL @ 60 ML
Tarik Barang Retur &amp; Tarik Barang Damage / wajib bawa BA retur</t>
  </si>
  <si>
    <t>AWBR-12013-2026-4-29-01</t>
  </si>
  <si>
    <t>Apotek K24 Cinere Cinere Cinere</t>
  </si>
  <si>
    <t>Jalan Cinere Raya, Desa/Kelurahan Cinere,Kecamatan Cinere, Kota Depok,Jawa Barat,16514</t>
  </si>
  <si>
    <t>26032605202031Co34llD0hn</t>
  </si>
  <si>
    <t>LIPOSIN Prima Medika SALEP DUS, 1 TUBE @ 10 G Tarik Barang Damaged  / wajib bawa BA retur</t>
  </si>
  <si>
    <t>AWBR-10720-2026-4-29-01</t>
  </si>
  <si>
    <t>26031103015717lzHpXz5sVb</t>
  </si>
  <si>
    <t>EPEXOL Sanbe SIRUP 15 MG/5 ML DUS, 1 BOTOL @ 120 ML
LERZIN Ifars DROPS DUS, 1 BOTOL @ 15 ML Tarik Barang Damaged  / wajib bawa BA retur</t>
  </si>
  <si>
    <t>AWBR-17026-2026-4-29-01</t>
  </si>
  <si>
    <t>Apotek Qta Farma Jatinunggal Pawenang</t>
  </si>
  <si>
    <t>Dusun Sukahurip RT 001 RW 005 , Kel. Pawenang, Kec. Jatinunggal, Kab. Sumedang</t>
  </si>
  <si>
    <t>26031701023459JO2QQm4E81</t>
  </si>
  <si>
    <t>FARSIFEN FORTE Ifars SUSPENSI DUS, 1 BOTOL @ 60 ML / ITAMOL Bmf SIRUP DUS, 1 BOTOL PLASTIK @ 60 ML / PECTORIN Itrasal SIRUP DUS, 1 BOTOL @ 120 ML /SUCRALFATE Dexa Medica SUSPENSI BOTOL PLASTIK 100 ML Tarik Barang Damaged / wajib bawa BA retur</t>
  </si>
  <si>
    <t>AWBR-10645-2026-4-22-01</t>
  </si>
  <si>
    <t>26041516304160yNDdqvj7ZM</t>
  </si>
  <si>
    <t>TMP-INV-2026/04/16/ 2642229ETORICOXIB Interbat TABLET 90 MG DUS, 3 STRIP @ 10 TABLET SALUT SELAPUTTarik Barang Retur</t>
  </si>
  <si>
    <t>AWBR-11437-2026-4-22-01</t>
  </si>
  <si>
    <t>26040703362888orT7BEepo</t>
  </si>
  <si>
    <t>TMP-INV-2026/04/07/ 2611993MINYAK ANGIN CAP KAPAK Yahi Utama DUS, 12 BOTOL KACA @ 28 MLTarik Barang Retur</t>
  </si>
  <si>
    <t>AWBR-334-2026-4-22-01</t>
  </si>
  <si>
    <t>26040503513880l4vMvC2w3</t>
  </si>
  <si>
    <t>TMP-INV-2026/04/05/ 2603566ATORVASTATIN CALCIUM Hexpharm TABLET 10 MG DUS, 5 BLISTER @ 10 TABLET SALUT SELAPUTTarik Barang Retur</t>
  </si>
  <si>
    <t>AWBR-3992-2026-4-22-01</t>
  </si>
  <si>
    <t>Apotek Ar Razaaq</t>
  </si>
  <si>
    <t>Ruko Villa Wanasari Jalan Bosih Raya Desa Wanasari Kecamatan Cibitung Kabupaten Bekasi 17520</t>
  </si>
  <si>
    <t>26040604372767jcfthTOP</t>
  </si>
  <si>
    <t>TMP-INV-2026/04/07/ 2610263BETASON Kimia Farma KRIM DUS, 24 DUS @ 1 TUBE @ 5 GRAM KOOLFEVER UNTUK BAYI DUS, 12 SACHET @ 1 LEMBARTarik Barang Retur</t>
  </si>
  <si>
    <t>EJ</t>
  </si>
  <si>
    <t>AWBR-15825-2026-4-25-01</t>
  </si>
  <si>
    <t>TMP-INV-2025/11/06/ 2097981REDOXON FORTIMUN Bayer TABLET EFFERVESCENT DUS, TUBE @ 10 TABLET EFFERVESCENTTarik Barang Retur</t>
  </si>
  <si>
    <t>AWBR-12159-2026-4-25-01</t>
  </si>
  <si>
    <t>25022408432111Dc2tT0bG7a</t>
  </si>
  <si>
    <t>TMP-INV-2025/02/25/ 1380838IMBOOST KIDS Soho SIRUP DUS, BOTOL KACA @ 120 ML
SANGOBION BABY Merck CAIRAN ORAL DUS, BOTOL KACA @ 30 ML
ALOCLAIR PLUS MOUTHWASH Enseval OBAT KUMUR BOTOL 60 MLTarik Barang Retur</t>
  </si>
  <si>
    <t>AWBR-17267-2026-4-25-01</t>
  </si>
  <si>
    <t>Apotek Prisma Farma Jatiwangi Cikarang Barat</t>
  </si>
  <si>
    <t>Kampung Cibarengkong RT 002 RW 002 Desa Jatiwangi Kecamatan Cikarang Barat Kabupaten Bekasi</t>
  </si>
  <si>
    <t>26040706080761QvCmuuUtmQ</t>
  </si>
  <si>
    <t>TMP-INV-2026/04/08/ 2614456TRINORDIOL-28 Sunthi TABLET DUS, 2 BLISTER @ 28 TABLET SALUT GULATarik Barang Retur</t>
  </si>
  <si>
    <t>AWBR-13267-2026-4-24-01</t>
  </si>
  <si>
    <t>250910004336181695hzhlE</t>
  </si>
  <si>
    <t>TMP-INV-2025/09/10/ 1916397FIESTA INTIM COOL Dkt GEL DUS, TUBE 70 MLTarik Barang Retur</t>
  </si>
  <si>
    <t>AWBR-15825-2026-4-24-01</t>
  </si>
  <si>
    <t>TMP-INV-2025/11/05/ 2094477REDOXON FORTIMUN Bayer TABLET EFFERVESCENT DUS, TUBE @ 10 TABLET EFFERVESCENTTarik Barang Retur</t>
  </si>
  <si>
    <t>AWBR-13718-2026-4-24-01</t>
  </si>
  <si>
    <t>260421125257368N2dPSudq</t>
  </si>
  <si>
    <t>TMP-INV-2026/04/22/ 2666502BROCHIFAR PLUS Ifars KAPLET DUS, 10 AMPLOP @ 1 STRIP @ 10 KAPLET TUZALOS Sanbe KAPLET DUS, 25 CATCH COVER @ 1 STRIP @ 4 KAPLETTarik Barang Retur</t>
  </si>
  <si>
    <t>AWBR-15525-2026-4-24-01</t>
  </si>
  <si>
    <t>Apotek Universitas Pelita Harapan Bencongan Indah Kelapa Dua</t>
  </si>
  <si>
    <t>Gedung GBFK, Lantai G, Universitas Pelita Harapan, Jl. Boulevard Jend. Sudirman No. 20 Desa/Kel. Bencongan Kec. Kelapa Dua Kabupaten Tangerang</t>
  </si>
  <si>
    <t>2604170024544043v1EoP3</t>
  </si>
  <si>
    <t>TMP-INV-2026/04/17/ 2648056LIFREE POPOK PEREKAT UK. L PLASTIK @ 7 PCSTarik Barang Retur</t>
  </si>
  <si>
    <t>AWBR-12527-2026-4-24-01</t>
  </si>
  <si>
    <t>26042003380460KYrLrNU4E4</t>
  </si>
  <si>
    <t>TMP-INV-2026/04/20/ 2657208COMBIVENT UDV Tunggal Idaman CAIRAN INHALASI DUS, 20 VIAL @ 2,5 MLTarik Barang Retur</t>
  </si>
  <si>
    <t>AWBR-12377-2026-4-24-01</t>
  </si>
  <si>
    <t>26042002141604e15pNv5Lp6</t>
  </si>
  <si>
    <t>TMP-INV-2026/04/20/ 2656989FARSIFEN FORTE Ifars SUSPENSI DUS, 1 BOTOL @ 60 ML / MEZINEX EXPECTORANT Ifars SIRUP DUS, 1 BOTOL @ 60 MLTarik Barang Retur</t>
  </si>
  <si>
    <t>AWBR-1043-202-4-22-01</t>
  </si>
  <si>
    <t>Apotek Agrata</t>
  </si>
  <si>
    <t>TMP-INV-2026/04/02/ 2593356CURCUMA FORCE Soho TABLET DUS, 10 BLISTER @ 12 TABLET SALUT SELAPUTTarik Barang Retur / wajib bawa BA retur</t>
  </si>
  <si>
    <t>Pending Pickup</t>
  </si>
  <si>
    <t>GJ</t>
  </si>
  <si>
    <t>CJ</t>
  </si>
  <si>
    <t>Alamat</t>
  </si>
  <si>
    <t>L2 (Kota/Kabupaten)</t>
  </si>
  <si>
    <t>Kota Depok</t>
  </si>
  <si>
    <t>L2</t>
  </si>
  <si>
    <t>Kabupaten Banyuwangi</t>
  </si>
  <si>
    <t>COUNTA of Alamat</t>
  </si>
  <si>
    <t>Kabupaten Bekasi</t>
  </si>
  <si>
    <t>Kabupaten Bogor</t>
  </si>
  <si>
    <t>Kabupaten Cianjur</t>
  </si>
  <si>
    <t>Kota Bekasi</t>
  </si>
  <si>
    <t>Kabupaten Purwakarta</t>
  </si>
  <si>
    <t>Kota Tangerang</t>
  </si>
  <si>
    <t>Kota Tangerang Selatan</t>
  </si>
  <si>
    <t>Kabupaten Tangerang</t>
  </si>
  <si>
    <t>Kota Jakarta Timur</t>
  </si>
  <si>
    <t>Kota Bogor</t>
  </si>
  <si>
    <t>Kabupaten Temanggung</t>
  </si>
  <si>
    <t>Kabupaten Subang</t>
  </si>
  <si>
    <t>Kabupaten Ngawi</t>
  </si>
  <si>
    <t>Kabupaten Nganjuk</t>
  </si>
  <si>
    <t>Kabupaten Jombang</t>
  </si>
  <si>
    <t>Ruko Gardenia, Grand Depok City, Jalan KSU Parung Serab, Kel. Tirtajaya, Kec. Sukmajaya, Kota Depok</t>
  </si>
  <si>
    <t>Jalan Pondok Rajeg RT 01 RW 01 NO 79, Desa/Kelurahan Jatimulya, Kec. Cilodong, Kota Depok, Provinsi Jawa Barat</t>
  </si>
  <si>
    <t>Ruko Emerald Boulevard AA1 Nomor 28 Bintaro Jaya 9, Jalan Jombang Raya, Desa/Kelurahan Parigi, Kec. Pondok Aren,Kota Tangerang Selatan,Banten</t>
  </si>
  <si>
    <t>Ruko Fortune 8 Blok Fb/ C No. 23, Desa/Kelurahan Pakujaya, Kec. Serpong Utara, Kota Tangerang Selatan</t>
  </si>
  <si>
    <t>Ruko De Khirani Village 2 T5, Kp. Sindangkarsa RT. 004 RW.006,Desa/Kelurahan Sukamaju Baru,Kecamatan Tapos,Kota Depok,Jawa Barat</t>
  </si>
  <si>
    <t>Ruko ATC Blok A No.9 Desa Parung Kecamatan Parung Kabupaten Bogor 16330</t>
  </si>
  <si>
    <t>No PO</t>
  </si>
  <si>
    <t>From name</t>
  </si>
  <si>
    <t>260604034459786K70N6N9-R01</t>
  </si>
  <si>
    <t>260604034459786K70N6N9</t>
  </si>
  <si>
    <t>26060401134610B2FTGEHNX-R01</t>
  </si>
  <si>
    <t>26060401134610B2FTGEHNX</t>
  </si>
  <si>
    <t>26060303510620V9JV0THMI-R01</t>
  </si>
  <si>
    <t>26060303510620V9JV0THMI</t>
  </si>
  <si>
    <t>26052507412185F9APIQM-R01</t>
  </si>
  <si>
    <t>26052507412185F9APIQM</t>
  </si>
  <si>
    <t>Apotek K24 Soklat Subang Soklat Subang</t>
  </si>
  <si>
    <t>26053100342715E9G6IBKDT-R01</t>
  </si>
  <si>
    <t>26053100342715E9G6IBKDT</t>
  </si>
  <si>
    <t>Apotek Syamil Medika</t>
  </si>
  <si>
    <t>26052905181790C6Z7IPVGZM-R01</t>
  </si>
  <si>
    <t>26052905181790C6Z7IPVGZM</t>
  </si>
  <si>
    <t>Apotek Jatiasri Farma Jatiluhur Jatiluhur</t>
  </si>
  <si>
    <t>260530012524305QP6BWLZ-R01</t>
  </si>
  <si>
    <t>260530012524305QP6BWLZ</t>
  </si>
  <si>
    <t>Apotek Nadia Farma Sayang Jatinangor</t>
  </si>
  <si>
    <t>26053003261333WX9COI3QK-R01</t>
  </si>
  <si>
    <t>26053003261333WX9COI3QK</t>
  </si>
  <si>
    <t>26052802222378FR1P0KFO1-R01</t>
  </si>
  <si>
    <t>26052802222378FR1P0KFO1</t>
  </si>
  <si>
    <t>Apotek Magenta Raya Sukamaju Jonggol</t>
  </si>
  <si>
    <t>26051103583050WIB8DPQG-R01</t>
  </si>
  <si>
    <t>26051103583050WIB8DPQG</t>
  </si>
  <si>
    <t>26052508355982UFZG9JA-R01</t>
  </si>
  <si>
    <t>26052508355982UFZG9JA</t>
  </si>
  <si>
    <t>26052103483319SNP4KXSV-R01</t>
  </si>
  <si>
    <t>26052103483319SNP4KXSV</t>
  </si>
  <si>
    <t>26052302364379491TBNOP-R01</t>
  </si>
  <si>
    <t>26052302364379491TBNOP</t>
  </si>
  <si>
    <t>26052106271214PQOBQIE1-R01</t>
  </si>
  <si>
    <t>26052106271214PQOBQIE1</t>
  </si>
  <si>
    <t>26052603361900LJZDMDLJY1-R01</t>
  </si>
  <si>
    <t>26052603361900LJZDMDLJY1</t>
  </si>
  <si>
    <t>Apotek Sukamakmur</t>
  </si>
  <si>
    <t>2603220315526037MV8R70Z1-R01</t>
  </si>
  <si>
    <t>2603220315526037MV8R70Z1</t>
  </si>
  <si>
    <t>26052620533486WFLONM9UV1-R01</t>
  </si>
  <si>
    <t>26052620533486WFLONM9UV1</t>
  </si>
  <si>
    <t>26052201405647QN6PA0WBV-R01</t>
  </si>
  <si>
    <t>26052201405647QN6PA0WBV</t>
  </si>
  <si>
    <t>26052003491036UQJVAY22Q-R01</t>
  </si>
  <si>
    <t>26052003491036UQJVAY22Q</t>
  </si>
  <si>
    <t>26042004205538R5ZC4SV2-R01</t>
  </si>
  <si>
    <t>26042004205538R5ZC4SV2</t>
  </si>
  <si>
    <t>26042005453301EQUJ5YXK3-R01</t>
  </si>
  <si>
    <t>26042005453301EQUJ5YXK3</t>
  </si>
  <si>
    <t>26050302421026U5AFMCCD2-R01</t>
  </si>
  <si>
    <t>26050302421026U5AFMCCD2</t>
  </si>
  <si>
    <t>260507112447936XESSFZW-R01</t>
  </si>
  <si>
    <t>260507112447936XESSFZW</t>
  </si>
  <si>
    <t>26051104490909WTORWLDI-R01</t>
  </si>
  <si>
    <t>26051104490909WTORWLDI</t>
  </si>
  <si>
    <t>26040603033348S7MC5KCGM-R01</t>
  </si>
  <si>
    <t>26040603033348S7MC5KCGM</t>
  </si>
  <si>
    <t>26041303054971GNFIOO0A-R01</t>
  </si>
  <si>
    <t>26041303054971GNFIOO0A</t>
  </si>
  <si>
    <t>26050205282144V4QAVY0KB-R01</t>
  </si>
  <si>
    <t>26050205282144V4QAVY0KB</t>
  </si>
  <si>
    <t>26051300033870WGQAG9II-R01</t>
  </si>
  <si>
    <t>26051300033870WGQAG9II</t>
  </si>
  <si>
    <t>2603220315526037MV8R70Z-R01</t>
  </si>
  <si>
    <t>2603220315526037MV8R70Z</t>
  </si>
  <si>
    <t>26052303475905ATJLGU4RE-R01</t>
  </si>
  <si>
    <t>26052303475905ATJLGU4RE</t>
  </si>
  <si>
    <t>26050403593958UZJBUNKBF1-R01</t>
  </si>
  <si>
    <t>26050403593958UZJBUNKBF1</t>
  </si>
  <si>
    <t>26040208391408DR99NNVOF1-R01</t>
  </si>
  <si>
    <t>26040208391408DR99NNVOF1</t>
  </si>
  <si>
    <t>Klinik Utama Arsy Medika KalisurenTajur Halang</t>
  </si>
  <si>
    <t>26051103332052YLGH7CXFR1-R01</t>
  </si>
  <si>
    <t>26051103332052YLGH7CXFR1</t>
  </si>
  <si>
    <t>260413062247980XA4GLQU01-R01</t>
  </si>
  <si>
    <t>260413062247980XA4GLQU01</t>
  </si>
  <si>
    <t>26050514420190EANVLJTQQ1-R01</t>
  </si>
  <si>
    <t>26050514420190EANVLJTQQ1</t>
  </si>
  <si>
    <t>26042203352443WPVSB9ZWZ1-R01</t>
  </si>
  <si>
    <t>26042203352443WPVSB9ZWZ1</t>
  </si>
  <si>
    <t>26050803040649IQ3CFNVQ41-R01</t>
  </si>
  <si>
    <t>26050803040649IQ3CFNVQ41</t>
  </si>
  <si>
    <t>Apotek Indi Farma</t>
  </si>
  <si>
    <t>26050802291204HYJNGQM2W1-R01</t>
  </si>
  <si>
    <t>26050802291204HYJNGQM2W1</t>
  </si>
  <si>
    <t>26050402303232WWKV5UQUG1-R01</t>
  </si>
  <si>
    <t>26050402303232WWKV5UQUG1</t>
  </si>
  <si>
    <t>26050503392785VZN0DMGTD1-R01</t>
  </si>
  <si>
    <t>26050503392785VZN0DMGTD1</t>
  </si>
  <si>
    <t>26051600184166YCGMPSO1-R01</t>
  </si>
  <si>
    <t>26051600184166YCGMPSO1</t>
  </si>
  <si>
    <t>26051600184166YCGMPSO-R01-01</t>
  </si>
  <si>
    <t>26051600184166YCGMPSO-01</t>
  </si>
  <si>
    <t>SwipeRX Sameday</t>
  </si>
  <si>
    <t>26051705021532MEYSLGS4EL-R01</t>
  </si>
  <si>
    <t>26051705021532MEYSLGS4EL</t>
  </si>
  <si>
    <t>26051203180577N3VT7WEFB4-R01</t>
  </si>
  <si>
    <t>26051203180577N3VT7WEFB4</t>
  </si>
  <si>
    <t>26051202352396G6SZETXG09-R01</t>
  </si>
  <si>
    <t>26051202352396G6SZETXG09</t>
  </si>
  <si>
    <t>26051203220382ZQ3SSS3CLQ-R01</t>
  </si>
  <si>
    <t>26051203220382ZQ3SSS3CLQ</t>
  </si>
  <si>
    <t>Apotek Deloveniar Cibening Bungursari</t>
  </si>
  <si>
    <t>260512031805760R2XSYHONW-R01</t>
  </si>
  <si>
    <t>260512031805760R2XSYHONW</t>
  </si>
  <si>
    <t>26050903514392U2XZIELTVO-R01</t>
  </si>
  <si>
    <t>26050903514392U2XZIELTVO</t>
  </si>
  <si>
    <t>Apotek Rinjani 6901</t>
  </si>
  <si>
    <t>26050700530613XQAEZ8WCLU-R01</t>
  </si>
  <si>
    <t>26050700530613XQAEZ8WCLU</t>
  </si>
  <si>
    <t>26050403242875R5FTU08PX-R01</t>
  </si>
  <si>
    <t>26050403242875R5FTU08PX</t>
  </si>
  <si>
    <t>26050801320703IORVSKC31Q-R01</t>
  </si>
  <si>
    <t>26050801320703IORVSKC31Q</t>
  </si>
  <si>
    <t>26050700410958X84FFS6Y1-R01</t>
  </si>
  <si>
    <t>26050700410958X84FFS6Y1</t>
  </si>
  <si>
    <t>26050604372851GZJ4NIEOW-R01</t>
  </si>
  <si>
    <t>26050604372851GZJ4NIEOW</t>
  </si>
  <si>
    <t>Apotek Harapan Hidup Kertaraharja Cikembar</t>
  </si>
  <si>
    <t>26050401172151X2JJBH9RA-R01</t>
  </si>
  <si>
    <t>26050401172151X2JJBH9RA</t>
  </si>
  <si>
    <t>Apotek Berkah Krakatau Farma Kebonsari Citangkil</t>
  </si>
  <si>
    <t>26050103540805YNAJQKH1UH-R01</t>
  </si>
  <si>
    <t>26050103540805YNAJQKH1UH</t>
  </si>
  <si>
    <t>26042113400997JRDDQCSJYE-R01</t>
  </si>
  <si>
    <t>26042113400997JRDDQCSJYE</t>
  </si>
  <si>
    <t>Apotek Bariz Jaya Kedunggebang Tegaldlimo</t>
  </si>
  <si>
    <t>26042113400997WGRHRNHY04-R01</t>
  </si>
  <si>
    <t>26042113400997WGRHRNHY04</t>
  </si>
  <si>
    <t>26042402354067WQ97J4YYBZ-R01</t>
  </si>
  <si>
    <t>26042402354067WQ97J4YYBZ</t>
  </si>
  <si>
    <t>26031205425384KPG5BUKB3-R01</t>
  </si>
  <si>
    <t>26031205425384KPG5BUKB3</t>
  </si>
  <si>
    <t>Apotek Mojosongo Balong Besuk Diwek</t>
  </si>
  <si>
    <t>260420003402000CCLWYR0-R01</t>
  </si>
  <si>
    <t>260420003402000CCLWYR0</t>
  </si>
  <si>
    <t>26041804001157MXGAQHCDI-R01</t>
  </si>
  <si>
    <t>26041804001157MXGAQHCDI</t>
  </si>
  <si>
    <t>26041803344681IGZRGZV1S-R01</t>
  </si>
  <si>
    <t>26041803344681IGZRGZV1S</t>
  </si>
  <si>
    <t>260413004308885DULGULXW9-R01</t>
  </si>
  <si>
    <t>260413004308885DULGULXW9</t>
  </si>
  <si>
    <t>26040101460603NNI8XMNVP-R01</t>
  </si>
  <si>
    <t>26040101460603NNI8XMNVP</t>
  </si>
  <si>
    <t>Apotek Sumber Rejeki 7760</t>
  </si>
  <si>
    <t>26041301475897CGKMAM5T5-R01</t>
  </si>
  <si>
    <t>26041301475897CGKMAM5T5</t>
  </si>
  <si>
    <t>26041103494356UACF09U3R-R01</t>
  </si>
  <si>
    <t>26041103494356UACF09U3R</t>
  </si>
  <si>
    <t>Apotek Ikhlas</t>
  </si>
  <si>
    <t>26033115465115BNYTRXRXBN-R01</t>
  </si>
  <si>
    <t>26033115465115BNYTRXRXBN</t>
  </si>
  <si>
    <t>Apotek Mustika Dalima 2 Kotakulon Sumedang Selatan</t>
  </si>
  <si>
    <t>26032402033451EMLABANOJ-R01</t>
  </si>
  <si>
    <t>26032402033451EMLABANOJ</t>
  </si>
  <si>
    <t>26040603142115HY5HQM89N-R01</t>
  </si>
  <si>
    <t>26040603142115HY5HQM89N</t>
  </si>
  <si>
    <t>Apotek Shafa Medika Sukaraja Sukaraja</t>
  </si>
  <si>
    <t>26040115534977Q6PK3737I-R01</t>
  </si>
  <si>
    <t>26040115534977Q6PK3737I</t>
  </si>
  <si>
    <t>Apotek Kota Bumi Farma Kotabumi Purwakarta</t>
  </si>
  <si>
    <t>26031816532634353OSFPJI-R01</t>
  </si>
  <si>
    <t>26031816532634353OSFPJI</t>
  </si>
  <si>
    <t>Apotek Mancak Farma</t>
  </si>
  <si>
    <t>26032503393813H1YJGZDCYT-R01</t>
  </si>
  <si>
    <t>26032503393813H1YJGZDCYT</t>
  </si>
  <si>
    <t>26032002312270LK4ISKLYOJ-R01</t>
  </si>
  <si>
    <t>26032002312270LK4ISKLYOJ</t>
  </si>
  <si>
    <t>26032003123756RMPMBYKUPK-R01</t>
  </si>
  <si>
    <t>26032003123756RMPMBYKUPK</t>
  </si>
  <si>
    <t>260314130613498EWHQL4ER-R01</t>
  </si>
  <si>
    <t>260314130613498EWHQL4ER</t>
  </si>
  <si>
    <t>26031515554647VZJ6NZ5U-R01</t>
  </si>
  <si>
    <t>26031515554647VZJ6NZ5U</t>
  </si>
  <si>
    <t>26031605373250WWCYTFFWZ-R01</t>
  </si>
  <si>
    <t>26031605373250WWCYTFFWZ</t>
  </si>
  <si>
    <t>Apotek Sehati Caringinnunggal Waluran</t>
  </si>
  <si>
    <t>26030800440237EGR49WSIX-R01</t>
  </si>
  <si>
    <t>26030800440237EGR49WSIX</t>
  </si>
  <si>
    <t>26031302282952ALLBQUVKLJ-R01</t>
  </si>
  <si>
    <t>26031302282952ALLBQUVKLJ</t>
  </si>
  <si>
    <t>26031403052684QHVAKSTWC-R01</t>
  </si>
  <si>
    <t>26031403052684QHVAKSTWC</t>
  </si>
  <si>
    <t>Apotek Cirendang</t>
  </si>
  <si>
    <t>26030901573491AM330IJB-R01</t>
  </si>
  <si>
    <t>26030901573491AM330IJB</t>
  </si>
  <si>
    <t>AWBR-16705-2026-2-18-R01</t>
  </si>
  <si>
    <t>AWBR-16705-2026-2-18</t>
  </si>
  <si>
    <t>Apotek Andalaz Farma Sumobito Sumobito</t>
  </si>
  <si>
    <t>26022407150519IIVXFQN-R01</t>
  </si>
  <si>
    <t>26022407150519IIVXFQN</t>
  </si>
  <si>
    <t>260222234746103CWNW6WELX-R01</t>
  </si>
  <si>
    <t>260222234746103CWNW6WELX</t>
  </si>
  <si>
    <t>Apotek Azri Farma</t>
  </si>
  <si>
    <t>26022104285423OB4QUCBF-R01</t>
  </si>
  <si>
    <t>26022104285423OB4QUCBF</t>
  </si>
  <si>
    <t>26022302405318TYGECMQK-R01</t>
  </si>
  <si>
    <t>26022302405318TYGECMQK</t>
  </si>
  <si>
    <t>260221043109707LNTJI9BEH-R01</t>
  </si>
  <si>
    <t>260221043109707LNTJI9BEH</t>
  </si>
  <si>
    <t>260218033538920SNAQNLIW1-R01</t>
  </si>
  <si>
    <t>260218033538920SNAQNLIW1</t>
  </si>
  <si>
    <t>Apotek Senyum Farma Kesilir Siliragung</t>
  </si>
  <si>
    <t>26021706254282AIYYU3JB-R01</t>
  </si>
  <si>
    <t>26021706254282AIYYU3JB</t>
  </si>
  <si>
    <t>Apotek Galaxy Bunda Farma Sumberberas Muncar</t>
  </si>
  <si>
    <t>26021100305260218-R01</t>
  </si>
  <si>
    <t>26020904203754IG1WYCIYI5-R01</t>
  </si>
  <si>
    <t>26020904203754IG1WYCIYI5</t>
  </si>
  <si>
    <t>Apotek Assyfa Farma Ciseureuh Purwakarta</t>
  </si>
  <si>
    <t>26020904203754CDJHKGV0M-R01</t>
  </si>
  <si>
    <t>26020904203754CDJHKGV0M</t>
  </si>
  <si>
    <t>26021100305426QEVXSHFOT-R01</t>
  </si>
  <si>
    <t>26021100305426QEVXSHFOT</t>
  </si>
  <si>
    <t>26021108194091GL5QBCDERE-R01</t>
  </si>
  <si>
    <t>26021108194091GL5QBCDERE</t>
  </si>
  <si>
    <t>26020900300094T7D64ARYON-R01</t>
  </si>
  <si>
    <t>26020900300094T7D64ARYON</t>
  </si>
  <si>
    <t>26021003544799NAZS8AVUBU-R01</t>
  </si>
  <si>
    <t>26021003544799NAZS8AVUBU</t>
  </si>
  <si>
    <t>26020502565698F4QEU17XQM-R01</t>
  </si>
  <si>
    <t>26020502565698F4QEU17XQM</t>
  </si>
  <si>
    <t>Apotek Widya Farma Ngentakrejo Lendah</t>
  </si>
  <si>
    <t>26020502565698MYAZQBSOW8-R01</t>
  </si>
  <si>
    <t>26020502565698MYAZQBSOW8</t>
  </si>
  <si>
    <t>2602050256569800PJBLGNA-R01</t>
  </si>
  <si>
    <t>2602050256569800PJBLGNA</t>
  </si>
  <si>
    <t>26020421244901QATT8HDSV-R01</t>
  </si>
  <si>
    <t>26020421244901QATT8HDSV</t>
  </si>
  <si>
    <t>26020207372326FDFPNP6RZ-R01</t>
  </si>
  <si>
    <t>26020207372326FDFPNP6RZ</t>
  </si>
  <si>
    <t>Apotek Innovare Farma ITB Sayang Jatinangor</t>
  </si>
  <si>
    <t>26020300343048V2CHTY2JJ-R01</t>
  </si>
  <si>
    <t>26020300343048V2CHTY2JJ</t>
  </si>
  <si>
    <t>Apotek Tri Prima Farma</t>
  </si>
  <si>
    <t>26012702550174UVXZZPLR-R01</t>
  </si>
  <si>
    <t>26012702550174UVXZZPLR</t>
  </si>
  <si>
    <t>25122513203916WVVTPOP2QK-R01</t>
  </si>
  <si>
    <t>25122513203916WVVTPOP2QK</t>
  </si>
  <si>
    <t>Apotek Suhendar Farma Surade Surade</t>
  </si>
  <si>
    <t>25121511012974ZJZBV7ZOA3-R01</t>
  </si>
  <si>
    <t>25121511012974ZJZBV7ZOA3</t>
  </si>
  <si>
    <t>25121715520544JVQVJSFKL-R01</t>
  </si>
  <si>
    <t>25121715520544JVQVJSFKL</t>
  </si>
  <si>
    <t>25120204472399UEOEFI71YE-R01</t>
  </si>
  <si>
    <t>25120204472399UEOEFI71YE</t>
  </si>
  <si>
    <t>25112503005678JFLBLFK7I-R01</t>
  </si>
  <si>
    <t>25112503005678JFLBLFK7I</t>
  </si>
  <si>
    <t>Apotek Tanjung Mulya Tanjungmulya Panumbangan</t>
  </si>
  <si>
    <t>25110504402080WGKH58H2ZC-R01</t>
  </si>
  <si>
    <t>25110504402080WGKH58H2ZC</t>
  </si>
  <si>
    <t>Apotek Sanjaya Farma Cikembar Cikembar</t>
  </si>
  <si>
    <t>251005083738991FQAXYFHTF-R01</t>
  </si>
  <si>
    <t>251005083738991FQAXYFHTF</t>
  </si>
  <si>
    <t>Apotek Berkah Hasiatin</t>
  </si>
  <si>
    <t>Mapping</t>
  </si>
  <si>
    <t>Daerah Khusus Ibukota Jakarta</t>
  </si>
  <si>
    <t>Banten</t>
  </si>
  <si>
    <t>Kota Jakarta Selatan</t>
  </si>
  <si>
    <t>Tangerang Regency</t>
  </si>
  <si>
    <t>Kota Bandung</t>
  </si>
  <si>
    <t>WJ</t>
  </si>
  <si>
    <t>Kabupaten Bandung</t>
  </si>
  <si>
    <t>Garut Regency</t>
  </si>
  <si>
    <t>West Java</t>
  </si>
  <si>
    <t>Kota Cimahi</t>
  </si>
  <si>
    <t>Jakarta Utara</t>
  </si>
  <si>
    <t>Lebak Regency</t>
  </si>
  <si>
    <t>Kota Jakarta Barat</t>
  </si>
  <si>
    <t>Kabupaten Kuningan</t>
  </si>
  <si>
    <t>Kabupaten Tasikmalaya</t>
  </si>
  <si>
    <t>Kota Malang</t>
  </si>
  <si>
    <t>Kota Batu</t>
  </si>
  <si>
    <t>Kabupaten Malang</t>
  </si>
  <si>
    <t>Kabupaten Karanganyar</t>
  </si>
  <si>
    <t>Jawa Tengah</t>
  </si>
  <si>
    <t>Kabupaten Gresik</t>
  </si>
  <si>
    <t>Sukoharjo Regency</t>
  </si>
  <si>
    <t>Central Java</t>
  </si>
  <si>
    <t>Kabupaten Sidoarjo</t>
  </si>
  <si>
    <t>Kota Mojokerto</t>
  </si>
  <si>
    <t>Kota Kediri</t>
  </si>
  <si>
    <t>Kota Denpasar</t>
  </si>
  <si>
    <t>Bali</t>
  </si>
  <si>
    <t>Kabupaten Gianyar</t>
  </si>
  <si>
    <t>Kabupaten Bantul</t>
  </si>
  <si>
    <t>Daerah Istimewa Yogyakarta</t>
  </si>
  <si>
    <t>Pasuruan</t>
  </si>
  <si>
    <t>Kabupaten Lumajang</t>
  </si>
  <si>
    <t>Kabupaten Magetan</t>
  </si>
  <si>
    <t>Kota Semarang</t>
  </si>
  <si>
    <t>Kabupaten Sleman</t>
  </si>
  <si>
    <t>Probolinggo Regency</t>
  </si>
  <si>
    <t>East Java</t>
  </si>
  <si>
    <t>Kabupaten Lamongan</t>
  </si>
  <si>
    <t>Kota Probolinggo</t>
  </si>
  <si>
    <t>Kota Tegal</t>
  </si>
  <si>
    <t>Malang Regency</t>
  </si>
  <si>
    <t>Kabupaten Serang</t>
  </si>
  <si>
    <t>North Jakarta City</t>
  </si>
  <si>
    <t>Jakarta</t>
  </si>
  <si>
    <t>Sukabumi Regency</t>
  </si>
  <si>
    <t>Depok City</t>
  </si>
  <si>
    <t>Bogor Regency</t>
  </si>
  <si>
    <t>Kabupaten Sukabumi</t>
  </si>
  <si>
    <t>Kabupaten Cirebon</t>
  </si>
  <si>
    <t>Serang Regency</t>
  </si>
  <si>
    <t>Sumedang Regency</t>
  </si>
  <si>
    <t>Kota Jakarta Pusat</t>
  </si>
  <si>
    <t>Kota Banjar</t>
  </si>
  <si>
    <t>Cianjur Regency</t>
  </si>
  <si>
    <t>Kota Cirebon</t>
  </si>
  <si>
    <t>East Jakarta City</t>
  </si>
  <si>
    <t>Bekasi Regency</t>
  </si>
  <si>
    <t>Kota Cilegon</t>
  </si>
  <si>
    <t>West Jakarta City</t>
  </si>
  <si>
    <t>Kabupaten Sumedang</t>
  </si>
  <si>
    <t>South Jakarta City</t>
  </si>
  <si>
    <t>Semarang Regency</t>
  </si>
  <si>
    <t>Kuningan</t>
  </si>
  <si>
    <t>Kabupaten Ciamis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</si>
</sst>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yyyy-mm-dd"/>
  </numFmts>
  <fonts count="9">
    <font>
      <sz val="10.0"/>
      <color rgb="FF000000"/>
      <name val="Arial"/>
      <scheme val="minor"/>
    </font>
    <font>
      <sz val="10.0"/>
      <color rgb="FFFFFFFF"/>
      <name val="Calibri"/>
    </font>
    <font>
      <u/>
      <sz val="10.0"/>
      <color rgb="FFFFFFFF"/>
      <name val="Calibri"/>
    </font>
    <font>
      <sz val="10.0"/>
      <color rgb="FF000000"/>
      <name val="Calibri"/>
    </font>
    <font>
      <sz val="10.0"/>
      <color rgb="FF121212"/>
      <name val="Calibri"/>
    </font>
    <font>
      <sz val="10.0"/>
      <color theme="1"/>
      <name val="Calibri"/>
    </font>
    <font>
      <b/>
      <color theme="1"/>
      <name val="Arial"/>
      <scheme val="minor"/>
    </font>
    <font>
      <color theme="1"/>
      <name val="Arial"/>
      <scheme val="minor"/>
    </font>
    <font>
      <b/>
      <color rgb="FFFFFFFF"/>
      <name val="Arial"/>
      <scheme val="minor"/>
    </font>
  </fonts>
  <fills count="8">
    <fill>
      <patternFill patternType="none"/>
    </fill>
    <fill>
      <patternFill patternType="lightGray"/>
    </fill>
    <fill>
      <patternFill patternType="solid">
        <fgColor rgb="FFCC0000"/>
        <bgColor rgb="FFCC0000"/>
      </patternFill>
    </fill>
    <fill>
      <patternFill patternType="solid">
        <fgColor rgb="FFB6D7A8"/>
        <bgColor rgb="FFB6D7A8"/>
      </patternFill>
    </fill>
    <fill>
      <patternFill patternType="solid">
        <fgColor rgb="FFFFE599"/>
        <bgColor rgb="FFFFE599"/>
      </patternFill>
    </fill>
    <fill>
      <patternFill patternType="solid">
        <fgColor rgb="FF6D9EEB"/>
        <bgColor rgb="FF6D9EEB"/>
      </patternFill>
    </fill>
    <fill>
      <patternFill patternType="solid">
        <fgColor rgb="FFFFFF00"/>
        <bgColor rgb="FFFFFF00"/>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ont="1">
      <alignment horizontal="center" readingOrder="0"/>
    </xf>
    <xf borderId="0" fillId="2" fontId="1" numFmtId="0" xfId="0" applyAlignment="1" applyFont="1">
      <alignment horizontal="center" readingOrder="0"/>
    </xf>
    <xf borderId="1" fillId="0" fontId="3" numFmtId="0" xfId="0" applyAlignment="1" applyBorder="1" applyFont="1">
      <alignment horizontal="center" readingOrder="0" shrinkToFit="0" vertical="bottom" wrapText="0"/>
    </xf>
    <xf borderId="1" fillId="0" fontId="3" numFmtId="0" xfId="0" applyAlignment="1" applyBorder="1" applyFont="1">
      <alignment horizontal="center" readingOrder="0" shrinkToFit="0" wrapText="0"/>
    </xf>
    <xf borderId="1" fillId="0" fontId="3" numFmtId="11" xfId="0" applyAlignment="1" applyBorder="1" applyFont="1" applyNumberFormat="1">
      <alignment horizontal="center" readingOrder="0" shrinkToFit="0" vertical="bottom" wrapText="0"/>
    </xf>
    <xf borderId="1" fillId="0" fontId="3" numFmtId="0" xfId="0" applyAlignment="1" applyBorder="1" applyFont="1">
      <alignment horizontal="center" readingOrder="0" vertical="bottom"/>
    </xf>
    <xf borderId="1" fillId="0" fontId="3" numFmtId="165" xfId="0" applyAlignment="1" applyBorder="1" applyFont="1" applyNumberFormat="1">
      <alignment horizontal="center" readingOrder="0" shrinkToFit="0" vertical="bottom" wrapText="0"/>
    </xf>
    <xf borderId="1" fillId="0" fontId="3" numFmtId="20" xfId="0" applyAlignment="1" applyBorder="1" applyFont="1" applyNumberFormat="1">
      <alignment horizontal="center" readingOrder="0" shrinkToFit="0" vertical="bottom" wrapText="0"/>
    </xf>
    <xf borderId="1" fillId="0" fontId="3" numFmtId="0" xfId="0" applyAlignment="1" applyBorder="1" applyFont="1">
      <alignment horizontal="center" shrinkToFit="0" wrapText="0"/>
    </xf>
    <xf borderId="1" fillId="0" fontId="3" numFmtId="0" xfId="0" applyAlignment="1" applyBorder="1" applyFont="1">
      <alignment horizontal="center" readingOrder="0"/>
    </xf>
    <xf borderId="0" fillId="0" fontId="3" numFmtId="0" xfId="0" applyAlignment="1" applyFont="1">
      <alignment horizontal="center" readingOrder="0" shrinkToFit="0" wrapText="0"/>
    </xf>
    <xf borderId="1" fillId="0" fontId="4" numFmtId="0" xfId="0" applyAlignment="1" applyBorder="1" applyFont="1">
      <alignment horizontal="center" readingOrder="0" shrinkToFit="0" wrapText="0"/>
    </xf>
    <xf borderId="1" fillId="0" fontId="4" numFmtId="11" xfId="0" applyAlignment="1" applyBorder="1" applyFont="1" applyNumberFormat="1">
      <alignment horizontal="center" readingOrder="0"/>
    </xf>
    <xf borderId="1" fillId="0" fontId="3" numFmtId="11" xfId="0" applyAlignment="1" applyBorder="1" applyFont="1" applyNumberFormat="1">
      <alignment horizontal="center" readingOrder="0" shrinkToFit="0" wrapText="0"/>
    </xf>
    <xf borderId="1" fillId="0" fontId="5" numFmtId="0" xfId="0" applyAlignment="1" applyBorder="1" applyFont="1">
      <alignment horizontal="center"/>
    </xf>
    <xf borderId="0" fillId="0" fontId="5" numFmtId="0" xfId="0" applyAlignment="1" applyFont="1">
      <alignment horizontal="center"/>
    </xf>
    <xf borderId="1" fillId="2" fontId="1" numFmtId="0" xfId="0" applyAlignment="1" applyBorder="1" applyFont="1">
      <alignment horizontal="center" readingOrder="0" vertical="center"/>
    </xf>
    <xf borderId="2" fillId="2" fontId="1" numFmtId="0" xfId="0" applyAlignment="1" applyBorder="1" applyFont="1">
      <alignment horizontal="center" readingOrder="0" vertical="center"/>
    </xf>
    <xf borderId="0" fillId="0" fontId="5" numFmtId="0" xfId="0" applyAlignment="1" applyFont="1">
      <alignment horizontal="center" vertical="center"/>
    </xf>
    <xf borderId="1" fillId="0" fontId="5" numFmtId="0" xfId="0" applyAlignment="1" applyBorder="1" applyFont="1">
      <alignment horizontal="left" readingOrder="0" vertical="center"/>
    </xf>
    <xf borderId="1" fillId="0" fontId="5" numFmtId="164" xfId="0" applyAlignment="1" applyBorder="1" applyFont="1" applyNumberFormat="1">
      <alignment horizontal="left" readingOrder="0" vertical="center"/>
    </xf>
    <xf borderId="1" fillId="0" fontId="3" numFmtId="0" xfId="0" applyAlignment="1" applyBorder="1" applyFont="1">
      <alignment horizontal="left" readingOrder="0" shrinkToFit="0" vertical="center" wrapText="0"/>
    </xf>
    <xf borderId="1" fillId="0" fontId="5" numFmtId="0" xfId="0" applyAlignment="1" applyBorder="1" applyFont="1">
      <alignment horizontal="left" vertical="center"/>
    </xf>
    <xf borderId="0" fillId="0" fontId="5" numFmtId="0" xfId="0" applyAlignment="1" applyFont="1">
      <alignment horizontal="left" vertical="center"/>
    </xf>
    <xf borderId="0" fillId="0" fontId="5" numFmtId="165" xfId="0" applyAlignment="1" applyFont="1" applyNumberFormat="1">
      <alignment horizontal="left" vertical="center"/>
    </xf>
    <xf borderId="1" fillId="0" fontId="3" numFmtId="164" xfId="0" applyAlignment="1" applyBorder="1" applyFont="1" applyNumberFormat="1">
      <alignment horizontal="left" readingOrder="0" shrinkToFit="0" vertical="center" wrapText="0"/>
    </xf>
    <xf borderId="1" fillId="3" fontId="5" numFmtId="0" xfId="0" applyAlignment="1" applyBorder="1" applyFill="1" applyFont="1">
      <alignment horizontal="left" readingOrder="0" vertical="center"/>
    </xf>
    <xf borderId="1" fillId="3" fontId="5" numFmtId="164" xfId="0" applyAlignment="1" applyBorder="1" applyFont="1" applyNumberFormat="1">
      <alignment horizontal="left" readingOrder="0" vertical="center"/>
    </xf>
    <xf borderId="1" fillId="3" fontId="3" numFmtId="164" xfId="0" applyAlignment="1" applyBorder="1" applyFont="1" applyNumberFormat="1">
      <alignment horizontal="left" readingOrder="0" shrinkToFit="0" vertical="center" wrapText="0"/>
    </xf>
    <xf borderId="1" fillId="3" fontId="3" numFmtId="0" xfId="0" applyAlignment="1" applyBorder="1" applyFont="1">
      <alignment horizontal="left" readingOrder="0" shrinkToFit="0" vertical="center" wrapText="0"/>
    </xf>
    <xf borderId="1" fillId="3" fontId="5" numFmtId="0" xfId="0" applyAlignment="1" applyBorder="1" applyFont="1">
      <alignment horizontal="left" vertical="center"/>
    </xf>
    <xf borderId="1" fillId="3" fontId="5" numFmtId="11" xfId="0" applyAlignment="1" applyBorder="1" applyFont="1" applyNumberFormat="1">
      <alignment horizontal="left" vertical="center"/>
    </xf>
    <xf borderId="1" fillId="3" fontId="5" numFmtId="165" xfId="0" applyAlignment="1" applyBorder="1" applyFont="1" applyNumberFormat="1">
      <alignment horizontal="left" vertical="center"/>
    </xf>
    <xf borderId="1" fillId="0" fontId="5" numFmtId="11" xfId="0" applyAlignment="1" applyBorder="1" applyFont="1" applyNumberFormat="1">
      <alignment horizontal="left" vertical="center"/>
    </xf>
    <xf borderId="1" fillId="0" fontId="5" numFmtId="165" xfId="0" applyAlignment="1" applyBorder="1" applyFont="1" applyNumberFormat="1">
      <alignment horizontal="left" vertical="center"/>
    </xf>
    <xf borderId="1" fillId="4" fontId="5" numFmtId="0" xfId="0" applyAlignment="1" applyBorder="1" applyFill="1" applyFont="1">
      <alignment horizontal="left" vertical="center"/>
    </xf>
    <xf borderId="1" fillId="4" fontId="5" numFmtId="165" xfId="0" applyAlignment="1" applyBorder="1" applyFont="1" applyNumberFormat="1">
      <alignment horizontal="left" vertical="center"/>
    </xf>
    <xf borderId="1" fillId="4" fontId="5" numFmtId="164" xfId="0" applyAlignment="1" applyBorder="1" applyFont="1" applyNumberFormat="1">
      <alignment horizontal="left" readingOrder="0" vertical="center"/>
    </xf>
    <xf borderId="1" fillId="4" fontId="5" numFmtId="0" xfId="0" applyAlignment="1" applyBorder="1" applyFont="1">
      <alignment horizontal="left" readingOrder="0" vertical="center"/>
    </xf>
    <xf borderId="1" fillId="5" fontId="5" numFmtId="0" xfId="0" applyAlignment="1" applyBorder="1" applyFill="1" applyFont="1">
      <alignment horizontal="left" vertical="center"/>
    </xf>
    <xf borderId="1" fillId="4" fontId="5" numFmtId="11" xfId="0" applyAlignment="1" applyBorder="1" applyFont="1" applyNumberFormat="1">
      <alignment horizontal="left" vertical="center"/>
    </xf>
    <xf borderId="1" fillId="6" fontId="5" numFmtId="0" xfId="0" applyAlignment="1" applyBorder="1" applyFill="1" applyFont="1">
      <alignment horizontal="left" vertical="center"/>
    </xf>
    <xf borderId="1" fillId="6" fontId="5" numFmtId="11" xfId="0" applyAlignment="1" applyBorder="1" applyFont="1" applyNumberFormat="1">
      <alignment horizontal="left" vertical="center"/>
    </xf>
    <xf borderId="1" fillId="6" fontId="5" numFmtId="165" xfId="0" applyAlignment="1" applyBorder="1" applyFont="1" applyNumberFormat="1">
      <alignment horizontal="left" vertical="center"/>
    </xf>
    <xf borderId="1" fillId="6" fontId="5" numFmtId="164" xfId="0" applyAlignment="1" applyBorder="1" applyFont="1" applyNumberFormat="1">
      <alignment horizontal="left" readingOrder="0" vertical="center"/>
    </xf>
    <xf borderId="1" fillId="6" fontId="5" numFmtId="0" xfId="0" applyAlignment="1" applyBorder="1" applyFont="1">
      <alignment horizontal="left" readingOrder="0" vertical="center"/>
    </xf>
    <xf borderId="1" fillId="7" fontId="5" numFmtId="0" xfId="0" applyAlignment="1" applyBorder="1" applyFill="1" applyFont="1">
      <alignment horizontal="left" vertical="center"/>
    </xf>
    <xf borderId="0" fillId="0" fontId="5" numFmtId="0" xfId="0" applyAlignment="1" applyFont="1">
      <alignment horizontal="left" readingOrder="0" vertical="center"/>
    </xf>
    <xf borderId="0" fillId="0" fontId="6" numFmtId="0" xfId="0" applyAlignment="1" applyFont="1">
      <alignment horizontal="center" readingOrder="0"/>
    </xf>
    <xf borderId="0" fillId="0" fontId="7" numFmtId="0" xfId="0" applyAlignment="1" applyFont="1">
      <alignment readingOrder="0"/>
    </xf>
    <xf borderId="0" fillId="0" fontId="7" numFmtId="0" xfId="0" applyFont="1"/>
    <xf borderId="0" fillId="0" fontId="7" numFmtId="10" xfId="0" applyFont="1" applyNumberFormat="1"/>
    <xf borderId="0" fillId="2" fontId="8" numFmtId="0" xfId="0" applyAlignment="1" applyFont="1">
      <alignment readingOrder="0"/>
    </xf>
    <xf borderId="0" fillId="0" fontId="6" numFmtId="0" xfId="0" applyFont="1"/>
    <xf borderId="0" fillId="0" fontId="7" numFmtId="164" xfId="0" applyAlignment="1" applyFont="1" applyNumberFormat="1">
      <alignment readingOrder="0"/>
    </xf>
    <xf borderId="0" fillId="0" fontId="7"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J2:K174" sheet="Mapping L2"/>
  </cacheSource>
  <cacheFields>
    <cacheField name="Alamat" numFmtId="0">
      <sharedItems>
        <s v="Jl. Raya Cipayung No.1, RT.03/RW10, Desa/Kel. Bojong Pondok Terong, Kec. Cipayung, Kota Depok 16436"/>
        <s v="Jl Aruji Kartawinata 02/02 Kel.Singojuruh Kec.Singojuruh Kab.Banyuwangi Jawa Timur 68464"/>
        <s v="Perum Grand Vista Blok D1 RT 003 RW 009 Desa Jayamulya Kec. Serang Baru Kab. Bekasi"/>
        <s v="Perum Mega Regency Blok H1 No. 30 Desa Sukaragam Kec. Serang Baru Kab. Bekasi"/>
        <s v="Ruko Serang-Cibarusah No. 3 Jl. Raya Serang Cibarusah Kp. Pasar Randu, Kel. Sukasari Kec. Serang Baru Kab. Bekasi 17330"/>
        <s v="Kp. Bojongpicung RT. 001 RW. 003 Desa. Bojongpicung Kecamatan. Bojongpicung Kabupaten Cianjur"/>
        <s v="Jl. Cinangka No.23 RT.05 RW.03, Kel. Cinangka, Kec. Bungursari, Kab. Purwakarta, 41181"/>
        <s v="Perumahan Legenda Wisata Cibubur Blok U12 No. 12 Desa Nagrak Kecamatan Gunung Putri Kabupaten Bogor"/>
        <s v="Ruko Downtown Madison Blok SHC 8/2, Desa/Kelurahan Ciangsana, Kec. Gunung Putri, Kab. Bogor"/>
        <s v="Jalan Raya Narogong KM. 22 No. 62 RT 007 RW 005 Desa Cileungsi Kecamatan Cileungsi Kabupaten Bogor 16820"/>
        <s v="Ruko Sentra Eropa Blok D No. 16 Desa Ciangsana Kecamatan Gunung Putri Kabupaten Bogor Provinsi Jawa Barat"/>
        <s v="Jl. Arjuna RT/RW 002/008 NO. 20, Desa/Kelurahan Pondok Benda, Kec. Pamulang, Kota Tangerang Selatan, Provinsi Banten"/>
        <s v="Jalan Tanah Seratus No. 32 RT 005 RW 001, Desa/Kel. Sudimara Jaya, Kec. Ciledug, Kota Tangerang 15152"/>
        <s v="Ruko Pasar Modern Blok A No.6 Kelurahan Sampora Kecamatan Cisauk Kabupaten Tangerang 15345"/>
        <s v="Jalan Pramuka Raya RT.003 RW.007, Desa/Kelurahan Grogol, Kec. Limo, Kota Depok"/>
        <s v="Jalan Raya Jakarta Bogor no 10, Desa/Kel. Mekarsari, Kec. Cimanggis, Kota Depok"/>
        <s v="Jl Raya Hankam No. 114 Kel. Jatirahayu Kec. Pondok Melati Kota Bekasi"/>
        <s v="Jl. Raya Kalimulya RT. 005 RW. 002, Desa/Kel. Kalimulya, Kec. Cilodong, Kota Depok"/>
        <s v="Ruko Gardenia, Grand Depok City, Grand Depok City, Jalan KSU Parung Serab, Kelurahan Tirtajaya, Kecamatan Sukmajaya, Kota Depok, Jawa Barat 16412"/>
        <s v="Jl. Bukit Cinere No.5E RT/RW.001/008, Desa/Kel. Cinere, Kec. Cinere, Kota Depok"/>
        <s v="Jl. Raya Ceger No. 99, Ceger, Cipayung"/>
        <s v="Jalan Lampiri Raya, Rt.004 Rw.002 no. 12C, Desa/Kelurahan Jatibening Baru, Kec. Pondokgede, Kota Bekasi"/>
        <s v="Jalan Krukut Raya RT 006 RW 001 Kelurahan Krukut Kecamatan Limo Kota Depok 16512"/>
        <s v="Komplek Permata Jasindo Lestari Blok A6/14 RT.007 RW.004 Kelurahan Mekarsari, Kecamatan Cimanggis, Kota Depok 16452"/>
        <s v="Jalan Jatijajar I RT 03 RW 02 Kelurahan Jatijajar Kecamatan Tapos Kota Depok 16454"/>
        <s v="Jl. Masjid Raya No. 30 RT 001 RW 012 Kelurahan - Jaticempaka Kecamatan - Pondok Gede Kota Bekasi"/>
        <s v="Jl. Pangrango Terusan No. 34 RT. 01 RW. 04,Desa/Kelurahan Jatibening Baru,Kecamatan Pondok Gede,Kota Bekasi,Jawa Barat,17412"/>
        <s v="Jalan Raya Kampung Sawah No 50, Desa/Kelurahan Jatimelati, Kecamatan Pondokmelati, Kota Bekasi,Jawa Barat,17414"/>
        <s v="Jl. Margonda Raya No. 514 RT. 001 RW. 005 Jl. Raya Pondok Duta Kel. Pondok Cina Kec. Beji Kota Depok"/>
        <s v="Jalan Raya Jatiwaringin 232 B Kelurahan Jaticempaka Kecamatan Pondokgede Kota Bekasi Jawa Barat 17411"/>
        <s v="Jalan Jatibening Estate Kav.2 Kelurahan Jatibening Kecamatan Pondok Gede Kota Bekasi 17412"/>
        <s v="Jl. Jatiwaringin No. 130 Kel. Jatiwaringin Kec. Pondok Gede Kota Bekasi"/>
        <s v="Jl. Lampiri Raya No.108 B Desa/Kelurahan Jatibening Baru,Kecamatan Pondok Gede, Kota Bekasi, Jawa Barat, 17412"/>
        <s v="Jalan Anggrek Raya No. 27-28 RT 002/004 Kelurahan Depok Jaya Kecamatan Pancoran Mas 16432"/>
        <s v="Ruko Kranggan Permai Blok RT 2 No. 4, RT 015 RW 015, Kelurahan Jatisampurna, Kecamatan Jatisampurna, Kota Bekasi, Jawa Barat 17433"/>
        <s v="Ruko Blok II No. 12 A Jl. Raya Curug RT 007 RW 002 Kel. Jaticempaka, Kec. Pondok Gede, Kota Bekasi 17411"/>
        <s v="Jl. Pd. Gede Raya No.18 P 1, RT.1/RW.8, Lubang Buaya, Kec. Cipayung, Kota Jakarta Timur"/>
        <s v="Jalan Cilangkap Kp. Cilangkap RT 006 RW 012 Kelurahan Cilangkap Kecamatan Tapos Kota Depok 16411"/>
        <s v="Perumahan Grand Depok City Sektor Caspia Blok B12 RT 002/006 Kelurahan Kalibaru Kecamatan Cilodong Depok 16414"/>
        <s v="Jalan Mess AL Kranggan Wetan RT.001/RW.012, Kelurahan Jatirangga, Kecamatan Jatisampurna, Kota Bekasi 17434"/>
        <s v="Kav Pertamina No. 94-96, Jl Tumaritis 1 Kel. Harjamukti Kec. Cimanggis Kota Depok"/>
        <s v="Komplek Ruko Jatimakmur Residence Blok A No. 9 Rt/Rw : 001/RW 20, Desa/Kel. Jatimakmur, Kec. Pondokgede, Kota Bekasi"/>
        <s v="Jalan Cipayung Jaya RT 04 RW 05 Kelurahan Cipayung Jaya Kecamatan Cipayung Kota Depok 16437"/>
        <s v="Jalan Radar Auri No. 87, Kelurahan Mekarsari, Kecamatan Cimanggis, Kota Depok 16452"/>
        <s v="Jl. Moh. Kahfi 1 Ruko Ario Bimo No.3, Desa/Kel. Tanah Baru, Kec. Beji, Kota Depok 12646"/>
        <s v="Jalan Caringin RT. 007 RW. 004 , Desa/Kelurahan Rangkapan Jaya,Kecamatan Pancoran Mas, Kota Depok,Jawa Barat,16435"/>
        <s v="Kp Cilangkap RT 001/014 Kel. Cilangkap Kec. Tapos Kota Depok"/>
        <s v="Jalan Arief Rahman Hakim No. 39 RT 010 RW 006, Kelurahan Depok Jaya, Kecamatan Pancoran Mas, Kota Depok 16431"/>
        <s v="Jalan Raya Kalimulya, Kelurahan Jatimulya Kecamatan Cilodong, Kota Depok, Jawa Barat 16413"/>
        <s v="Jl Raya Kalimulya No 80 Kel .Kalimulya Kec. Cilodong Kota Depok"/>
        <s v="Jl. Kincan raya No. 17C RT.001 RW.007 Kelurahan Jatibening,Kecamatan Pondok Gede,Kota Bekasi,Jawa Barat,17412"/>
        <s v="Jalan Kejayaan Blok X No. 9 RT 006/ RW 012 Kelurahan Abadijaya, Kecamatan Sukmajaya Kota Depok 16417"/>
        <s v="Jalan Siliwangi No.3 Kelurahan Depok, Kecamatan Pancoranmas, Kota Depok 16431"/>
        <s v="Jalan Terusan Mabes Hankam RT 007 RW 004, Desa/Kelurahan Setu, Kecamatan Cipayung, Kota Administrasi Jakarta Timur, DKI Jakarta 13880"/>
        <s v="Jalan Raya Hankam No.65 RT 002 RW 007 Kelurahan Jatiwarna Kecamatan Pondok Melati Kota Bekasi 17415"/>
        <s v="Jl. Raya Kampung Sawah No. 2 RT. 007 RW. 001 Desa/Kelurahan Jatimurni, Kec. Pondokmelati, Kota Bekasi"/>
        <s v="Ruko Khireni green View, Jl Raya Ciherang RT 003 RW 006 Kel. Sukatani Kec. Tapos Kota Depok"/>
        <s v="Jalan Kapitan No. 22 RT. 003 RW. 004 Kelurahan Sukatani, Kecamatan Tapos, Kota Depok 16454"/>
        <s v="Jalan Tawangmangu Raya Blok C2 No. 4 RT 19 RW 07 Kelurahan Jati Cempaka Kecamatan Pondok Gede Kota Bekasi 17411"/>
        <s v="Jalan Swakarsa Raya No. 22 RT.03 RW.04 Desa Jatibening Baru, Kecamatan Pondokgede, Kota Bekasi, Jawa Barat 17412"/>
        <s v="Jl. Raya Kecapi Kav. A-03, Kel. Jatirahayu Kec. Pondok Melati, Kota Bekasi"/>
        <s v="Jalan Pondok Rajeg RT 01 RW 01 NO 79, Desa/Kelurahan Jatimulya, Kec. Cilodong, Kota Depok, Provinsi Jawa Barat"/>
        <s v="Jalan Raya Keadilan RT 004 RW 009 Kelurahan Rangkapan Jaya Baru Kecamatan Pancoran Mas Depok 16431"/>
        <s v="Jalan Raya Pondok Gede 50 A Kav 4-5 Kelurahan Jatirahayu Kecamatan Pondok Melati Bekasi Jawa Barat 17414"/>
        <s v="Jalan Raya Hankam No.41 Kelurahan Jatimelati, Kecamatan Pondok Melati, Kota Bekasi 17414"/>
        <s v="Jl. Raya Jatibening Estate No. 34, Kel.Jatibening, Kec. Pondok Gede, Kota Bekasi"/>
        <s v="Kampung Cinyosog RT 001 RW 001 Desa Pasir Angin Kecamatan Cileungsi Kaupaten Bogor 16820"/>
        <s v="Jalan Raya Parung Gunung Sindur No. 23 Desa Parung Kecamatan Parung Kabupaten Bogor 16330"/>
        <s v="Ruko Bukit Cimanggu City Blok B1 No. 2a RT.007 RW.009 Kel. Cibadak, Kecamatan Tanah Sareal, Kota Bogor"/>
        <s v="Jl. Mercedes Benz RT 01 RW 03 Desa/Kel. Cicadas Kec. Gunung Putri Kab. Bogor 16964"/>
        <s v="Ruko Citra Indah Jonggol Blok SS 05 No. 3, Perum Citra Indah Desa/Kelurahan Sukamaju, Kecamatan Jonggol, Kabupaten Bogor, Jawa Barat 16830"/>
        <s v="Jalan KH. Abdullah Bin Nuh No. 99 RT. 05 RW. 04 Kelurahan Cibadak Kecamatan Tanah Sereal Kota Bogor 16166"/>
        <s v="Komplek Ruko Duta Mekar Asri Blok B1 No. 03 Desa Cileungsi Kidul Kecamatan Cileungsi Kabupaten Bogor"/>
        <s v="Jl. Gang Wira No. 8 RT.02 RW. 05 Desa/Kel. Parung Kec. Parung Kabupaten Bogor 16330"/>
        <s v="Ruko Perumahan Puri Harmoni Pasir Mukti Blok H No. 40, Desa/Kelurahan Pasirmukti, Kec. Citeureup, Kab. Bogor"/>
        <s v="Jl. Raya Pemda Kp. Kaum Pandak No. 42 RT.002 Rw.004 Desa/Kel. Karadenan Kec. Cibinong,Kabupaten Bogor"/>
        <s v="Jl. Habib Umar Kp. Cipayung RT 005 RW 001 Cipayung Datar Kecamatan Megamendung Kabupaten Bogor"/>
        <s v="Jl. BUBULAK No 85 RT 03 RW 01, Desa/Kelurahan Kebon Pedes, Kec. Tanah Sareal, Kota Bogor 16162"/>
        <s v="Bukit Cimanggu City Ruko Greenland Avenue Blok DD2 No. 18 RT. 001 RW. 014 Kelurahan Sukadamai Kecamatan Tanah Sereal Kota Bogor 16165"/>
        <s v="Jalan Raya Kemang No8 RT 002 RW 002 Desa Pondok Udik Kecamatan Kemang Kabupaten Bogor Jawa Barat 16310"/>
        <s v="Villa Nusa Indah II HH 2/4 Desa Bojong Kulur Kecamatan Gunung Putri Kabupaten Bogor 17422"/>
        <s v="Perumahan Taman Tirta Cimanggu Ruko No. 20 RT 06 RW 012 Kel. Mekarwangi Kec. Tanah Sereal Kota Bogor 16167"/>
        <s v="Jalan KH. Mansyur RT003 RW 003 Kelurahan Sudimara Kecamatan Pinang Kota Tangerang 15145"/>
        <s v="Ruko Dasana Indah PD 06 No.1 Kelurahan/Desa Bojong Nangka Kecamatan Kelapa Dua Kabupaten Tangerang,Banten,15810"/>
        <s v="Komplek Ruko Pasar Segar Blok RB1 No.8 Graha Raya Bintaro, Kelurahan Pondok Jagung Timur, Kecamatan Serpong Utara, Kota Tangerang Selatan, Banten 15326"/>
        <s v="Jl. Sultan Ageng Tirtayasa RT 04 RW 09 Kelurahan Kunciran Indah Kecamatan Pinang Kota Tangerang 15144"/>
        <s v="Perumahan Binong Permai Blok A1 No. 18 RT 01 RW 012 Kelurahan Binong Kecamatan Curug Kabupaten Tangerang 15810"/>
        <s v="Jalan KH. Ahmad Dahlan Nomor 36A , Desa/Kelurahan Petir, Kec. Cipondoh, Kota Tangerang"/>
        <s v="Ruko Emerald Boulevard AA1 Nomor 28 Bintaro Jaya 9, Jalan Jombang Raya, Desa/Kelurahan Parigi, Kec. Pondok Aren,Kota Tangerang Selatan,Banten"/>
        <s v="Perumahan Dasana Indah, Ruko Dasana Xenter Blok AD 51-53 RT 007 RW 012 Desa Bojong Nangka Kecamatan Kelapa Dua Tangerang 15810"/>
        <s v="Jalan Gatot Subroto No.11,Desa/Kelurahan Cimone,Kecamatan Karawaci,Kota Tangerang,15114"/>
        <s v="Ruko Azores Banjar Wijaya Blok B-17A No. 33 Kelurahan Porsi Plawad Indah Kecamatan Cipondoh Kota Tangerang 15141"/>
        <s v="Jalan Iskandar Muda No.194 RT 001/003 Kelurahan Kedaung Baru Kecamatan Neglasari Kota Tangerang 15128"/>
        <s v="Ruko Blok C.6 No. D28,Medang Lestari Kel. Medang Kec. Pagedangan Kab. Tangerang 15334"/>
        <s v="Taman Royal I, Ruko Permata Niaga 3 No.2 Kelurahan Tanah Tinggi, Kecamatan Tangerang, Kota Tangerang 15119"/>
        <s v="Ruko Fortune 8 Blok Fb/ C No. 23, Desa/Kelurahan Pakujaya, Kec. Serpong Utara, Kota Tangerang Selatan"/>
        <s v="Jalan Perum Griya Asri Raya Blok B8 No. 44 RT 053 RW 007 Kelurahan Jelupang Kecamatan Serpong Utara Tangerang Selatan 15323"/>
        <s v="Jln. Pandan Raya No.14 RT.005 RW.013 Perumnas I Kel. Cibodasari Kec. Cibodas - Kota Tangerang"/>
        <s v="Jalan Anggrek Kaviling B1 No.23 Kelurahan Mekarmukti Kecamatan Cikarang Utara Kabupaten Bekasi 17530"/>
        <s v="Jl. Tonggong Londok RT 006 RW 002 Desa Ciledug Kec. Setu Kab. Bekasi 17320"/>
        <s v="Perumahan Villa Mutiara Cikarang 2 Blok B2 No 29, Desa/Kelurahan Sukasejati, Kec. Cikarang Selatan, Kab. Bekasi"/>
        <s v="Kp Pasirranji RT 006/ RW 002 Desa Pasirranji, Kec. Cikarang Pusat, Kabupaten Bekasi"/>
        <s v="Perumahan Bekasi Timur Regency 3 Blok F1 No 8, Kel. Padurenan Kec. Mustika Jaya, Kota Bekasi, 17155"/>
        <s v="Kp Pagadungan RT 03 RW 04 Desa Jayasampurna Kec. Serang Baru Kab. Bekasi"/>
        <s v="Perumahan Bekasi Timur Regency I, Ruko Michella Blok. I09 No. 09, Jl. Raya Gelatik RT. 002 RW. 018 Kel. Cimuning Kec. Mustika Jaya, Kota Bekasi"/>
        <s v="Kp. Cimahi RT.006 RW.003 Desa Sukamahi, Kec. Cikarang Pusat, Kabupaten Bekasi 17531"/>
        <s v="Jalan Mandor Demong Kawasan Perumahan Familia Urban Ruko Blok DD 9-10, Desa/Kel. Mustikasari, Kec. Mustikajaya, Kota Bekasi 17157"/>
        <s v="Perum Sukaraya Indah Blok D1, Desa/Kelurahan Sukaraya, Kec. Karang Bahagia, Kab. Bekasi"/>
        <s v="Jl. Serang-Setu No.23 Desa Sukadami, Kec. Cikarang Selatan, Kab. Bekasi"/>
        <s v="Perumahan Gramapuri Persada Blok K2/9 Kelurahan Sukajaya Kecamatan Cibitung Kabupaten Bekasi 17520"/>
        <s v="Perum Mutiara Bekasi Jaya Blok G1 No. 19A RT 005 RW 009 Desa/Kelurahan Sindangmulya Kecamatan Cibarusah Kabupaten Bekasi 17340"/>
        <s v="Jalan Raya Narogong KM 11 RT 03 RW 07 Kelurahan Bantargebang Kecamatan Bantargebang Bekasi Jawa Barat 17151"/>
        <s v="Perum Ruko Perumahan Imanan Residence Blok A No.6 RT 005 RW 02 Desa Serang Kec. Cikarang Selatan Kab. Bekasi 17530"/>
        <s v="Perum Harvest City, Ruko CBD Orchid Blok BVO 04 -19 Lantai 1 Desa Ragemanunggal, Kec. Setu Kab Bekasi 17320"/>
        <s v="Kp Tegal Tangsi RT 003 RW 003 Desa Jatiwangi Kec. Cikarang Barat Kab. Bekasi"/>
        <s v="Jl. Cisadane Raya Blok M9 No. 18 RT 01 RW 11, Desa/Kel. Simpangan, Kec. Cikarang Utara, Kab. Bekasi"/>
        <s v="Kp Tegaldanas RT 001 RW 001 Desa Jayamukti, Kec Cikarang Pusat Kabupaten Bekasi"/>
        <s v="Jl. Raya Pebayuran No.99 Kel. Kertasari Kec. Pebayuran Kab. Bekasi 17701"/>
        <s v="Grand Residence City Blok RR No.73 Desa/Kelurahan Cijengkol Kecamatan Setu Kabupaten Bekasi 17320"/>
        <s v="Jalan Setiadarma I RT 01 RW 02 Desa Setiadarma Kecamatan Tambun Selatan Bekasi 17510"/>
        <s v="Jl. Rimba Mulya RT. 04 RW.01,Desa/Kelurahan Jati Punggur, Kecamatan Lengkong, Kabupaten Nganjuk,Jawa Timur,64393"/>
        <s v="Ruko Lavender Arcade Blok A No. 11 Kota Podomoro Tenjo Desa Babakan Kecamatan Tenjo Kabupaten Bogor"/>
        <s v="Kampung Ciakar RT 002 RW 004 Desa Cicalengka Kecamatan Pagedangan Kabupaten Tangerang 15336"/>
        <s v="Jalan Pekapuran Raya No. 125 RT. 001 RW. 003 Kel. Sukatani Kec. Tapos Kota Depok 16454"/>
        <s v="Jalan KH. M. Usman No. 17 RT 004 RW 002 Kelurahan Kukusan Kecamatan Beji Kota Depok 16425"/>
        <s v="Jl. Cilangkap Baru Blok R No. 3 RT 001 RW 001 Kel. Cilangkap Kec. Cipayung Kota Jakarta Timur"/>
        <s v="Jalan Kelurahan Ciater No. 57 RT 009 RW 007, Desa/Kel. Ciater, Kec. Serpong, Kota Tangerang Selatan"/>
        <s v="Ruko Lumibiz Legenda Wisata Blok. U12 No. 20-21 , Desa/Kel. Nagrak, Kec. Gunung Putri, Kab. Bogor"/>
        <s v="Ruko Perumahan Taman Metropolitan Blok PTM 2 No. 10 Desa Limusnunggal Kec. Cileungsi Kab. Bogor"/>
        <s v="Ruko Grand Pasadena Jl. Tarum Barat 1 No.2-3 Blok Q1 Desa Jaya Mukti Kecamatan Cikarang Pusat Kabupaten Bekasi"/>
        <s v="Kp. Selang Jati RT 002 RW 003 Desa Wanajaya Kec Cibitung Kab Bekasi"/>
        <s v="Ds. Ngambong,RT.002 RW 002,Desa/Kelurahan Pitu,Kecamatan Pitu,Kabupaten Ngawi,Jawa Timur,63252"/>
        <s v="Jl. Raya Centex No. 29, RT. 011 / RW. 003, Kelurahan Ciracas, Kecamatan Ciracas, Jakarta Timur, DKI Jakarta 13740"/>
        <s v="Klinik Pratama Rawat Inap Kalya Lena, Jl. Intan 1, RT. 001 RW. 001, Desa/Kel. Curug, Kec. Gunung Sindur, Kab. Bogor"/>
        <s v="Jl. Pattimura No. 57, Desa/Kelurahan Sengon , Kec. Jombang, Kab. Jombang, Jawa Timur, 61418"/>
        <s v="Jalan Cipto Mangunkusumo No. 11 Temanggung 1 Kabupaten Temanggung, Jawa Tengah 56212"/>
        <s v="Kp. Pasirandu RT/RW 06/03, Desa/Kelurahan Sukasari, Kec. Serang Baru, Kab. Bekasi, 17330"/>
        <s v="Perumahan Permata Muktiwari Residence Blok A1 No. 05 Desa/Kelurahan Muktiwari, Kecamatan Cibitung, Kabupaten Bekasi, Jawa Barat 17519"/>
        <s v="Ruko Grand Permata City Kav B1 No.10 Jalan Pilar Sukatani Kelurahan Karang Setia Kecamatan Karang Bahagia Cikarang Bekasi 17530"/>
        <s v="Kp Cilangkara RT/RW 007/004 Desa Sirnajaya Kec. Serang Baru Kabupaten Bekasi"/>
        <s v="Jalan Boulevard Raya Ruko Milan Avenue Blok CE No. 25 RT 004 RW 008 Kelurahan Sawangan Kecamatan Sawangan Depok 16511"/>
        <s v="Jl. Kemang Raya No 5 Kel. Sukmajaya Kec. Sukmajaya Kota Depok"/>
        <s v="Jl. Kelapa Dua Wetan Raya No.22 RT01 RW07 Kel. Kepala Dua Wetan Kec. Ciracas Kota Jakarta Timur"/>
        <s v="Perumahan Cluster Puri Pesona Jalan Cipayung No. 1 RT 004 RW 009 Kelurahan Bojong Pondok Terong Kecamatan Cipayung Kota Depok 16436"/>
        <s v="Jalan Raya Tapos RT 003 RW 02, Desa/Kelurahan Cimpaeun, Kec.Tapos, Kota Depok"/>
        <s v="Jalan Dana Karya No. 04 Rt. 003 Rw 008, Desa/Kel. Gedong, Kec. Pasar Rebo, Kota Adm. Jakarta Timur"/>
        <s v="Jalan Raya Pondok Petir No. 38 RT. 004/005 Kelurahan Pondok Petir Kecamatan Bojongsari Kota Depok 16516"/>
        <s v="Jl. Kranggan Permai Raya S6 No.13, RT.011/RW.015, Desa/Kel. Jatirangga, Kec. Jatisampurna, Kota Bekasi, 17433"/>
        <s v="Jl. Terusan H Nawi Malik No.25 RT.002 RW. 004, Desa/Kelurahan Pondok Petir, Kecamatan Bojongsari, Kota Depok,Jawa Barat,16517"/>
        <s v="Ruko De Khirani Village 2 T5, Kp. Sindangkarsa RT. 004 RW.006,Desa/Kelurahan Sukamaju Baru,Kecamatan Tapos,Kota Depok,Jawa Barat"/>
        <s v="Sinsa District Blok D6 No. 5, Desa/Kel. Bojongsari, Kec. Bojongsari, Kota Depok"/>
        <s v="Jalan Raya Tonjong Ruko Bilabong Permai B1 No. 65/66 Desa Cimanggis Kecamatan Bojonggede Kabupaten Bogor 16920"/>
        <s v="Ruko Perumahan Bukit Asri Baru Blok A No.6 Kelurahan Pabuaran Kecamatan Cibinong Bogor 16916"/>
        <s v="Jl. Raya Jakarta-Bogor KM. 44 Kp. Curug RT 003 RW 012,Desa/Kelurahan Pakansari,Kecamatan Cibinong,Kabupaten Bogor,Jawa Barat,16915"/>
        <s v="Ruko ATC Blok A No.9 Desa Parung Kecamatan Parung Kabupaten Bogor 16330"/>
        <s v="Jalan Raya Letkol Murlin Kp Menan RT 001 RW 004 Desa Sukamaju Kecamatan Jonggol Kab Bogor 16830"/>
        <s v="Perumahan Pesona Kahuripan Blok Toko B No. 6 Desa Bojong Kec. Klapa Nunggal Kab. Bogor"/>
        <s v="Ruko Pesona Situsari Blok A1 RT 003 RW 007 Desa Situsari Kecamatan Cileungsi Kabupaten Bogor"/>
        <s v="Jl. Ruko Little China JD 20, Legenda Wisata Desa/Kelurahan Nagrak, Kecamatan Gunung Putri, Kabupaten Bogor, Jawa Barat, 16967"/>
        <s v="Ruko Maggiore Grande Blok H No. 62 Desa/Kel. Cihuni Kec. Pagedangan Kabupaten Tangerang"/>
        <s v="Jalan Swadaya Raya,Gang Anggrek I No.1 Kelurahan Larangan Indah Kecamatan Larang Kota Tangerang 15154"/>
        <s v="Jalan Raya Tegal Rotan No.81,Desa/Kel. Sawah Baru, Kec. Ciputat, Kota Tangerang Selatan"/>
        <s v="Jl. PD Jati Raya RT 05/04 No 46B. Kel. Jurangmangu Barat, Kec. Pondok Aren. Kota Tangerang Selatan"/>
        <s v="Jl. Pasar Impres No.90 RT - RW - Kel/Desa Pamanukan Kec. Pamanukan Kabupaten Subang 41264"/>
        <s v="Jalan Raya Binong No. 55 Curug Kampung Galuga Kelurahan Binong Kecamatan Curug Kabupaten Tangerang 15810"/>
        <s v="Jl. Veteran III RT. 13 RW. 03 Desa Banjar Sari Kec. Ciawi Kab. Bogor 16720"/>
        <s v="Villa Nusa Indah blok U3 no 9, Desa/Kel. Bojong Kulur, Kec. Gunung Putri, Kab. Bogor"/>
        <s v="Jalan Raya Pabuaran No.26 RT 007 RW 013 Kelurahan Pabuaran Kecamatan Bojonggede Kabupaten Bogor 16921"/>
        <s v="Ruko Citra Indah Festival, Blok CIF 08/10, Desa Singajaya Kecamatan Jonggol Kabupaten Bogor"/>
        <s v="Jl Raya Telaga Asih Kp. Selang Tengah RT 04 RW 02 Kel. Wanasari Kec. Cibitung Kab. Bekasi 17520"/>
        <s v="Ruko Permata Arcadia Blok A-18, Desa/Kelurahan Sukatani, Kec. Tapos, Kota Depok"/>
        <s v="Jl. Kejayaan No. 1 RT. 001 RW. 008,Desa/Kelurahan Abadijaya,Kecamatan Sukmajaya,Kota Depok,Jawa Barat,16417"/>
      </sharedItems>
    </cacheField>
    <cacheField name="L2" numFmtId="0">
      <sharedItems>
        <s v="Kota Depok"/>
        <s v="Kabupaten Banyuwangi"/>
        <s v="Kabupaten Bekasi"/>
        <s v="Kabupaten Cianjur"/>
        <s v="Kabupaten Purwakarta"/>
        <s v="Kabupaten Bogor"/>
        <s v="Kota Tangerang Selatan"/>
        <s v="Kota Tangerang"/>
        <s v="Kabupaten Tangerang"/>
        <s v="Kota Bekasi"/>
        <s v="Kota Jakarta Timur"/>
        <s v="Kota Bogor"/>
        <s v="Kabupaten Nganjuk"/>
        <s v="Kabupaten Ngawi"/>
        <s v="Kabupaten Jombang"/>
        <s v="Kabupaten Temanggung"/>
        <s v="Kabupaten Subang"/>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apping L2" cacheId="0" dataCaption="" compact="0" compactData="0">
  <location ref="M3:N21" firstHeaderRow="0" firstDataRow="1" firstDataCol="0"/>
  <pivotFields>
    <pivotField name="Alama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t="default"/>
      </items>
    </pivotField>
    <pivotField name="L2"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s>
  <rowFields>
    <field x="1"/>
  </rowFields>
  <dataFields>
    <dataField name="COUNTA of Alamat"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from.name/" TargetMode="External"/><Relationship Id="rId2" Type="http://schemas.openxmlformats.org/officeDocument/2006/relationships/hyperlink" Target="http://to.nam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13.13"/>
    <col customWidth="1" min="3" max="3" width="17.63"/>
    <col customWidth="1" min="4" max="4" width="25.38"/>
    <col customWidth="1" min="5" max="5" width="10.0"/>
    <col customWidth="1" min="6" max="6" width="52.75"/>
    <col customWidth="1" min="7" max="7" width="15.25"/>
    <col customWidth="1" min="8" max="8" width="124.0"/>
    <col customWidth="1" min="9" max="9" width="15.5"/>
    <col customWidth="1" min="10" max="10" width="37.25"/>
    <col customWidth="1" min="11" max="11" width="13.38"/>
    <col customWidth="1" min="12" max="12" width="95.5"/>
    <col customWidth="1" min="13" max="13" width="13.75"/>
    <col customWidth="1" min="14" max="14" width="15.88"/>
    <col customWidth="1" min="15" max="15" width="10.88"/>
    <col customWidth="1" min="16" max="16" width="14.38"/>
    <col customWidth="1" min="17" max="17" width="14.75"/>
    <col customWidth="1" min="18" max="18" width="266.75"/>
    <col customWidth="1" min="19" max="19" width="21.75"/>
    <col customWidth="1" min="20" max="20" width="27.75"/>
    <col customWidth="1" min="21" max="21" width="27.25"/>
    <col customWidth="1" min="22" max="22" width="27.0"/>
    <col customWidth="1" min="23" max="23" width="21.25"/>
    <col customWidth="1" min="24" max="24" width="21.5"/>
    <col customWidth="1" min="25" max="25" width="25.5"/>
    <col customWidth="1" min="26" max="26" width="27.13"/>
    <col customWidth="1" min="27" max="27" width="18.25"/>
    <col customWidth="1" min="28" max="28" width="24.5"/>
    <col customWidth="1" min="29" max="29" width="39.25"/>
    <col customWidth="1" min="30" max="30" width="18.0"/>
    <col customWidth="1" min="31" max="31" width="14.75"/>
    <col customWidth="1" min="32" max="32" width="16.88"/>
    <col customWidth="1" min="33" max="33" width="26.88"/>
    <col customWidth="1" min="34" max="34" width="26.25"/>
    <col customWidth="1" min="35" max="35" width="26.0"/>
    <col customWidth="1" min="36" max="37" width="128.88"/>
    <col customWidth="1" min="38" max="43" width="63.25"/>
  </cols>
  <sheetData>
    <row r="1">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3"/>
      <c r="AL1" s="3"/>
      <c r="AM1" s="3"/>
      <c r="AN1" s="3"/>
      <c r="AO1" s="3"/>
      <c r="AP1" s="3"/>
      <c r="AQ1" s="3"/>
    </row>
    <row r="2">
      <c r="A2" s="4" t="s">
        <v>36</v>
      </c>
      <c r="B2" s="5">
        <v>1.1398423E7</v>
      </c>
      <c r="C2" s="5" t="s">
        <v>37</v>
      </c>
      <c r="D2" s="4" t="s">
        <v>38</v>
      </c>
      <c r="E2" s="5" t="s">
        <v>39</v>
      </c>
      <c r="F2" s="4" t="s">
        <v>40</v>
      </c>
      <c r="G2" s="6">
        <v>6.28517E17</v>
      </c>
      <c r="H2" s="4" t="s">
        <v>41</v>
      </c>
      <c r="I2" s="5" t="s">
        <v>42</v>
      </c>
      <c r="J2" s="5" t="s">
        <v>43</v>
      </c>
      <c r="K2" s="5">
        <v>8.7733785699E10</v>
      </c>
      <c r="L2" s="4" t="s">
        <v>44</v>
      </c>
      <c r="M2" s="5" t="s">
        <v>42</v>
      </c>
      <c r="N2" s="4" t="s">
        <v>45</v>
      </c>
      <c r="O2" s="4" t="s">
        <v>46</v>
      </c>
      <c r="P2" s="4" t="s">
        <v>47</v>
      </c>
      <c r="Q2" s="4">
        <v>16451.0</v>
      </c>
      <c r="R2" s="7" t="s">
        <v>48</v>
      </c>
      <c r="S2" s="8">
        <v>46153.0</v>
      </c>
      <c r="T2" s="9">
        <v>0.375</v>
      </c>
      <c r="U2" s="9">
        <v>0.9166666666666666</v>
      </c>
      <c r="V2" s="4" t="s">
        <v>49</v>
      </c>
      <c r="W2" s="5">
        <v>1.0</v>
      </c>
      <c r="X2" s="5" t="b">
        <v>1</v>
      </c>
      <c r="Y2" s="5" t="s">
        <v>50</v>
      </c>
      <c r="Z2" s="5" t="b">
        <v>0</v>
      </c>
      <c r="AA2" s="10"/>
      <c r="AB2" s="4">
        <v>1.0</v>
      </c>
      <c r="AC2" s="11" t="s">
        <v>51</v>
      </c>
      <c r="AD2" s="5">
        <v>0.0</v>
      </c>
      <c r="AE2" s="5">
        <v>1.0</v>
      </c>
      <c r="AF2" s="8">
        <v>46153.0</v>
      </c>
      <c r="AG2" s="9">
        <v>0.375</v>
      </c>
      <c r="AH2" s="9">
        <v>0.9166666666666666</v>
      </c>
      <c r="AI2" s="4" t="s">
        <v>49</v>
      </c>
      <c r="AJ2" s="5" t="s">
        <v>52</v>
      </c>
      <c r="AK2" s="12"/>
      <c r="AL2" s="12"/>
      <c r="AM2" s="12"/>
      <c r="AN2" s="12"/>
      <c r="AO2" s="12"/>
      <c r="AP2" s="12"/>
      <c r="AQ2" s="12"/>
    </row>
    <row r="3">
      <c r="A3" s="4" t="s">
        <v>53</v>
      </c>
      <c r="B3" s="5">
        <v>1.1398423E7</v>
      </c>
      <c r="C3" s="5" t="s">
        <v>37</v>
      </c>
      <c r="D3" s="4" t="s">
        <v>54</v>
      </c>
      <c r="E3" s="5" t="s">
        <v>39</v>
      </c>
      <c r="F3" s="4" t="s">
        <v>55</v>
      </c>
      <c r="G3" s="6">
        <v>6.2853E16</v>
      </c>
      <c r="H3" s="4" t="s">
        <v>56</v>
      </c>
      <c r="I3" s="5" t="s">
        <v>42</v>
      </c>
      <c r="J3" s="13" t="s">
        <v>43</v>
      </c>
      <c r="K3" s="14">
        <v>6.28514E17</v>
      </c>
      <c r="L3" s="13" t="s">
        <v>57</v>
      </c>
      <c r="M3" s="5" t="s">
        <v>42</v>
      </c>
      <c r="N3" s="4" t="s">
        <v>58</v>
      </c>
      <c r="O3" s="4" t="s">
        <v>59</v>
      </c>
      <c r="P3" s="4" t="s">
        <v>60</v>
      </c>
      <c r="Q3" s="4">
        <v>60291.0</v>
      </c>
      <c r="R3" s="4" t="s">
        <v>61</v>
      </c>
      <c r="S3" s="8">
        <v>46155.0</v>
      </c>
      <c r="T3" s="9">
        <v>0.375</v>
      </c>
      <c r="U3" s="9">
        <v>0.9166666666666666</v>
      </c>
      <c r="V3" s="4" t="s">
        <v>49</v>
      </c>
      <c r="W3" s="5">
        <v>1.0</v>
      </c>
      <c r="X3" s="5" t="b">
        <v>1</v>
      </c>
      <c r="Y3" s="5" t="s">
        <v>50</v>
      </c>
      <c r="Z3" s="5" t="b">
        <v>0</v>
      </c>
      <c r="AA3" s="10"/>
      <c r="AB3" s="4">
        <v>1.0</v>
      </c>
      <c r="AC3" s="11" t="s">
        <v>62</v>
      </c>
      <c r="AD3" s="5">
        <v>0.0</v>
      </c>
      <c r="AE3" s="5">
        <v>1.0</v>
      </c>
      <c r="AF3" s="8">
        <v>46155.0</v>
      </c>
      <c r="AG3" s="9">
        <v>0.375</v>
      </c>
      <c r="AH3" s="9">
        <v>0.9166666666666666</v>
      </c>
      <c r="AI3" s="4" t="s">
        <v>49</v>
      </c>
      <c r="AJ3" s="5" t="s">
        <v>52</v>
      </c>
      <c r="AK3" s="12"/>
      <c r="AL3" s="12"/>
      <c r="AM3" s="12"/>
      <c r="AN3" s="12"/>
      <c r="AO3" s="12"/>
      <c r="AP3" s="12"/>
      <c r="AQ3" s="12"/>
    </row>
    <row r="4">
      <c r="A4" s="4" t="s">
        <v>63</v>
      </c>
      <c r="B4" s="5">
        <v>1.1398423E7</v>
      </c>
      <c r="C4" s="5" t="s">
        <v>37</v>
      </c>
      <c r="D4" s="4" t="s">
        <v>64</v>
      </c>
      <c r="E4" s="5" t="s">
        <v>39</v>
      </c>
      <c r="F4" s="4" t="s">
        <v>65</v>
      </c>
      <c r="G4" s="6">
        <v>6.28199E17</v>
      </c>
      <c r="H4" s="4" t="s">
        <v>66</v>
      </c>
      <c r="I4" s="5" t="s">
        <v>42</v>
      </c>
      <c r="J4" s="5" t="s">
        <v>43</v>
      </c>
      <c r="K4" s="5">
        <v>8.7733785699E10</v>
      </c>
      <c r="L4" s="4" t="s">
        <v>44</v>
      </c>
      <c r="M4" s="5" t="s">
        <v>42</v>
      </c>
      <c r="N4" s="4" t="s">
        <v>45</v>
      </c>
      <c r="O4" s="4" t="s">
        <v>46</v>
      </c>
      <c r="P4" s="4" t="s">
        <v>47</v>
      </c>
      <c r="Q4" s="4">
        <v>16451.0</v>
      </c>
      <c r="R4" s="4" t="s">
        <v>67</v>
      </c>
      <c r="S4" s="8">
        <v>46158.0</v>
      </c>
      <c r="T4" s="9">
        <v>0.375</v>
      </c>
      <c r="U4" s="9">
        <v>0.9166666666666666</v>
      </c>
      <c r="V4" s="4" t="s">
        <v>49</v>
      </c>
      <c r="W4" s="5">
        <v>1.0</v>
      </c>
      <c r="X4" s="5" t="b">
        <v>1</v>
      </c>
      <c r="Y4" s="5" t="s">
        <v>50</v>
      </c>
      <c r="Z4" s="5" t="b">
        <v>0</v>
      </c>
      <c r="AA4" s="10"/>
      <c r="AB4" s="4">
        <v>1.0</v>
      </c>
      <c r="AC4" s="11" t="s">
        <v>68</v>
      </c>
      <c r="AD4" s="5">
        <v>0.0</v>
      </c>
      <c r="AE4" s="5">
        <v>1.0</v>
      </c>
      <c r="AF4" s="8">
        <v>46158.0</v>
      </c>
      <c r="AG4" s="9">
        <v>0.375</v>
      </c>
      <c r="AH4" s="9">
        <v>0.9166666666666666</v>
      </c>
      <c r="AI4" s="4" t="s">
        <v>49</v>
      </c>
      <c r="AJ4" s="5" t="s">
        <v>52</v>
      </c>
      <c r="AK4" s="12"/>
      <c r="AL4" s="12"/>
      <c r="AM4" s="12"/>
      <c r="AN4" s="12"/>
      <c r="AO4" s="12"/>
      <c r="AP4" s="12"/>
      <c r="AQ4" s="12"/>
    </row>
    <row r="5">
      <c r="A5" s="4" t="s">
        <v>69</v>
      </c>
      <c r="B5" s="5">
        <v>1.1398423E7</v>
      </c>
      <c r="C5" s="5" t="s">
        <v>37</v>
      </c>
      <c r="D5" s="4" t="s">
        <v>70</v>
      </c>
      <c r="E5" s="5" t="s">
        <v>39</v>
      </c>
      <c r="F5" s="4" t="s">
        <v>71</v>
      </c>
      <c r="G5" s="6">
        <v>6.28125E17</v>
      </c>
      <c r="H5" s="4" t="s">
        <v>72</v>
      </c>
      <c r="I5" s="5" t="s">
        <v>42</v>
      </c>
      <c r="J5" s="5" t="s">
        <v>43</v>
      </c>
      <c r="K5" s="5">
        <v>8.7733785699E10</v>
      </c>
      <c r="L5" s="4" t="s">
        <v>44</v>
      </c>
      <c r="M5" s="5" t="s">
        <v>42</v>
      </c>
      <c r="N5" s="4" t="s">
        <v>45</v>
      </c>
      <c r="O5" s="4" t="s">
        <v>46</v>
      </c>
      <c r="P5" s="4" t="s">
        <v>47</v>
      </c>
      <c r="Q5" s="4">
        <v>16451.0</v>
      </c>
      <c r="R5" s="4" t="s">
        <v>73</v>
      </c>
      <c r="S5" s="8">
        <v>46158.0</v>
      </c>
      <c r="T5" s="9">
        <v>0.375</v>
      </c>
      <c r="U5" s="9">
        <v>0.9166666666666666</v>
      </c>
      <c r="V5" s="4" t="s">
        <v>49</v>
      </c>
      <c r="W5" s="5">
        <v>1.0</v>
      </c>
      <c r="X5" s="5" t="b">
        <v>1</v>
      </c>
      <c r="Y5" s="5" t="s">
        <v>50</v>
      </c>
      <c r="Z5" s="5" t="b">
        <v>0</v>
      </c>
      <c r="AA5" s="10"/>
      <c r="AB5" s="4">
        <v>1.0</v>
      </c>
      <c r="AC5" s="11" t="s">
        <v>74</v>
      </c>
      <c r="AD5" s="5">
        <v>0.0</v>
      </c>
      <c r="AE5" s="5">
        <v>1.0</v>
      </c>
      <c r="AF5" s="8">
        <v>46158.0</v>
      </c>
      <c r="AG5" s="9">
        <v>0.375</v>
      </c>
      <c r="AH5" s="9">
        <v>0.9166666666666666</v>
      </c>
      <c r="AI5" s="4" t="s">
        <v>49</v>
      </c>
      <c r="AJ5" s="5" t="s">
        <v>52</v>
      </c>
      <c r="AK5" s="12"/>
      <c r="AL5" s="12"/>
      <c r="AM5" s="12"/>
      <c r="AN5" s="12"/>
      <c r="AO5" s="12"/>
      <c r="AP5" s="12"/>
      <c r="AQ5" s="12"/>
    </row>
    <row r="6">
      <c r="A6" s="4" t="s">
        <v>75</v>
      </c>
      <c r="B6" s="5">
        <v>1.1398423E7</v>
      </c>
      <c r="C6" s="5" t="s">
        <v>37</v>
      </c>
      <c r="D6" s="4" t="s">
        <v>76</v>
      </c>
      <c r="E6" s="5" t="s">
        <v>39</v>
      </c>
      <c r="F6" s="4" t="s">
        <v>77</v>
      </c>
      <c r="G6" s="4">
        <v>8.1776481573E10</v>
      </c>
      <c r="H6" s="4" t="s">
        <v>78</v>
      </c>
      <c r="I6" s="5" t="s">
        <v>42</v>
      </c>
      <c r="J6" s="5" t="s">
        <v>43</v>
      </c>
      <c r="K6" s="5">
        <v>8.7733785699E10</v>
      </c>
      <c r="L6" s="4" t="s">
        <v>44</v>
      </c>
      <c r="M6" s="5" t="s">
        <v>42</v>
      </c>
      <c r="N6" s="4" t="s">
        <v>45</v>
      </c>
      <c r="O6" s="4" t="s">
        <v>46</v>
      </c>
      <c r="P6" s="4" t="s">
        <v>47</v>
      </c>
      <c r="Q6" s="4">
        <v>16451.0</v>
      </c>
      <c r="R6" s="4" t="s">
        <v>79</v>
      </c>
      <c r="S6" s="8">
        <v>46158.0</v>
      </c>
      <c r="T6" s="9">
        <v>0.375</v>
      </c>
      <c r="U6" s="9">
        <v>0.9166666666666666</v>
      </c>
      <c r="V6" s="4" t="s">
        <v>49</v>
      </c>
      <c r="W6" s="5">
        <v>1.0</v>
      </c>
      <c r="X6" s="5" t="b">
        <v>1</v>
      </c>
      <c r="Y6" s="5" t="s">
        <v>50</v>
      </c>
      <c r="Z6" s="5" t="b">
        <v>0</v>
      </c>
      <c r="AA6" s="10"/>
      <c r="AB6" s="4">
        <v>1.0</v>
      </c>
      <c r="AC6" s="11" t="s">
        <v>80</v>
      </c>
      <c r="AD6" s="5">
        <v>0.0</v>
      </c>
      <c r="AE6" s="5">
        <v>1.0</v>
      </c>
      <c r="AF6" s="8">
        <v>46158.0</v>
      </c>
      <c r="AG6" s="9">
        <v>0.375</v>
      </c>
      <c r="AH6" s="9">
        <v>0.9166666666666666</v>
      </c>
      <c r="AI6" s="4" t="s">
        <v>49</v>
      </c>
      <c r="AJ6" s="5" t="s">
        <v>52</v>
      </c>
      <c r="AK6" s="12"/>
      <c r="AL6" s="12"/>
      <c r="AM6" s="12"/>
      <c r="AN6" s="12"/>
      <c r="AO6" s="12"/>
      <c r="AP6" s="12"/>
      <c r="AQ6" s="12"/>
    </row>
    <row r="7">
      <c r="A7" s="4" t="s">
        <v>81</v>
      </c>
      <c r="B7" s="5">
        <v>1.1398423E7</v>
      </c>
      <c r="C7" s="5" t="s">
        <v>37</v>
      </c>
      <c r="D7" s="4" t="s">
        <v>82</v>
      </c>
      <c r="E7" s="5" t="s">
        <v>39</v>
      </c>
      <c r="F7" s="4" t="s">
        <v>83</v>
      </c>
      <c r="G7" s="6">
        <v>6.28213E17</v>
      </c>
      <c r="H7" s="4" t="s">
        <v>84</v>
      </c>
      <c r="I7" s="5" t="s">
        <v>42</v>
      </c>
      <c r="J7" s="5" t="s">
        <v>43</v>
      </c>
      <c r="K7" s="5">
        <v>8.7733785699E10</v>
      </c>
      <c r="L7" s="4" t="s">
        <v>44</v>
      </c>
      <c r="M7" s="5" t="s">
        <v>42</v>
      </c>
      <c r="N7" s="4" t="s">
        <v>45</v>
      </c>
      <c r="O7" s="4" t="s">
        <v>46</v>
      </c>
      <c r="P7" s="4" t="s">
        <v>47</v>
      </c>
      <c r="Q7" s="4">
        <v>16451.0</v>
      </c>
      <c r="R7" s="4" t="s">
        <v>85</v>
      </c>
      <c r="S7" s="8">
        <v>46158.0</v>
      </c>
      <c r="T7" s="9">
        <v>0.375</v>
      </c>
      <c r="U7" s="9">
        <v>0.9166666666666666</v>
      </c>
      <c r="V7" s="4" t="s">
        <v>49</v>
      </c>
      <c r="W7" s="5">
        <v>1.0</v>
      </c>
      <c r="X7" s="5" t="b">
        <v>1</v>
      </c>
      <c r="Y7" s="5" t="s">
        <v>50</v>
      </c>
      <c r="Z7" s="5" t="b">
        <v>0</v>
      </c>
      <c r="AA7" s="10"/>
      <c r="AB7" s="4">
        <v>1.0</v>
      </c>
      <c r="AC7" s="11" t="s">
        <v>86</v>
      </c>
      <c r="AD7" s="5">
        <v>0.0</v>
      </c>
      <c r="AE7" s="5">
        <v>1.0</v>
      </c>
      <c r="AF7" s="8">
        <v>46158.0</v>
      </c>
      <c r="AG7" s="9">
        <v>0.375</v>
      </c>
      <c r="AH7" s="9">
        <v>0.9166666666666666</v>
      </c>
      <c r="AI7" s="4" t="s">
        <v>49</v>
      </c>
      <c r="AJ7" s="5" t="s">
        <v>52</v>
      </c>
      <c r="AK7" s="12"/>
      <c r="AL7" s="12"/>
      <c r="AM7" s="12"/>
      <c r="AN7" s="12"/>
      <c r="AO7" s="12"/>
      <c r="AP7" s="12"/>
      <c r="AQ7" s="12"/>
    </row>
    <row r="8">
      <c r="A8" s="4" t="s">
        <v>87</v>
      </c>
      <c r="B8" s="5">
        <v>1.1398423E7</v>
      </c>
      <c r="C8" s="5" t="s">
        <v>37</v>
      </c>
      <c r="D8" s="4" t="s">
        <v>88</v>
      </c>
      <c r="E8" s="5" t="s">
        <v>39</v>
      </c>
      <c r="F8" s="4" t="s">
        <v>89</v>
      </c>
      <c r="G8" s="4">
        <v>8.2216766044E10</v>
      </c>
      <c r="H8" s="4" t="s">
        <v>90</v>
      </c>
      <c r="I8" s="5" t="s">
        <v>42</v>
      </c>
      <c r="J8" s="5" t="s">
        <v>43</v>
      </c>
      <c r="K8" s="5">
        <v>8.7733785699E10</v>
      </c>
      <c r="L8" s="4" t="s">
        <v>44</v>
      </c>
      <c r="M8" s="5" t="s">
        <v>42</v>
      </c>
      <c r="N8" s="4" t="s">
        <v>45</v>
      </c>
      <c r="O8" s="4" t="s">
        <v>46</v>
      </c>
      <c r="P8" s="4" t="s">
        <v>47</v>
      </c>
      <c r="Q8" s="4">
        <v>16451.0</v>
      </c>
      <c r="R8" s="4" t="s">
        <v>91</v>
      </c>
      <c r="S8" s="8">
        <v>46158.0</v>
      </c>
      <c r="T8" s="9">
        <v>0.375</v>
      </c>
      <c r="U8" s="9">
        <v>0.9166666666666666</v>
      </c>
      <c r="V8" s="4" t="s">
        <v>49</v>
      </c>
      <c r="W8" s="5">
        <v>1.0</v>
      </c>
      <c r="X8" s="5" t="b">
        <v>1</v>
      </c>
      <c r="Y8" s="5" t="s">
        <v>50</v>
      </c>
      <c r="Z8" s="5" t="b">
        <v>0</v>
      </c>
      <c r="AA8" s="10"/>
      <c r="AB8" s="4">
        <v>1.0</v>
      </c>
      <c r="AC8" s="11" t="s">
        <v>92</v>
      </c>
      <c r="AD8" s="5">
        <v>0.0</v>
      </c>
      <c r="AE8" s="5">
        <v>1.0</v>
      </c>
      <c r="AF8" s="8">
        <v>46158.0</v>
      </c>
      <c r="AG8" s="9">
        <v>0.375</v>
      </c>
      <c r="AH8" s="9">
        <v>0.9166666666666666</v>
      </c>
      <c r="AI8" s="4" t="s">
        <v>49</v>
      </c>
      <c r="AJ8" s="5" t="s">
        <v>52</v>
      </c>
      <c r="AK8" s="12"/>
      <c r="AL8" s="12"/>
      <c r="AM8" s="12"/>
      <c r="AN8" s="12"/>
      <c r="AO8" s="12"/>
      <c r="AP8" s="12"/>
      <c r="AQ8" s="12"/>
    </row>
    <row r="9">
      <c r="A9" s="4" t="s">
        <v>93</v>
      </c>
      <c r="B9" s="5">
        <v>1.1398423E7</v>
      </c>
      <c r="C9" s="5" t="s">
        <v>37</v>
      </c>
      <c r="D9" s="4" t="s">
        <v>94</v>
      </c>
      <c r="E9" s="5" t="s">
        <v>39</v>
      </c>
      <c r="F9" s="4" t="s">
        <v>95</v>
      </c>
      <c r="G9" s="6">
        <v>6.28121E16</v>
      </c>
      <c r="H9" s="4" t="s">
        <v>96</v>
      </c>
      <c r="I9" s="5" t="s">
        <v>42</v>
      </c>
      <c r="J9" s="5" t="s">
        <v>43</v>
      </c>
      <c r="K9" s="5">
        <v>8.7733785699E10</v>
      </c>
      <c r="L9" s="4" t="s">
        <v>44</v>
      </c>
      <c r="M9" s="5" t="s">
        <v>42</v>
      </c>
      <c r="N9" s="4" t="s">
        <v>45</v>
      </c>
      <c r="O9" s="4" t="s">
        <v>46</v>
      </c>
      <c r="P9" s="4" t="s">
        <v>47</v>
      </c>
      <c r="Q9" s="4">
        <v>16451.0</v>
      </c>
      <c r="R9" s="4" t="s">
        <v>97</v>
      </c>
      <c r="S9" s="8">
        <v>46158.0</v>
      </c>
      <c r="T9" s="9">
        <v>0.375</v>
      </c>
      <c r="U9" s="9">
        <v>0.9166666666666666</v>
      </c>
      <c r="V9" s="4" t="s">
        <v>49</v>
      </c>
      <c r="W9" s="5">
        <v>1.0</v>
      </c>
      <c r="X9" s="5" t="b">
        <v>1</v>
      </c>
      <c r="Y9" s="5" t="s">
        <v>50</v>
      </c>
      <c r="Z9" s="5" t="b">
        <v>0</v>
      </c>
      <c r="AA9" s="10"/>
      <c r="AB9" s="4">
        <v>1.0</v>
      </c>
      <c r="AC9" s="11" t="s">
        <v>98</v>
      </c>
      <c r="AD9" s="5">
        <v>0.0</v>
      </c>
      <c r="AE9" s="5">
        <v>1.0</v>
      </c>
      <c r="AF9" s="8">
        <v>46158.0</v>
      </c>
      <c r="AG9" s="9">
        <v>0.375</v>
      </c>
      <c r="AH9" s="9">
        <v>0.9166666666666666</v>
      </c>
      <c r="AI9" s="4" t="s">
        <v>49</v>
      </c>
      <c r="AJ9" s="5" t="s">
        <v>52</v>
      </c>
      <c r="AK9" s="12"/>
      <c r="AL9" s="12"/>
      <c r="AM9" s="12"/>
      <c r="AN9" s="12"/>
      <c r="AO9" s="12"/>
      <c r="AP9" s="12"/>
      <c r="AQ9" s="12"/>
    </row>
    <row r="10">
      <c r="A10" s="4" t="s">
        <v>99</v>
      </c>
      <c r="B10" s="5">
        <v>1.1398423E7</v>
      </c>
      <c r="C10" s="5" t="s">
        <v>37</v>
      </c>
      <c r="D10" s="4" t="s">
        <v>100</v>
      </c>
      <c r="E10" s="5" t="s">
        <v>39</v>
      </c>
      <c r="F10" s="4" t="s">
        <v>101</v>
      </c>
      <c r="G10" s="6">
        <v>6.28121E17</v>
      </c>
      <c r="H10" s="4" t="s">
        <v>102</v>
      </c>
      <c r="I10" s="5" t="s">
        <v>42</v>
      </c>
      <c r="J10" s="5" t="s">
        <v>43</v>
      </c>
      <c r="K10" s="5">
        <v>8.7733785699E10</v>
      </c>
      <c r="L10" s="4" t="s">
        <v>44</v>
      </c>
      <c r="M10" s="5" t="s">
        <v>42</v>
      </c>
      <c r="N10" s="4" t="s">
        <v>45</v>
      </c>
      <c r="O10" s="4" t="s">
        <v>46</v>
      </c>
      <c r="P10" s="4" t="s">
        <v>47</v>
      </c>
      <c r="Q10" s="4">
        <v>16451.0</v>
      </c>
      <c r="R10" s="4" t="s">
        <v>103</v>
      </c>
      <c r="S10" s="8">
        <v>46158.0</v>
      </c>
      <c r="T10" s="9">
        <v>0.375</v>
      </c>
      <c r="U10" s="9">
        <v>0.9166666666666666</v>
      </c>
      <c r="V10" s="4" t="s">
        <v>49</v>
      </c>
      <c r="W10" s="5">
        <v>1.0</v>
      </c>
      <c r="X10" s="5" t="b">
        <v>1</v>
      </c>
      <c r="Y10" s="5" t="s">
        <v>50</v>
      </c>
      <c r="Z10" s="5" t="b">
        <v>0</v>
      </c>
      <c r="AA10" s="10"/>
      <c r="AB10" s="4">
        <v>1.0</v>
      </c>
      <c r="AC10" s="11" t="s">
        <v>104</v>
      </c>
      <c r="AD10" s="5">
        <v>0.0</v>
      </c>
      <c r="AE10" s="5">
        <v>1.0</v>
      </c>
      <c r="AF10" s="8">
        <v>46158.0</v>
      </c>
      <c r="AG10" s="9">
        <v>0.375</v>
      </c>
      <c r="AH10" s="9">
        <v>0.9166666666666666</v>
      </c>
      <c r="AI10" s="4" t="s">
        <v>49</v>
      </c>
      <c r="AJ10" s="5" t="s">
        <v>52</v>
      </c>
      <c r="AK10" s="12"/>
      <c r="AL10" s="12"/>
      <c r="AM10" s="12"/>
      <c r="AN10" s="12"/>
      <c r="AO10" s="12"/>
      <c r="AP10" s="12"/>
      <c r="AQ10" s="12"/>
    </row>
    <row r="11">
      <c r="A11" s="4" t="s">
        <v>105</v>
      </c>
      <c r="B11" s="5">
        <v>1.1398423E7</v>
      </c>
      <c r="C11" s="5" t="s">
        <v>37</v>
      </c>
      <c r="D11" s="4" t="s">
        <v>106</v>
      </c>
      <c r="E11" s="5" t="s">
        <v>39</v>
      </c>
      <c r="F11" s="4" t="s">
        <v>107</v>
      </c>
      <c r="G11" s="4">
        <v>8.128011014E9</v>
      </c>
      <c r="H11" s="4" t="s">
        <v>108</v>
      </c>
      <c r="I11" s="5" t="s">
        <v>42</v>
      </c>
      <c r="J11" s="5" t="s">
        <v>43</v>
      </c>
      <c r="K11" s="5">
        <v>8.7733785699E10</v>
      </c>
      <c r="L11" s="4" t="s">
        <v>44</v>
      </c>
      <c r="M11" s="5" t="s">
        <v>42</v>
      </c>
      <c r="N11" s="4" t="s">
        <v>45</v>
      </c>
      <c r="O11" s="4" t="s">
        <v>46</v>
      </c>
      <c r="P11" s="4" t="s">
        <v>47</v>
      </c>
      <c r="Q11" s="4">
        <v>16451.0</v>
      </c>
      <c r="R11" s="4" t="s">
        <v>109</v>
      </c>
      <c r="S11" s="8">
        <v>46158.0</v>
      </c>
      <c r="T11" s="9">
        <v>0.375</v>
      </c>
      <c r="U11" s="9">
        <v>0.9166666666666666</v>
      </c>
      <c r="V11" s="4" t="s">
        <v>49</v>
      </c>
      <c r="W11" s="5">
        <v>1.0</v>
      </c>
      <c r="X11" s="5" t="b">
        <v>1</v>
      </c>
      <c r="Y11" s="5" t="s">
        <v>50</v>
      </c>
      <c r="Z11" s="5" t="b">
        <v>0</v>
      </c>
      <c r="AA11" s="10"/>
      <c r="AB11" s="4">
        <v>1.0</v>
      </c>
      <c r="AC11" s="11" t="s">
        <v>110</v>
      </c>
      <c r="AD11" s="5">
        <v>0.0</v>
      </c>
      <c r="AE11" s="5">
        <v>1.0</v>
      </c>
      <c r="AF11" s="8">
        <v>46158.0</v>
      </c>
      <c r="AG11" s="9">
        <v>0.375</v>
      </c>
      <c r="AH11" s="9">
        <v>0.9166666666666666</v>
      </c>
      <c r="AI11" s="4" t="s">
        <v>49</v>
      </c>
      <c r="AJ11" s="5" t="s">
        <v>52</v>
      </c>
      <c r="AK11" s="12"/>
      <c r="AL11" s="12"/>
      <c r="AM11" s="12"/>
      <c r="AN11" s="12"/>
      <c r="AO11" s="12"/>
      <c r="AP11" s="12"/>
      <c r="AQ11" s="12"/>
    </row>
    <row r="12">
      <c r="A12" s="4" t="s">
        <v>111</v>
      </c>
      <c r="B12" s="5">
        <v>1.1398423E7</v>
      </c>
      <c r="C12" s="5" t="s">
        <v>37</v>
      </c>
      <c r="D12" s="4" t="s">
        <v>112</v>
      </c>
      <c r="E12" s="5" t="s">
        <v>39</v>
      </c>
      <c r="F12" s="4" t="s">
        <v>113</v>
      </c>
      <c r="G12" s="4">
        <v>8.7808789981E10</v>
      </c>
      <c r="H12" s="4" t="s">
        <v>114</v>
      </c>
      <c r="I12" s="5" t="s">
        <v>42</v>
      </c>
      <c r="J12" s="5" t="s">
        <v>43</v>
      </c>
      <c r="K12" s="5">
        <v>8.7733785699E10</v>
      </c>
      <c r="L12" s="4" t="s">
        <v>44</v>
      </c>
      <c r="M12" s="5" t="s">
        <v>42</v>
      </c>
      <c r="N12" s="4" t="s">
        <v>45</v>
      </c>
      <c r="O12" s="4" t="s">
        <v>46</v>
      </c>
      <c r="P12" s="4" t="s">
        <v>47</v>
      </c>
      <c r="Q12" s="4">
        <v>16451.0</v>
      </c>
      <c r="R12" s="4" t="s">
        <v>115</v>
      </c>
      <c r="S12" s="8">
        <v>46158.0</v>
      </c>
      <c r="T12" s="9">
        <v>0.375</v>
      </c>
      <c r="U12" s="9">
        <v>0.9166666666666666</v>
      </c>
      <c r="V12" s="4" t="s">
        <v>49</v>
      </c>
      <c r="W12" s="5">
        <v>1.0</v>
      </c>
      <c r="X12" s="5" t="b">
        <v>1</v>
      </c>
      <c r="Y12" s="5" t="s">
        <v>50</v>
      </c>
      <c r="Z12" s="5" t="b">
        <v>0</v>
      </c>
      <c r="AA12" s="10"/>
      <c r="AB12" s="4">
        <v>1.0</v>
      </c>
      <c r="AC12" s="11" t="s">
        <v>116</v>
      </c>
      <c r="AD12" s="5">
        <v>0.0</v>
      </c>
      <c r="AE12" s="5">
        <v>1.0</v>
      </c>
      <c r="AF12" s="8">
        <v>46158.0</v>
      </c>
      <c r="AG12" s="9">
        <v>0.375</v>
      </c>
      <c r="AH12" s="9">
        <v>0.9166666666666666</v>
      </c>
      <c r="AI12" s="4" t="s">
        <v>49</v>
      </c>
      <c r="AJ12" s="5" t="s">
        <v>52</v>
      </c>
      <c r="AK12" s="12"/>
      <c r="AL12" s="12"/>
      <c r="AM12" s="12"/>
      <c r="AN12" s="12"/>
      <c r="AO12" s="12"/>
      <c r="AP12" s="12"/>
      <c r="AQ12" s="12"/>
    </row>
    <row r="13">
      <c r="A13" s="4" t="s">
        <v>117</v>
      </c>
      <c r="B13" s="5">
        <v>1.1398423E7</v>
      </c>
      <c r="C13" s="5" t="s">
        <v>37</v>
      </c>
      <c r="D13" s="4" t="s">
        <v>118</v>
      </c>
      <c r="E13" s="5" t="s">
        <v>39</v>
      </c>
      <c r="F13" s="4" t="s">
        <v>119</v>
      </c>
      <c r="G13" s="6">
        <v>6.28777E17</v>
      </c>
      <c r="H13" s="4" t="s">
        <v>120</v>
      </c>
      <c r="I13" s="5" t="s">
        <v>42</v>
      </c>
      <c r="J13" s="5" t="s">
        <v>43</v>
      </c>
      <c r="K13" s="5">
        <v>8.7733785699E10</v>
      </c>
      <c r="L13" s="4" t="s">
        <v>44</v>
      </c>
      <c r="M13" s="5" t="s">
        <v>42</v>
      </c>
      <c r="N13" s="4" t="s">
        <v>45</v>
      </c>
      <c r="O13" s="4" t="s">
        <v>46</v>
      </c>
      <c r="P13" s="4" t="s">
        <v>47</v>
      </c>
      <c r="Q13" s="4">
        <v>16451.0</v>
      </c>
      <c r="R13" s="4" t="s">
        <v>121</v>
      </c>
      <c r="S13" s="8">
        <v>46158.0</v>
      </c>
      <c r="T13" s="9">
        <v>0.375</v>
      </c>
      <c r="U13" s="9">
        <v>0.9166666666666666</v>
      </c>
      <c r="V13" s="4" t="s">
        <v>49</v>
      </c>
      <c r="W13" s="5">
        <v>1.0</v>
      </c>
      <c r="X13" s="5" t="b">
        <v>1</v>
      </c>
      <c r="Y13" s="5" t="s">
        <v>50</v>
      </c>
      <c r="Z13" s="5" t="b">
        <v>0</v>
      </c>
      <c r="AA13" s="10"/>
      <c r="AB13" s="4">
        <v>1.0</v>
      </c>
      <c r="AC13" s="11" t="s">
        <v>122</v>
      </c>
      <c r="AD13" s="5">
        <v>0.0</v>
      </c>
      <c r="AE13" s="5">
        <v>1.0</v>
      </c>
      <c r="AF13" s="8">
        <v>46158.0</v>
      </c>
      <c r="AG13" s="9">
        <v>0.375</v>
      </c>
      <c r="AH13" s="9">
        <v>0.9166666666666666</v>
      </c>
      <c r="AI13" s="4" t="s">
        <v>49</v>
      </c>
      <c r="AJ13" s="5" t="s">
        <v>52</v>
      </c>
      <c r="AK13" s="12"/>
      <c r="AL13" s="12"/>
      <c r="AM13" s="12"/>
      <c r="AN13" s="12"/>
      <c r="AO13" s="12"/>
      <c r="AP13" s="12"/>
      <c r="AQ13" s="12"/>
    </row>
    <row r="14">
      <c r="A14" s="4" t="s">
        <v>123</v>
      </c>
      <c r="B14" s="5">
        <v>1.1398423E7</v>
      </c>
      <c r="C14" s="5" t="s">
        <v>37</v>
      </c>
      <c r="D14" s="4" t="s">
        <v>124</v>
      </c>
      <c r="E14" s="5" t="s">
        <v>39</v>
      </c>
      <c r="F14" s="4" t="s">
        <v>125</v>
      </c>
      <c r="G14" s="6">
        <v>6.28595E17</v>
      </c>
      <c r="H14" s="4" t="s">
        <v>126</v>
      </c>
      <c r="I14" s="5" t="s">
        <v>42</v>
      </c>
      <c r="J14" s="5" t="s">
        <v>43</v>
      </c>
      <c r="K14" s="5">
        <v>8.7733785699E10</v>
      </c>
      <c r="L14" s="4" t="s">
        <v>44</v>
      </c>
      <c r="M14" s="5" t="s">
        <v>42</v>
      </c>
      <c r="N14" s="4" t="s">
        <v>45</v>
      </c>
      <c r="O14" s="4" t="s">
        <v>46</v>
      </c>
      <c r="P14" s="4" t="s">
        <v>47</v>
      </c>
      <c r="Q14" s="4">
        <v>16451.0</v>
      </c>
      <c r="R14" s="4" t="s">
        <v>127</v>
      </c>
      <c r="S14" s="8">
        <v>46158.0</v>
      </c>
      <c r="T14" s="9">
        <v>0.375</v>
      </c>
      <c r="U14" s="9">
        <v>0.9166666666666666</v>
      </c>
      <c r="V14" s="4" t="s">
        <v>49</v>
      </c>
      <c r="W14" s="5">
        <v>1.0</v>
      </c>
      <c r="X14" s="5" t="b">
        <v>1</v>
      </c>
      <c r="Y14" s="5" t="s">
        <v>50</v>
      </c>
      <c r="Z14" s="5" t="b">
        <v>0</v>
      </c>
      <c r="AA14" s="10"/>
      <c r="AB14" s="4">
        <v>1.0</v>
      </c>
      <c r="AC14" s="11" t="s">
        <v>128</v>
      </c>
      <c r="AD14" s="5">
        <v>0.0</v>
      </c>
      <c r="AE14" s="5">
        <v>1.0</v>
      </c>
      <c r="AF14" s="8">
        <v>46158.0</v>
      </c>
      <c r="AG14" s="9">
        <v>0.375</v>
      </c>
      <c r="AH14" s="9">
        <v>0.9166666666666666</v>
      </c>
      <c r="AI14" s="4" t="s">
        <v>49</v>
      </c>
      <c r="AJ14" s="5" t="s">
        <v>52</v>
      </c>
      <c r="AK14" s="12"/>
      <c r="AL14" s="12"/>
      <c r="AM14" s="12"/>
      <c r="AN14" s="12"/>
      <c r="AO14" s="12"/>
      <c r="AP14" s="12"/>
      <c r="AQ14" s="12"/>
    </row>
    <row r="15">
      <c r="A15" s="4" t="s">
        <v>129</v>
      </c>
      <c r="B15" s="5">
        <v>1.1398423E7</v>
      </c>
      <c r="C15" s="5" t="s">
        <v>37</v>
      </c>
      <c r="D15" s="4" t="s">
        <v>130</v>
      </c>
      <c r="E15" s="5" t="s">
        <v>39</v>
      </c>
      <c r="F15" s="4" t="s">
        <v>131</v>
      </c>
      <c r="G15" s="4">
        <v>8.787935578E10</v>
      </c>
      <c r="H15" s="4" t="s">
        <v>132</v>
      </c>
      <c r="I15" s="5" t="s">
        <v>42</v>
      </c>
      <c r="J15" s="5" t="s">
        <v>43</v>
      </c>
      <c r="K15" s="5">
        <v>8.7733785699E10</v>
      </c>
      <c r="L15" s="4" t="s">
        <v>44</v>
      </c>
      <c r="M15" s="5" t="s">
        <v>42</v>
      </c>
      <c r="N15" s="4" t="s">
        <v>45</v>
      </c>
      <c r="O15" s="4" t="s">
        <v>46</v>
      </c>
      <c r="P15" s="4" t="s">
        <v>47</v>
      </c>
      <c r="Q15" s="4">
        <v>16451.0</v>
      </c>
      <c r="R15" s="4" t="s">
        <v>133</v>
      </c>
      <c r="S15" s="8">
        <v>46158.0</v>
      </c>
      <c r="T15" s="9">
        <v>0.375</v>
      </c>
      <c r="U15" s="9">
        <v>0.9166666666666666</v>
      </c>
      <c r="V15" s="4" t="s">
        <v>49</v>
      </c>
      <c r="W15" s="5">
        <v>1.0</v>
      </c>
      <c r="X15" s="5" t="b">
        <v>1</v>
      </c>
      <c r="Y15" s="5" t="s">
        <v>50</v>
      </c>
      <c r="Z15" s="5" t="b">
        <v>0</v>
      </c>
      <c r="AA15" s="10"/>
      <c r="AB15" s="4">
        <v>1.0</v>
      </c>
      <c r="AC15" s="11" t="s">
        <v>134</v>
      </c>
      <c r="AD15" s="5">
        <v>0.0</v>
      </c>
      <c r="AE15" s="5">
        <v>1.0</v>
      </c>
      <c r="AF15" s="8">
        <v>46158.0</v>
      </c>
      <c r="AG15" s="9">
        <v>0.375</v>
      </c>
      <c r="AH15" s="9">
        <v>0.9166666666666666</v>
      </c>
      <c r="AI15" s="4" t="s">
        <v>49</v>
      </c>
      <c r="AJ15" s="5" t="s">
        <v>52</v>
      </c>
      <c r="AK15" s="12"/>
      <c r="AL15" s="12"/>
      <c r="AM15" s="12"/>
      <c r="AN15" s="12"/>
      <c r="AO15" s="12"/>
      <c r="AP15" s="12"/>
      <c r="AQ15" s="12"/>
    </row>
    <row r="16">
      <c r="A16" s="4" t="s">
        <v>135</v>
      </c>
      <c r="B16" s="5">
        <v>1.1398423E7</v>
      </c>
      <c r="C16" s="5" t="s">
        <v>37</v>
      </c>
      <c r="D16" s="4" t="s">
        <v>136</v>
      </c>
      <c r="E16" s="5" t="s">
        <v>39</v>
      </c>
      <c r="F16" s="4" t="s">
        <v>137</v>
      </c>
      <c r="G16" s="4">
        <v>6.281806739539E12</v>
      </c>
      <c r="H16" s="4" t="s">
        <v>138</v>
      </c>
      <c r="I16" s="5" t="s">
        <v>42</v>
      </c>
      <c r="J16" s="5" t="s">
        <v>43</v>
      </c>
      <c r="K16" s="5">
        <v>8.7733785699E10</v>
      </c>
      <c r="L16" s="4" t="s">
        <v>44</v>
      </c>
      <c r="M16" s="5" t="s">
        <v>42</v>
      </c>
      <c r="N16" s="4" t="s">
        <v>45</v>
      </c>
      <c r="O16" s="4" t="s">
        <v>46</v>
      </c>
      <c r="P16" s="4" t="s">
        <v>47</v>
      </c>
      <c r="Q16" s="4">
        <v>16451.0</v>
      </c>
      <c r="R16" s="4" t="s">
        <v>139</v>
      </c>
      <c r="S16" s="8">
        <v>46158.0</v>
      </c>
      <c r="T16" s="9">
        <v>0.375</v>
      </c>
      <c r="U16" s="9">
        <v>0.9166666666666666</v>
      </c>
      <c r="V16" s="4" t="s">
        <v>49</v>
      </c>
      <c r="W16" s="5">
        <v>1.0</v>
      </c>
      <c r="X16" s="5" t="b">
        <v>1</v>
      </c>
      <c r="Y16" s="5" t="s">
        <v>50</v>
      </c>
      <c r="Z16" s="5" t="b">
        <v>0</v>
      </c>
      <c r="AA16" s="10"/>
      <c r="AB16" s="4">
        <v>1.0</v>
      </c>
      <c r="AC16" s="11" t="s">
        <v>140</v>
      </c>
      <c r="AD16" s="5">
        <v>0.0</v>
      </c>
      <c r="AE16" s="5">
        <v>1.0</v>
      </c>
      <c r="AF16" s="8">
        <v>46158.0</v>
      </c>
      <c r="AG16" s="9">
        <v>0.375</v>
      </c>
      <c r="AH16" s="9">
        <v>0.9166666666666666</v>
      </c>
      <c r="AI16" s="4" t="s">
        <v>49</v>
      </c>
      <c r="AJ16" s="5" t="s">
        <v>52</v>
      </c>
      <c r="AK16" s="12"/>
      <c r="AL16" s="12"/>
      <c r="AM16" s="12"/>
      <c r="AN16" s="12"/>
      <c r="AO16" s="12"/>
      <c r="AP16" s="12"/>
      <c r="AQ16" s="12"/>
    </row>
    <row r="17">
      <c r="A17" s="4" t="s">
        <v>141</v>
      </c>
      <c r="B17" s="5">
        <v>1.1398423E7</v>
      </c>
      <c r="C17" s="5" t="s">
        <v>37</v>
      </c>
      <c r="D17" s="4" t="s">
        <v>142</v>
      </c>
      <c r="E17" s="5" t="s">
        <v>39</v>
      </c>
      <c r="F17" s="4" t="s">
        <v>143</v>
      </c>
      <c r="G17" s="6">
        <v>6.28954E18</v>
      </c>
      <c r="H17" s="4" t="s">
        <v>144</v>
      </c>
      <c r="I17" s="5" t="s">
        <v>42</v>
      </c>
      <c r="J17" s="5" t="s">
        <v>43</v>
      </c>
      <c r="K17" s="5">
        <v>8.7733785699E10</v>
      </c>
      <c r="L17" s="4" t="s">
        <v>44</v>
      </c>
      <c r="M17" s="5" t="s">
        <v>42</v>
      </c>
      <c r="N17" s="4" t="s">
        <v>45</v>
      </c>
      <c r="O17" s="4" t="s">
        <v>46</v>
      </c>
      <c r="P17" s="4" t="s">
        <v>47</v>
      </c>
      <c r="Q17" s="4">
        <v>16451.0</v>
      </c>
      <c r="R17" s="4" t="s">
        <v>145</v>
      </c>
      <c r="S17" s="8">
        <v>46158.0</v>
      </c>
      <c r="T17" s="9">
        <v>0.375</v>
      </c>
      <c r="U17" s="9">
        <v>0.9166666666666666</v>
      </c>
      <c r="V17" s="4" t="s">
        <v>49</v>
      </c>
      <c r="W17" s="5">
        <v>1.0</v>
      </c>
      <c r="X17" s="5" t="b">
        <v>1</v>
      </c>
      <c r="Y17" s="5" t="s">
        <v>50</v>
      </c>
      <c r="Z17" s="5" t="b">
        <v>0</v>
      </c>
      <c r="AA17" s="10"/>
      <c r="AB17" s="4">
        <v>1.0</v>
      </c>
      <c r="AC17" s="11" t="s">
        <v>146</v>
      </c>
      <c r="AD17" s="5">
        <v>0.0</v>
      </c>
      <c r="AE17" s="5">
        <v>1.0</v>
      </c>
      <c r="AF17" s="8">
        <v>46158.0</v>
      </c>
      <c r="AG17" s="9">
        <v>0.375</v>
      </c>
      <c r="AH17" s="9">
        <v>0.9166666666666666</v>
      </c>
      <c r="AI17" s="4" t="s">
        <v>49</v>
      </c>
      <c r="AJ17" s="5" t="s">
        <v>52</v>
      </c>
      <c r="AK17" s="12"/>
      <c r="AL17" s="12"/>
      <c r="AM17" s="12"/>
      <c r="AN17" s="12"/>
      <c r="AO17" s="12"/>
      <c r="AP17" s="12"/>
      <c r="AQ17" s="12"/>
    </row>
    <row r="18">
      <c r="A18" s="4" t="s">
        <v>147</v>
      </c>
      <c r="B18" s="5">
        <v>1.1398423E7</v>
      </c>
      <c r="C18" s="5" t="s">
        <v>37</v>
      </c>
      <c r="D18" s="4" t="s">
        <v>148</v>
      </c>
      <c r="E18" s="5" t="s">
        <v>39</v>
      </c>
      <c r="F18" s="4" t="s">
        <v>149</v>
      </c>
      <c r="G18" s="6">
        <v>6.28228E17</v>
      </c>
      <c r="H18" s="4" t="s">
        <v>150</v>
      </c>
      <c r="I18" s="5" t="s">
        <v>42</v>
      </c>
      <c r="J18" s="5" t="s">
        <v>43</v>
      </c>
      <c r="K18" s="5">
        <v>8.7733785699E10</v>
      </c>
      <c r="L18" s="4" t="s">
        <v>44</v>
      </c>
      <c r="M18" s="5" t="s">
        <v>42</v>
      </c>
      <c r="N18" s="4" t="s">
        <v>45</v>
      </c>
      <c r="O18" s="4" t="s">
        <v>46</v>
      </c>
      <c r="P18" s="4" t="s">
        <v>47</v>
      </c>
      <c r="Q18" s="4">
        <v>16451.0</v>
      </c>
      <c r="R18" s="4" t="s">
        <v>151</v>
      </c>
      <c r="S18" s="8">
        <v>46158.0</v>
      </c>
      <c r="T18" s="9">
        <v>0.375</v>
      </c>
      <c r="U18" s="9">
        <v>0.9166666666666666</v>
      </c>
      <c r="V18" s="4" t="s">
        <v>49</v>
      </c>
      <c r="W18" s="5">
        <v>1.0</v>
      </c>
      <c r="X18" s="5" t="b">
        <v>1</v>
      </c>
      <c r="Y18" s="5" t="s">
        <v>50</v>
      </c>
      <c r="Z18" s="5" t="b">
        <v>0</v>
      </c>
      <c r="AA18" s="10"/>
      <c r="AB18" s="4">
        <v>1.0</v>
      </c>
      <c r="AC18" s="11" t="s">
        <v>152</v>
      </c>
      <c r="AD18" s="5">
        <v>0.0</v>
      </c>
      <c r="AE18" s="5">
        <v>1.0</v>
      </c>
      <c r="AF18" s="8">
        <v>46158.0</v>
      </c>
      <c r="AG18" s="9">
        <v>0.375</v>
      </c>
      <c r="AH18" s="9">
        <v>0.9166666666666666</v>
      </c>
      <c r="AI18" s="4" t="s">
        <v>49</v>
      </c>
      <c r="AJ18" s="5" t="s">
        <v>52</v>
      </c>
      <c r="AK18" s="12"/>
      <c r="AL18" s="12"/>
      <c r="AM18" s="12"/>
      <c r="AN18" s="12"/>
      <c r="AO18" s="12"/>
      <c r="AP18" s="12"/>
      <c r="AQ18" s="12"/>
    </row>
    <row r="19">
      <c r="A19" s="4" t="s">
        <v>153</v>
      </c>
      <c r="B19" s="5">
        <v>1.1398423E7</v>
      </c>
      <c r="C19" s="5" t="s">
        <v>37</v>
      </c>
      <c r="D19" s="4" t="s">
        <v>154</v>
      </c>
      <c r="E19" s="5" t="s">
        <v>39</v>
      </c>
      <c r="F19" s="4" t="s">
        <v>155</v>
      </c>
      <c r="G19" s="6">
        <v>6.28526E17</v>
      </c>
      <c r="H19" s="4" t="s">
        <v>156</v>
      </c>
      <c r="I19" s="5" t="s">
        <v>42</v>
      </c>
      <c r="J19" s="5" t="s">
        <v>43</v>
      </c>
      <c r="K19" s="5">
        <v>8.7733785699E10</v>
      </c>
      <c r="L19" s="4" t="s">
        <v>44</v>
      </c>
      <c r="M19" s="5" t="s">
        <v>42</v>
      </c>
      <c r="N19" s="4" t="s">
        <v>45</v>
      </c>
      <c r="O19" s="4" t="s">
        <v>46</v>
      </c>
      <c r="P19" s="4" t="s">
        <v>47</v>
      </c>
      <c r="Q19" s="4">
        <v>16451.0</v>
      </c>
      <c r="R19" s="4" t="s">
        <v>157</v>
      </c>
      <c r="S19" s="8">
        <v>46158.0</v>
      </c>
      <c r="T19" s="9">
        <v>0.375</v>
      </c>
      <c r="U19" s="9">
        <v>0.9166666666666666</v>
      </c>
      <c r="V19" s="4" t="s">
        <v>49</v>
      </c>
      <c r="W19" s="5">
        <v>1.0</v>
      </c>
      <c r="X19" s="5" t="b">
        <v>1</v>
      </c>
      <c r="Y19" s="5" t="s">
        <v>50</v>
      </c>
      <c r="Z19" s="5" t="b">
        <v>0</v>
      </c>
      <c r="AA19" s="10"/>
      <c r="AB19" s="4">
        <v>1.0</v>
      </c>
      <c r="AC19" s="11" t="s">
        <v>158</v>
      </c>
      <c r="AD19" s="5">
        <v>0.0</v>
      </c>
      <c r="AE19" s="5">
        <v>1.0</v>
      </c>
      <c r="AF19" s="8">
        <v>46158.0</v>
      </c>
      <c r="AG19" s="9">
        <v>0.375</v>
      </c>
      <c r="AH19" s="9">
        <v>0.9166666666666666</v>
      </c>
      <c r="AI19" s="4" t="s">
        <v>49</v>
      </c>
      <c r="AJ19" s="5" t="s">
        <v>52</v>
      </c>
      <c r="AK19" s="12"/>
      <c r="AL19" s="12"/>
      <c r="AM19" s="12"/>
      <c r="AN19" s="12"/>
      <c r="AO19" s="12"/>
      <c r="AP19" s="12"/>
      <c r="AQ19" s="12"/>
    </row>
    <row r="20">
      <c r="A20" s="4" t="s">
        <v>159</v>
      </c>
      <c r="B20" s="5">
        <v>1.1398423E7</v>
      </c>
      <c r="C20" s="5" t="s">
        <v>37</v>
      </c>
      <c r="D20" s="4" t="s">
        <v>160</v>
      </c>
      <c r="E20" s="5" t="s">
        <v>39</v>
      </c>
      <c r="F20" s="4" t="s">
        <v>161</v>
      </c>
      <c r="G20" s="6">
        <v>6.28138E17</v>
      </c>
      <c r="H20" s="4" t="s">
        <v>162</v>
      </c>
      <c r="I20" s="5" t="s">
        <v>42</v>
      </c>
      <c r="J20" s="5" t="s">
        <v>43</v>
      </c>
      <c r="K20" s="5">
        <v>8.7733785699E10</v>
      </c>
      <c r="L20" s="4" t="s">
        <v>44</v>
      </c>
      <c r="M20" s="5" t="s">
        <v>42</v>
      </c>
      <c r="N20" s="4" t="s">
        <v>45</v>
      </c>
      <c r="O20" s="4" t="s">
        <v>46</v>
      </c>
      <c r="P20" s="4" t="s">
        <v>47</v>
      </c>
      <c r="Q20" s="4">
        <v>16451.0</v>
      </c>
      <c r="R20" s="4" t="s">
        <v>163</v>
      </c>
      <c r="S20" s="8">
        <v>46158.0</v>
      </c>
      <c r="T20" s="9">
        <v>0.375</v>
      </c>
      <c r="U20" s="9">
        <v>0.9166666666666666</v>
      </c>
      <c r="V20" s="4" t="s">
        <v>49</v>
      </c>
      <c r="W20" s="5">
        <v>1.0</v>
      </c>
      <c r="X20" s="5" t="b">
        <v>1</v>
      </c>
      <c r="Y20" s="5" t="s">
        <v>50</v>
      </c>
      <c r="Z20" s="5" t="b">
        <v>0</v>
      </c>
      <c r="AA20" s="10"/>
      <c r="AB20" s="4">
        <v>1.0</v>
      </c>
      <c r="AC20" s="11" t="s">
        <v>164</v>
      </c>
      <c r="AD20" s="5">
        <v>0.0</v>
      </c>
      <c r="AE20" s="5">
        <v>1.0</v>
      </c>
      <c r="AF20" s="8">
        <v>46158.0</v>
      </c>
      <c r="AG20" s="9">
        <v>0.375</v>
      </c>
      <c r="AH20" s="9">
        <v>0.9166666666666666</v>
      </c>
      <c r="AI20" s="4" t="s">
        <v>49</v>
      </c>
      <c r="AJ20" s="5" t="s">
        <v>52</v>
      </c>
      <c r="AK20" s="12"/>
      <c r="AL20" s="12"/>
      <c r="AM20" s="12"/>
      <c r="AN20" s="12"/>
      <c r="AO20" s="12"/>
      <c r="AP20" s="12"/>
      <c r="AQ20" s="12"/>
    </row>
    <row r="21">
      <c r="A21" s="4" t="s">
        <v>165</v>
      </c>
      <c r="B21" s="5">
        <v>1.1398423E7</v>
      </c>
      <c r="C21" s="5" t="s">
        <v>37</v>
      </c>
      <c r="D21" s="4" t="s">
        <v>166</v>
      </c>
      <c r="E21" s="5" t="s">
        <v>39</v>
      </c>
      <c r="F21" s="4" t="s">
        <v>167</v>
      </c>
      <c r="G21" s="6">
        <v>6.28226E17</v>
      </c>
      <c r="H21" s="4" t="s">
        <v>168</v>
      </c>
      <c r="I21" s="5" t="s">
        <v>42</v>
      </c>
      <c r="J21" s="5" t="s">
        <v>43</v>
      </c>
      <c r="K21" s="5">
        <v>8.7733785699E10</v>
      </c>
      <c r="L21" s="4" t="s">
        <v>44</v>
      </c>
      <c r="M21" s="5" t="s">
        <v>42</v>
      </c>
      <c r="N21" s="4" t="s">
        <v>45</v>
      </c>
      <c r="O21" s="4" t="s">
        <v>46</v>
      </c>
      <c r="P21" s="4" t="s">
        <v>47</v>
      </c>
      <c r="Q21" s="4">
        <v>16451.0</v>
      </c>
      <c r="R21" s="4" t="s">
        <v>169</v>
      </c>
      <c r="S21" s="8">
        <v>46158.0</v>
      </c>
      <c r="T21" s="9">
        <v>0.375</v>
      </c>
      <c r="U21" s="9">
        <v>0.9166666666666666</v>
      </c>
      <c r="V21" s="4" t="s">
        <v>49</v>
      </c>
      <c r="W21" s="5">
        <v>1.0</v>
      </c>
      <c r="X21" s="5" t="b">
        <v>1</v>
      </c>
      <c r="Y21" s="5" t="s">
        <v>50</v>
      </c>
      <c r="Z21" s="5" t="b">
        <v>0</v>
      </c>
      <c r="AA21" s="10"/>
      <c r="AB21" s="4">
        <v>1.0</v>
      </c>
      <c r="AC21" s="11" t="s">
        <v>170</v>
      </c>
      <c r="AD21" s="5">
        <v>0.0</v>
      </c>
      <c r="AE21" s="5">
        <v>1.0</v>
      </c>
      <c r="AF21" s="8">
        <v>46158.0</v>
      </c>
      <c r="AG21" s="9">
        <v>0.375</v>
      </c>
      <c r="AH21" s="9">
        <v>0.9166666666666666</v>
      </c>
      <c r="AI21" s="4" t="s">
        <v>49</v>
      </c>
      <c r="AJ21" s="5" t="s">
        <v>52</v>
      </c>
      <c r="AK21" s="12"/>
      <c r="AL21" s="12"/>
      <c r="AM21" s="12"/>
      <c r="AN21" s="12"/>
      <c r="AO21" s="12"/>
      <c r="AP21" s="12"/>
      <c r="AQ21" s="12"/>
    </row>
    <row r="22">
      <c r="A22" s="4" t="s">
        <v>171</v>
      </c>
      <c r="B22" s="5">
        <v>1.1398423E7</v>
      </c>
      <c r="C22" s="5" t="s">
        <v>37</v>
      </c>
      <c r="D22" s="4" t="s">
        <v>172</v>
      </c>
      <c r="E22" s="5" t="s">
        <v>39</v>
      </c>
      <c r="F22" s="4" t="s">
        <v>173</v>
      </c>
      <c r="G22" s="4">
        <v>8.1299422172E10</v>
      </c>
      <c r="H22" s="4" t="s">
        <v>174</v>
      </c>
      <c r="I22" s="5" t="s">
        <v>42</v>
      </c>
      <c r="J22" s="5" t="s">
        <v>43</v>
      </c>
      <c r="K22" s="5">
        <v>8.7733785699E10</v>
      </c>
      <c r="L22" s="4" t="s">
        <v>44</v>
      </c>
      <c r="M22" s="5" t="s">
        <v>42</v>
      </c>
      <c r="N22" s="4" t="s">
        <v>45</v>
      </c>
      <c r="O22" s="4" t="s">
        <v>46</v>
      </c>
      <c r="P22" s="4" t="s">
        <v>47</v>
      </c>
      <c r="Q22" s="4">
        <v>16451.0</v>
      </c>
      <c r="R22" s="4" t="s">
        <v>175</v>
      </c>
      <c r="S22" s="8">
        <v>46158.0</v>
      </c>
      <c r="T22" s="9">
        <v>0.375</v>
      </c>
      <c r="U22" s="9">
        <v>0.9166666666666666</v>
      </c>
      <c r="V22" s="4" t="s">
        <v>49</v>
      </c>
      <c r="W22" s="5">
        <v>1.0</v>
      </c>
      <c r="X22" s="5" t="b">
        <v>1</v>
      </c>
      <c r="Y22" s="5" t="s">
        <v>50</v>
      </c>
      <c r="Z22" s="5" t="b">
        <v>0</v>
      </c>
      <c r="AA22" s="10"/>
      <c r="AB22" s="4">
        <v>1.0</v>
      </c>
      <c r="AC22" s="11" t="s">
        <v>176</v>
      </c>
      <c r="AD22" s="5">
        <v>0.0</v>
      </c>
      <c r="AE22" s="5">
        <v>1.0</v>
      </c>
      <c r="AF22" s="8">
        <v>46158.0</v>
      </c>
      <c r="AG22" s="9">
        <v>0.375</v>
      </c>
      <c r="AH22" s="9">
        <v>0.9166666666666666</v>
      </c>
      <c r="AI22" s="4" t="s">
        <v>49</v>
      </c>
      <c r="AJ22" s="5" t="s">
        <v>52</v>
      </c>
      <c r="AK22" s="12"/>
      <c r="AL22" s="12"/>
      <c r="AM22" s="12"/>
      <c r="AN22" s="12"/>
      <c r="AO22" s="12"/>
      <c r="AP22" s="12"/>
      <c r="AQ22" s="12"/>
    </row>
    <row r="23">
      <c r="A23" s="4" t="s">
        <v>177</v>
      </c>
      <c r="B23" s="5">
        <v>1.1398423E7</v>
      </c>
      <c r="C23" s="5" t="s">
        <v>37</v>
      </c>
      <c r="D23" s="4" t="s">
        <v>178</v>
      </c>
      <c r="E23" s="5" t="s">
        <v>39</v>
      </c>
      <c r="F23" s="4" t="s">
        <v>179</v>
      </c>
      <c r="G23" s="6">
        <v>6.28222E17</v>
      </c>
      <c r="H23" s="4" t="s">
        <v>180</v>
      </c>
      <c r="I23" s="5" t="s">
        <v>42</v>
      </c>
      <c r="J23" s="5" t="s">
        <v>43</v>
      </c>
      <c r="K23" s="5">
        <v>8.7733785699E10</v>
      </c>
      <c r="L23" s="4" t="s">
        <v>44</v>
      </c>
      <c r="M23" s="5" t="s">
        <v>42</v>
      </c>
      <c r="N23" s="4" t="s">
        <v>45</v>
      </c>
      <c r="O23" s="4" t="s">
        <v>46</v>
      </c>
      <c r="P23" s="4" t="s">
        <v>47</v>
      </c>
      <c r="Q23" s="4">
        <v>16451.0</v>
      </c>
      <c r="R23" s="4" t="s">
        <v>181</v>
      </c>
      <c r="S23" s="8">
        <v>46158.0</v>
      </c>
      <c r="T23" s="9">
        <v>0.375</v>
      </c>
      <c r="U23" s="9">
        <v>0.9166666666666666</v>
      </c>
      <c r="V23" s="4" t="s">
        <v>49</v>
      </c>
      <c r="W23" s="5">
        <v>1.0</v>
      </c>
      <c r="X23" s="5" t="b">
        <v>1</v>
      </c>
      <c r="Y23" s="5" t="s">
        <v>50</v>
      </c>
      <c r="Z23" s="5" t="b">
        <v>0</v>
      </c>
      <c r="AA23" s="10"/>
      <c r="AB23" s="4">
        <v>1.0</v>
      </c>
      <c r="AC23" s="11" t="s">
        <v>182</v>
      </c>
      <c r="AD23" s="5">
        <v>0.0</v>
      </c>
      <c r="AE23" s="5">
        <v>1.0</v>
      </c>
      <c r="AF23" s="8">
        <v>46158.0</v>
      </c>
      <c r="AG23" s="9">
        <v>0.375</v>
      </c>
      <c r="AH23" s="9">
        <v>0.9166666666666666</v>
      </c>
      <c r="AI23" s="4" t="s">
        <v>49</v>
      </c>
      <c r="AJ23" s="5" t="s">
        <v>52</v>
      </c>
      <c r="AK23" s="12"/>
      <c r="AL23" s="12"/>
      <c r="AM23" s="12"/>
      <c r="AN23" s="12"/>
      <c r="AO23" s="12"/>
      <c r="AP23" s="12"/>
      <c r="AQ23" s="12"/>
    </row>
    <row r="24">
      <c r="A24" s="4" t="s">
        <v>183</v>
      </c>
      <c r="B24" s="5">
        <v>1.1398423E7</v>
      </c>
      <c r="C24" s="5" t="s">
        <v>37</v>
      </c>
      <c r="D24" s="4" t="s">
        <v>184</v>
      </c>
      <c r="E24" s="5" t="s">
        <v>39</v>
      </c>
      <c r="F24" s="4" t="s">
        <v>185</v>
      </c>
      <c r="G24" s="4">
        <v>8.119988989E9</v>
      </c>
      <c r="H24" s="4" t="s">
        <v>186</v>
      </c>
      <c r="I24" s="5" t="s">
        <v>42</v>
      </c>
      <c r="J24" s="5" t="s">
        <v>43</v>
      </c>
      <c r="K24" s="5">
        <v>8.7733785699E10</v>
      </c>
      <c r="L24" s="4" t="s">
        <v>44</v>
      </c>
      <c r="M24" s="5" t="s">
        <v>42</v>
      </c>
      <c r="N24" s="4" t="s">
        <v>45</v>
      </c>
      <c r="O24" s="4" t="s">
        <v>46</v>
      </c>
      <c r="P24" s="4" t="s">
        <v>187</v>
      </c>
      <c r="Q24" s="4">
        <v>16451.0</v>
      </c>
      <c r="R24" s="4" t="s">
        <v>188</v>
      </c>
      <c r="S24" s="8">
        <v>46161.0</v>
      </c>
      <c r="T24" s="9">
        <v>0.375</v>
      </c>
      <c r="U24" s="9">
        <v>0.9166666666666666</v>
      </c>
      <c r="V24" s="4" t="s">
        <v>49</v>
      </c>
      <c r="W24" s="5">
        <v>1.0</v>
      </c>
      <c r="X24" s="5" t="b">
        <v>1</v>
      </c>
      <c r="Y24" s="5" t="s">
        <v>189</v>
      </c>
      <c r="Z24" s="5" t="b">
        <v>0</v>
      </c>
      <c r="AA24" s="10"/>
      <c r="AB24" s="4">
        <v>1.0</v>
      </c>
      <c r="AC24" s="11" t="s">
        <v>190</v>
      </c>
      <c r="AD24" s="5">
        <v>0.0</v>
      </c>
      <c r="AE24" s="5">
        <v>1.0</v>
      </c>
      <c r="AF24" s="8">
        <v>46161.0</v>
      </c>
      <c r="AG24" s="9">
        <v>0.375</v>
      </c>
      <c r="AH24" s="9">
        <v>0.9166666666666666</v>
      </c>
      <c r="AI24" s="4" t="s">
        <v>49</v>
      </c>
      <c r="AJ24" s="5" t="s">
        <v>52</v>
      </c>
      <c r="AK24" s="12"/>
      <c r="AL24" s="12"/>
      <c r="AM24" s="12"/>
      <c r="AN24" s="12"/>
      <c r="AO24" s="12"/>
      <c r="AP24" s="12"/>
      <c r="AQ24" s="12"/>
    </row>
    <row r="25">
      <c r="A25" s="5" t="s">
        <v>191</v>
      </c>
      <c r="B25" s="5">
        <v>1.1398423E7</v>
      </c>
      <c r="C25" s="5" t="s">
        <v>37</v>
      </c>
      <c r="D25" s="5" t="s">
        <v>192</v>
      </c>
      <c r="E25" s="5" t="s">
        <v>39</v>
      </c>
      <c r="F25" s="4" t="s">
        <v>193</v>
      </c>
      <c r="G25" s="6">
        <v>8.5374101944E10</v>
      </c>
      <c r="H25" s="4" t="s">
        <v>194</v>
      </c>
      <c r="I25" s="5" t="s">
        <v>42</v>
      </c>
      <c r="J25" s="5" t="s">
        <v>43</v>
      </c>
      <c r="K25" s="5">
        <v>8.7733785699E10</v>
      </c>
      <c r="L25" s="4" t="s">
        <v>44</v>
      </c>
      <c r="M25" s="5" t="s">
        <v>42</v>
      </c>
      <c r="N25" s="4" t="s">
        <v>45</v>
      </c>
      <c r="O25" s="4" t="s">
        <v>46</v>
      </c>
      <c r="P25" s="4" t="s">
        <v>187</v>
      </c>
      <c r="Q25" s="4">
        <v>16451.0</v>
      </c>
      <c r="R25" s="4" t="s">
        <v>195</v>
      </c>
      <c r="S25" s="8">
        <v>46161.0</v>
      </c>
      <c r="T25" s="9">
        <v>0.375</v>
      </c>
      <c r="U25" s="9">
        <v>0.9166666666666666</v>
      </c>
      <c r="V25" s="4" t="s">
        <v>49</v>
      </c>
      <c r="W25" s="5">
        <v>1.0</v>
      </c>
      <c r="X25" s="5" t="b">
        <v>1</v>
      </c>
      <c r="Y25" s="5" t="s">
        <v>189</v>
      </c>
      <c r="Z25" s="5" t="b">
        <v>0</v>
      </c>
      <c r="AA25" s="10"/>
      <c r="AB25" s="4">
        <v>1.0</v>
      </c>
      <c r="AC25" s="5" t="s">
        <v>196</v>
      </c>
      <c r="AD25" s="5">
        <v>0.0</v>
      </c>
      <c r="AE25" s="5">
        <v>1.0</v>
      </c>
      <c r="AF25" s="8">
        <v>46161.0</v>
      </c>
      <c r="AG25" s="9">
        <v>0.375</v>
      </c>
      <c r="AH25" s="9">
        <v>0.9166666666666666</v>
      </c>
      <c r="AI25" s="4" t="s">
        <v>49</v>
      </c>
      <c r="AJ25" s="5" t="s">
        <v>197</v>
      </c>
      <c r="AK25" s="12"/>
      <c r="AL25" s="12"/>
      <c r="AM25" s="12"/>
      <c r="AN25" s="12"/>
      <c r="AO25" s="12"/>
      <c r="AP25" s="12"/>
      <c r="AQ25" s="12"/>
    </row>
    <row r="26">
      <c r="A26" s="5" t="s">
        <v>198</v>
      </c>
      <c r="B26" s="5">
        <v>1.1398423E7</v>
      </c>
      <c r="C26" s="5" t="s">
        <v>37</v>
      </c>
      <c r="D26" s="5" t="s">
        <v>199</v>
      </c>
      <c r="E26" s="5" t="s">
        <v>39</v>
      </c>
      <c r="F26" s="4" t="s">
        <v>200</v>
      </c>
      <c r="G26" s="6">
        <v>8.121956247E10</v>
      </c>
      <c r="H26" s="4" t="s">
        <v>201</v>
      </c>
      <c r="I26" s="5" t="s">
        <v>42</v>
      </c>
      <c r="J26" s="5" t="s">
        <v>43</v>
      </c>
      <c r="K26" s="15">
        <v>8.7733785699E10</v>
      </c>
      <c r="L26" s="4" t="s">
        <v>44</v>
      </c>
      <c r="M26" s="5" t="s">
        <v>42</v>
      </c>
      <c r="N26" s="4" t="s">
        <v>45</v>
      </c>
      <c r="O26" s="4" t="s">
        <v>46</v>
      </c>
      <c r="P26" s="4" t="s">
        <v>187</v>
      </c>
      <c r="Q26" s="4">
        <v>16451.0</v>
      </c>
      <c r="R26" s="4" t="s">
        <v>202</v>
      </c>
      <c r="S26" s="8">
        <v>46161.0</v>
      </c>
      <c r="T26" s="9">
        <v>0.375</v>
      </c>
      <c r="U26" s="9">
        <v>0.9166666666666666</v>
      </c>
      <c r="V26" s="4" t="s">
        <v>49</v>
      </c>
      <c r="W26" s="5">
        <v>1.0</v>
      </c>
      <c r="X26" s="5" t="b">
        <v>1</v>
      </c>
      <c r="Y26" s="5" t="s">
        <v>189</v>
      </c>
      <c r="Z26" s="5" t="b">
        <v>0</v>
      </c>
      <c r="AA26" s="10"/>
      <c r="AB26" s="4">
        <v>1.0</v>
      </c>
      <c r="AC26" s="5" t="s">
        <v>203</v>
      </c>
      <c r="AD26" s="5">
        <v>0.0</v>
      </c>
      <c r="AE26" s="5">
        <v>1.0</v>
      </c>
      <c r="AF26" s="8">
        <v>46161.0</v>
      </c>
      <c r="AG26" s="9">
        <v>0.375</v>
      </c>
      <c r="AH26" s="9">
        <v>0.9166666666666666</v>
      </c>
      <c r="AI26" s="4" t="s">
        <v>49</v>
      </c>
      <c r="AJ26" s="5" t="s">
        <v>197</v>
      </c>
      <c r="AK26" s="12"/>
      <c r="AL26" s="12"/>
      <c r="AM26" s="12"/>
      <c r="AN26" s="12"/>
      <c r="AO26" s="12"/>
      <c r="AP26" s="12"/>
      <c r="AQ26" s="12"/>
    </row>
    <row r="27">
      <c r="A27" s="5" t="s">
        <v>204</v>
      </c>
      <c r="B27" s="5">
        <v>1.1398423E7</v>
      </c>
      <c r="C27" s="5" t="s">
        <v>37</v>
      </c>
      <c r="D27" s="5" t="s">
        <v>205</v>
      </c>
      <c r="E27" s="5" t="s">
        <v>39</v>
      </c>
      <c r="F27" s="4" t="s">
        <v>206</v>
      </c>
      <c r="G27" s="6">
        <v>8.1314967799E10</v>
      </c>
      <c r="H27" s="4" t="s">
        <v>207</v>
      </c>
      <c r="I27" s="5" t="s">
        <v>42</v>
      </c>
      <c r="J27" s="5" t="s">
        <v>43</v>
      </c>
      <c r="K27" s="5">
        <v>8.7733785699E10</v>
      </c>
      <c r="L27" s="4" t="s">
        <v>44</v>
      </c>
      <c r="M27" s="5" t="s">
        <v>42</v>
      </c>
      <c r="N27" s="4" t="s">
        <v>45</v>
      </c>
      <c r="O27" s="4" t="s">
        <v>46</v>
      </c>
      <c r="P27" s="4" t="s">
        <v>187</v>
      </c>
      <c r="Q27" s="4">
        <v>16451.0</v>
      </c>
      <c r="R27" s="4" t="s">
        <v>208</v>
      </c>
      <c r="S27" s="8">
        <v>46161.0</v>
      </c>
      <c r="T27" s="9">
        <v>0.375</v>
      </c>
      <c r="U27" s="9">
        <v>0.9166666666666666</v>
      </c>
      <c r="V27" s="4" t="s">
        <v>49</v>
      </c>
      <c r="W27" s="5">
        <v>1.0</v>
      </c>
      <c r="X27" s="5" t="b">
        <v>1</v>
      </c>
      <c r="Y27" s="5" t="s">
        <v>189</v>
      </c>
      <c r="Z27" s="5" t="b">
        <v>0</v>
      </c>
      <c r="AA27" s="10"/>
      <c r="AB27" s="4">
        <v>1.0</v>
      </c>
      <c r="AC27" s="5" t="s">
        <v>209</v>
      </c>
      <c r="AD27" s="5">
        <v>0.0</v>
      </c>
      <c r="AE27" s="5">
        <v>1.0</v>
      </c>
      <c r="AF27" s="8">
        <v>46161.0</v>
      </c>
      <c r="AG27" s="9">
        <v>0.375</v>
      </c>
      <c r="AH27" s="9">
        <v>0.9166666666666666</v>
      </c>
      <c r="AI27" s="4" t="s">
        <v>49</v>
      </c>
      <c r="AJ27" s="5" t="s">
        <v>197</v>
      </c>
      <c r="AK27" s="12"/>
      <c r="AL27" s="12"/>
      <c r="AM27" s="12"/>
      <c r="AN27" s="12"/>
      <c r="AO27" s="12"/>
      <c r="AP27" s="12"/>
      <c r="AQ27" s="12"/>
    </row>
    <row r="28">
      <c r="A28" s="5" t="s">
        <v>210</v>
      </c>
      <c r="B28" s="5">
        <v>1.1398423E7</v>
      </c>
      <c r="C28" s="5" t="s">
        <v>37</v>
      </c>
      <c r="D28" s="5" t="s">
        <v>211</v>
      </c>
      <c r="E28" s="5" t="s">
        <v>39</v>
      </c>
      <c r="F28" s="4" t="s">
        <v>212</v>
      </c>
      <c r="G28" s="6">
        <v>6.28138E17</v>
      </c>
      <c r="H28" s="4" t="s">
        <v>213</v>
      </c>
      <c r="I28" s="5" t="s">
        <v>42</v>
      </c>
      <c r="J28" s="5" t="s">
        <v>43</v>
      </c>
      <c r="K28" s="5">
        <v>8.7733785699E10</v>
      </c>
      <c r="L28" s="4" t="s">
        <v>44</v>
      </c>
      <c r="M28" s="5" t="s">
        <v>42</v>
      </c>
      <c r="N28" s="4" t="s">
        <v>45</v>
      </c>
      <c r="O28" s="4" t="s">
        <v>46</v>
      </c>
      <c r="P28" s="4" t="s">
        <v>187</v>
      </c>
      <c r="Q28" s="4">
        <v>16451.0</v>
      </c>
      <c r="R28" s="4" t="s">
        <v>214</v>
      </c>
      <c r="S28" s="8">
        <v>46161.0</v>
      </c>
      <c r="T28" s="9">
        <v>0.375</v>
      </c>
      <c r="U28" s="9">
        <v>0.9166666666666666</v>
      </c>
      <c r="V28" s="4" t="s">
        <v>49</v>
      </c>
      <c r="W28" s="5">
        <v>1.0</v>
      </c>
      <c r="X28" s="5" t="b">
        <v>1</v>
      </c>
      <c r="Y28" s="5" t="s">
        <v>189</v>
      </c>
      <c r="Z28" s="5" t="b">
        <v>0</v>
      </c>
      <c r="AA28" s="10"/>
      <c r="AB28" s="4">
        <v>1.0</v>
      </c>
      <c r="AC28" s="5" t="s">
        <v>215</v>
      </c>
      <c r="AD28" s="5">
        <v>0.0</v>
      </c>
      <c r="AE28" s="5">
        <v>1.0</v>
      </c>
      <c r="AF28" s="8">
        <v>46161.0</v>
      </c>
      <c r="AG28" s="9">
        <v>0.375</v>
      </c>
      <c r="AH28" s="9">
        <v>0.9166666666666666</v>
      </c>
      <c r="AI28" s="4" t="s">
        <v>49</v>
      </c>
      <c r="AJ28" s="5" t="s">
        <v>197</v>
      </c>
      <c r="AK28" s="12"/>
      <c r="AL28" s="12"/>
      <c r="AM28" s="12"/>
      <c r="AN28" s="12"/>
      <c r="AO28" s="12"/>
      <c r="AP28" s="12"/>
      <c r="AQ28" s="12"/>
    </row>
    <row r="29">
      <c r="A29" s="5" t="s">
        <v>216</v>
      </c>
      <c r="B29" s="5">
        <v>1.1398423E7</v>
      </c>
      <c r="C29" s="5" t="s">
        <v>37</v>
      </c>
      <c r="D29" s="5" t="s">
        <v>217</v>
      </c>
      <c r="E29" s="5" t="s">
        <v>39</v>
      </c>
      <c r="F29" s="4" t="s">
        <v>218</v>
      </c>
      <c r="G29" s="6">
        <v>6.28569E17</v>
      </c>
      <c r="H29" s="4" t="s">
        <v>219</v>
      </c>
      <c r="I29" s="5" t="s">
        <v>42</v>
      </c>
      <c r="J29" s="5" t="s">
        <v>43</v>
      </c>
      <c r="K29" s="5">
        <v>8.7733785699E10</v>
      </c>
      <c r="L29" s="4" t="s">
        <v>44</v>
      </c>
      <c r="M29" s="5" t="s">
        <v>42</v>
      </c>
      <c r="N29" s="4" t="s">
        <v>45</v>
      </c>
      <c r="O29" s="4" t="s">
        <v>46</v>
      </c>
      <c r="P29" s="4" t="s">
        <v>187</v>
      </c>
      <c r="Q29" s="4">
        <v>16451.0</v>
      </c>
      <c r="R29" s="4" t="s">
        <v>220</v>
      </c>
      <c r="S29" s="8">
        <v>46161.0</v>
      </c>
      <c r="T29" s="9">
        <v>0.375</v>
      </c>
      <c r="U29" s="9">
        <v>0.9166666666666666</v>
      </c>
      <c r="V29" s="4" t="s">
        <v>49</v>
      </c>
      <c r="W29" s="5">
        <v>1.0</v>
      </c>
      <c r="X29" s="5" t="b">
        <v>1</v>
      </c>
      <c r="Y29" s="5" t="s">
        <v>189</v>
      </c>
      <c r="Z29" s="5" t="b">
        <v>0</v>
      </c>
      <c r="AA29" s="10"/>
      <c r="AB29" s="4">
        <v>1.0</v>
      </c>
      <c r="AC29" s="5" t="s">
        <v>221</v>
      </c>
      <c r="AD29" s="5">
        <v>0.0</v>
      </c>
      <c r="AE29" s="5">
        <v>1.0</v>
      </c>
      <c r="AF29" s="8">
        <v>46161.0</v>
      </c>
      <c r="AG29" s="9">
        <v>0.375</v>
      </c>
      <c r="AH29" s="9">
        <v>0.9166666666666666</v>
      </c>
      <c r="AI29" s="4" t="s">
        <v>49</v>
      </c>
      <c r="AJ29" s="5" t="s">
        <v>197</v>
      </c>
      <c r="AK29" s="12"/>
      <c r="AL29" s="12"/>
      <c r="AM29" s="12"/>
      <c r="AN29" s="12"/>
      <c r="AO29" s="12"/>
      <c r="AP29" s="12"/>
      <c r="AQ29" s="12"/>
    </row>
    <row r="30">
      <c r="A30" s="5" t="s">
        <v>222</v>
      </c>
      <c r="B30" s="5">
        <v>1.1398423E7</v>
      </c>
      <c r="C30" s="5" t="s">
        <v>37</v>
      </c>
      <c r="D30" s="5" t="s">
        <v>223</v>
      </c>
      <c r="E30" s="5" t="s">
        <v>39</v>
      </c>
      <c r="F30" s="4" t="s">
        <v>224</v>
      </c>
      <c r="G30" s="6">
        <v>6.28214E17</v>
      </c>
      <c r="H30" s="4" t="s">
        <v>225</v>
      </c>
      <c r="I30" s="5" t="s">
        <v>42</v>
      </c>
      <c r="J30" s="5" t="s">
        <v>43</v>
      </c>
      <c r="K30" s="5">
        <v>8.7733785699E10</v>
      </c>
      <c r="L30" s="4" t="s">
        <v>44</v>
      </c>
      <c r="M30" s="5" t="s">
        <v>42</v>
      </c>
      <c r="N30" s="4" t="s">
        <v>45</v>
      </c>
      <c r="O30" s="4" t="s">
        <v>46</v>
      </c>
      <c r="P30" s="4" t="s">
        <v>187</v>
      </c>
      <c r="Q30" s="4">
        <v>16451.0</v>
      </c>
      <c r="R30" s="4" t="s">
        <v>226</v>
      </c>
      <c r="S30" s="8">
        <v>46161.0</v>
      </c>
      <c r="T30" s="9">
        <v>0.375</v>
      </c>
      <c r="U30" s="9">
        <v>0.9166666666666666</v>
      </c>
      <c r="V30" s="4" t="s">
        <v>49</v>
      </c>
      <c r="W30" s="5">
        <v>1.0</v>
      </c>
      <c r="X30" s="5" t="b">
        <v>1</v>
      </c>
      <c r="Y30" s="5" t="s">
        <v>189</v>
      </c>
      <c r="Z30" s="5" t="b">
        <v>0</v>
      </c>
      <c r="AA30" s="10"/>
      <c r="AB30" s="4">
        <v>1.0</v>
      </c>
      <c r="AC30" s="5" t="s">
        <v>227</v>
      </c>
      <c r="AD30" s="5">
        <v>0.0</v>
      </c>
      <c r="AE30" s="5">
        <v>1.0</v>
      </c>
      <c r="AF30" s="8">
        <v>46161.0</v>
      </c>
      <c r="AG30" s="9">
        <v>0.375</v>
      </c>
      <c r="AH30" s="9">
        <v>0.9166666666666666</v>
      </c>
      <c r="AI30" s="4" t="s">
        <v>49</v>
      </c>
      <c r="AJ30" s="5" t="s">
        <v>197</v>
      </c>
      <c r="AK30" s="12"/>
      <c r="AL30" s="12"/>
      <c r="AM30" s="12"/>
      <c r="AN30" s="12"/>
      <c r="AO30" s="12"/>
      <c r="AP30" s="12"/>
      <c r="AQ30" s="12"/>
    </row>
    <row r="31">
      <c r="A31" s="5" t="s">
        <v>228</v>
      </c>
      <c r="B31" s="5">
        <v>1.1398423E7</v>
      </c>
      <c r="C31" s="5" t="s">
        <v>37</v>
      </c>
      <c r="D31" s="5" t="s">
        <v>229</v>
      </c>
      <c r="E31" s="5" t="s">
        <v>39</v>
      </c>
      <c r="F31" s="4" t="s">
        <v>230</v>
      </c>
      <c r="G31" s="4">
        <v>8.1314637235E10</v>
      </c>
      <c r="H31" s="4" t="s">
        <v>231</v>
      </c>
      <c r="I31" s="5" t="s">
        <v>42</v>
      </c>
      <c r="J31" s="5" t="s">
        <v>43</v>
      </c>
      <c r="K31" s="5">
        <v>8.7733785699E10</v>
      </c>
      <c r="L31" s="4" t="s">
        <v>44</v>
      </c>
      <c r="M31" s="5" t="s">
        <v>42</v>
      </c>
      <c r="N31" s="4" t="s">
        <v>45</v>
      </c>
      <c r="O31" s="4" t="s">
        <v>46</v>
      </c>
      <c r="P31" s="4" t="s">
        <v>187</v>
      </c>
      <c r="Q31" s="4">
        <v>16451.0</v>
      </c>
      <c r="R31" s="4" t="s">
        <v>232</v>
      </c>
      <c r="S31" s="8">
        <v>46161.0</v>
      </c>
      <c r="T31" s="9">
        <v>0.375</v>
      </c>
      <c r="U31" s="9">
        <v>0.9166666666666666</v>
      </c>
      <c r="V31" s="4" t="s">
        <v>49</v>
      </c>
      <c r="W31" s="5">
        <v>1.0</v>
      </c>
      <c r="X31" s="5" t="b">
        <v>1</v>
      </c>
      <c r="Y31" s="5" t="s">
        <v>189</v>
      </c>
      <c r="Z31" s="5" t="b">
        <v>0</v>
      </c>
      <c r="AA31" s="10"/>
      <c r="AB31" s="4">
        <v>1.0</v>
      </c>
      <c r="AC31" s="5" t="s">
        <v>233</v>
      </c>
      <c r="AD31" s="5">
        <v>0.0</v>
      </c>
      <c r="AE31" s="5">
        <v>1.0</v>
      </c>
      <c r="AF31" s="8">
        <v>46161.0</v>
      </c>
      <c r="AG31" s="9">
        <v>0.375</v>
      </c>
      <c r="AH31" s="9">
        <v>0.9166666666666666</v>
      </c>
      <c r="AI31" s="4" t="s">
        <v>49</v>
      </c>
      <c r="AJ31" s="5" t="s">
        <v>197</v>
      </c>
      <c r="AK31" s="12"/>
      <c r="AL31" s="12"/>
      <c r="AM31" s="12"/>
      <c r="AN31" s="12"/>
      <c r="AO31" s="12"/>
      <c r="AP31" s="12"/>
      <c r="AQ31" s="12"/>
    </row>
    <row r="32">
      <c r="A32" s="5" t="s">
        <v>234</v>
      </c>
      <c r="B32" s="5">
        <v>1.1398423E7</v>
      </c>
      <c r="C32" s="5" t="s">
        <v>37</v>
      </c>
      <c r="D32" s="5" t="s">
        <v>235</v>
      </c>
      <c r="E32" s="5" t="s">
        <v>39</v>
      </c>
      <c r="F32" s="4" t="s">
        <v>161</v>
      </c>
      <c r="G32" s="6">
        <v>6.28138E17</v>
      </c>
      <c r="H32" s="4" t="s">
        <v>162</v>
      </c>
      <c r="I32" s="5" t="s">
        <v>42</v>
      </c>
      <c r="J32" s="5" t="s">
        <v>43</v>
      </c>
      <c r="K32" s="5">
        <v>8.7733785699E10</v>
      </c>
      <c r="L32" s="4" t="s">
        <v>44</v>
      </c>
      <c r="M32" s="5" t="s">
        <v>42</v>
      </c>
      <c r="N32" s="4" t="s">
        <v>45</v>
      </c>
      <c r="O32" s="4" t="s">
        <v>46</v>
      </c>
      <c r="P32" s="4" t="s">
        <v>187</v>
      </c>
      <c r="Q32" s="4">
        <v>16451.0</v>
      </c>
      <c r="R32" s="4" t="s">
        <v>236</v>
      </c>
      <c r="S32" s="8">
        <v>46161.0</v>
      </c>
      <c r="T32" s="9">
        <v>0.375</v>
      </c>
      <c r="U32" s="9">
        <v>0.9166666666666666</v>
      </c>
      <c r="V32" s="4" t="s">
        <v>49</v>
      </c>
      <c r="W32" s="5">
        <v>1.0</v>
      </c>
      <c r="X32" s="5" t="b">
        <v>1</v>
      </c>
      <c r="Y32" s="5" t="s">
        <v>189</v>
      </c>
      <c r="Z32" s="5" t="b">
        <v>0</v>
      </c>
      <c r="AA32" s="10"/>
      <c r="AB32" s="4">
        <v>1.0</v>
      </c>
      <c r="AC32" s="5" t="s">
        <v>237</v>
      </c>
      <c r="AD32" s="5">
        <v>0.0</v>
      </c>
      <c r="AE32" s="5">
        <v>1.0</v>
      </c>
      <c r="AF32" s="8">
        <v>46161.0</v>
      </c>
      <c r="AG32" s="9">
        <v>0.375</v>
      </c>
      <c r="AH32" s="9">
        <v>0.9166666666666666</v>
      </c>
      <c r="AI32" s="4" t="s">
        <v>49</v>
      </c>
      <c r="AJ32" s="5" t="s">
        <v>197</v>
      </c>
      <c r="AK32" s="12"/>
      <c r="AL32" s="12"/>
      <c r="AM32" s="12"/>
      <c r="AN32" s="12"/>
      <c r="AO32" s="12"/>
      <c r="AP32" s="12"/>
      <c r="AQ32" s="12"/>
    </row>
    <row r="33">
      <c r="A33" s="5" t="s">
        <v>238</v>
      </c>
      <c r="B33" s="5">
        <v>1.1398423E7</v>
      </c>
      <c r="C33" s="5" t="s">
        <v>37</v>
      </c>
      <c r="D33" s="5" t="s">
        <v>239</v>
      </c>
      <c r="E33" s="5" t="s">
        <v>39</v>
      </c>
      <c r="F33" s="4" t="s">
        <v>240</v>
      </c>
      <c r="G33" s="6">
        <v>8.131705404E10</v>
      </c>
      <c r="H33" s="4" t="s">
        <v>241</v>
      </c>
      <c r="I33" s="5" t="s">
        <v>42</v>
      </c>
      <c r="J33" s="5" t="s">
        <v>43</v>
      </c>
      <c r="K33" s="5">
        <v>8.7733785699E10</v>
      </c>
      <c r="L33" s="4" t="s">
        <v>44</v>
      </c>
      <c r="M33" s="5" t="s">
        <v>42</v>
      </c>
      <c r="N33" s="4" t="s">
        <v>45</v>
      </c>
      <c r="O33" s="4" t="s">
        <v>46</v>
      </c>
      <c r="P33" s="4" t="s">
        <v>187</v>
      </c>
      <c r="Q33" s="4">
        <v>16451.0</v>
      </c>
      <c r="R33" s="4" t="s">
        <v>242</v>
      </c>
      <c r="S33" s="8">
        <v>46161.0</v>
      </c>
      <c r="T33" s="9">
        <v>0.375</v>
      </c>
      <c r="U33" s="9">
        <v>0.9166666666666666</v>
      </c>
      <c r="V33" s="4" t="s">
        <v>49</v>
      </c>
      <c r="W33" s="5">
        <v>1.0</v>
      </c>
      <c r="X33" s="5" t="b">
        <v>1</v>
      </c>
      <c r="Y33" s="5" t="s">
        <v>189</v>
      </c>
      <c r="Z33" s="5" t="b">
        <v>0</v>
      </c>
      <c r="AA33" s="10"/>
      <c r="AB33" s="4">
        <v>1.0</v>
      </c>
      <c r="AC33" s="5" t="s">
        <v>243</v>
      </c>
      <c r="AD33" s="5">
        <v>0.0</v>
      </c>
      <c r="AE33" s="5">
        <v>1.0</v>
      </c>
      <c r="AF33" s="8">
        <v>46161.0</v>
      </c>
      <c r="AG33" s="9">
        <v>0.375</v>
      </c>
      <c r="AH33" s="9">
        <v>0.9166666666666666</v>
      </c>
      <c r="AI33" s="4" t="s">
        <v>49</v>
      </c>
      <c r="AJ33" s="5" t="s">
        <v>197</v>
      </c>
      <c r="AK33" s="12"/>
      <c r="AL33" s="12"/>
      <c r="AM33" s="12"/>
      <c r="AN33" s="12"/>
      <c r="AO33" s="12"/>
      <c r="AP33" s="12"/>
      <c r="AQ33" s="12"/>
    </row>
    <row r="34">
      <c r="A34" s="5" t="s">
        <v>244</v>
      </c>
      <c r="B34" s="5">
        <v>1.1398423E7</v>
      </c>
      <c r="C34" s="5" t="s">
        <v>37</v>
      </c>
      <c r="D34" s="5" t="s">
        <v>245</v>
      </c>
      <c r="E34" s="5" t="s">
        <v>39</v>
      </c>
      <c r="F34" s="4" t="s">
        <v>246</v>
      </c>
      <c r="G34" s="6">
        <v>6.28123E17</v>
      </c>
      <c r="H34" s="4" t="s">
        <v>247</v>
      </c>
      <c r="I34" s="5" t="s">
        <v>42</v>
      </c>
      <c r="J34" s="5" t="s">
        <v>43</v>
      </c>
      <c r="K34" s="5">
        <v>8.7733785699E10</v>
      </c>
      <c r="L34" s="4" t="s">
        <v>44</v>
      </c>
      <c r="M34" s="5" t="s">
        <v>42</v>
      </c>
      <c r="N34" s="4" t="s">
        <v>45</v>
      </c>
      <c r="O34" s="4" t="s">
        <v>46</v>
      </c>
      <c r="P34" s="4" t="s">
        <v>187</v>
      </c>
      <c r="Q34" s="4">
        <v>16451.0</v>
      </c>
      <c r="R34" s="4" t="s">
        <v>248</v>
      </c>
      <c r="S34" s="8">
        <v>46161.0</v>
      </c>
      <c r="T34" s="9">
        <v>0.375</v>
      </c>
      <c r="U34" s="9">
        <v>0.9166666666666666</v>
      </c>
      <c r="V34" s="4" t="s">
        <v>49</v>
      </c>
      <c r="W34" s="5">
        <v>1.0</v>
      </c>
      <c r="X34" s="5" t="b">
        <v>1</v>
      </c>
      <c r="Y34" s="5" t="s">
        <v>189</v>
      </c>
      <c r="Z34" s="5" t="b">
        <v>0</v>
      </c>
      <c r="AA34" s="10"/>
      <c r="AB34" s="4">
        <v>1.0</v>
      </c>
      <c r="AC34" s="5" t="s">
        <v>249</v>
      </c>
      <c r="AD34" s="5">
        <v>0.0</v>
      </c>
      <c r="AE34" s="5">
        <v>1.0</v>
      </c>
      <c r="AF34" s="8">
        <v>46161.0</v>
      </c>
      <c r="AG34" s="9">
        <v>0.375</v>
      </c>
      <c r="AH34" s="9">
        <v>0.9166666666666666</v>
      </c>
      <c r="AI34" s="4" t="s">
        <v>49</v>
      </c>
      <c r="AJ34" s="5" t="s">
        <v>197</v>
      </c>
      <c r="AK34" s="12"/>
      <c r="AL34" s="12"/>
      <c r="AM34" s="12"/>
      <c r="AN34" s="12"/>
      <c r="AO34" s="12"/>
      <c r="AP34" s="12"/>
      <c r="AQ34" s="12"/>
    </row>
    <row r="35">
      <c r="A35" s="5" t="s">
        <v>250</v>
      </c>
      <c r="B35" s="5">
        <v>1.1398423E7</v>
      </c>
      <c r="C35" s="5" t="s">
        <v>37</v>
      </c>
      <c r="D35" s="5" t="s">
        <v>251</v>
      </c>
      <c r="E35" s="5" t="s">
        <v>39</v>
      </c>
      <c r="F35" s="4" t="s">
        <v>252</v>
      </c>
      <c r="G35" s="6">
        <v>6.28121E17</v>
      </c>
      <c r="H35" s="4" t="s">
        <v>253</v>
      </c>
      <c r="I35" s="5" t="s">
        <v>42</v>
      </c>
      <c r="J35" s="5" t="s">
        <v>43</v>
      </c>
      <c r="K35" s="5">
        <v>8.7733785699E10</v>
      </c>
      <c r="L35" s="4" t="s">
        <v>44</v>
      </c>
      <c r="M35" s="5" t="s">
        <v>42</v>
      </c>
      <c r="N35" s="4" t="s">
        <v>45</v>
      </c>
      <c r="O35" s="4" t="s">
        <v>46</v>
      </c>
      <c r="P35" s="4" t="s">
        <v>187</v>
      </c>
      <c r="Q35" s="4">
        <v>16451.0</v>
      </c>
      <c r="R35" s="4" t="s">
        <v>254</v>
      </c>
      <c r="S35" s="8">
        <v>46161.0</v>
      </c>
      <c r="T35" s="9">
        <v>0.375</v>
      </c>
      <c r="U35" s="9">
        <v>0.9166666666666666</v>
      </c>
      <c r="V35" s="4" t="s">
        <v>49</v>
      </c>
      <c r="W35" s="5">
        <v>1.0</v>
      </c>
      <c r="X35" s="5" t="b">
        <v>1</v>
      </c>
      <c r="Y35" s="5" t="s">
        <v>189</v>
      </c>
      <c r="Z35" s="5" t="b">
        <v>0</v>
      </c>
      <c r="AA35" s="10"/>
      <c r="AB35" s="4">
        <v>1.0</v>
      </c>
      <c r="AC35" s="5" t="s">
        <v>255</v>
      </c>
      <c r="AD35" s="5">
        <v>0.0</v>
      </c>
      <c r="AE35" s="5">
        <v>1.0</v>
      </c>
      <c r="AF35" s="8">
        <v>46161.0</v>
      </c>
      <c r="AG35" s="9">
        <v>0.375</v>
      </c>
      <c r="AH35" s="9">
        <v>0.9166666666666666</v>
      </c>
      <c r="AI35" s="4" t="s">
        <v>49</v>
      </c>
      <c r="AJ35" s="5" t="s">
        <v>197</v>
      </c>
      <c r="AK35" s="12"/>
      <c r="AL35" s="12"/>
      <c r="AM35" s="12"/>
      <c r="AN35" s="12"/>
      <c r="AO35" s="12"/>
      <c r="AP35" s="12"/>
      <c r="AQ35" s="12"/>
    </row>
    <row r="36">
      <c r="A36" s="5" t="s">
        <v>256</v>
      </c>
      <c r="B36" s="5">
        <v>1.1398423E7</v>
      </c>
      <c r="C36" s="5" t="s">
        <v>37</v>
      </c>
      <c r="D36" s="5" t="s">
        <v>257</v>
      </c>
      <c r="E36" s="5" t="s">
        <v>39</v>
      </c>
      <c r="F36" s="4" t="s">
        <v>258</v>
      </c>
      <c r="G36" s="6">
        <v>8.1382701345E10</v>
      </c>
      <c r="H36" s="4" t="s">
        <v>259</v>
      </c>
      <c r="I36" s="5" t="s">
        <v>42</v>
      </c>
      <c r="J36" s="5" t="s">
        <v>43</v>
      </c>
      <c r="K36" s="5">
        <v>8.7733785699E10</v>
      </c>
      <c r="L36" s="4" t="s">
        <v>44</v>
      </c>
      <c r="M36" s="5" t="s">
        <v>42</v>
      </c>
      <c r="N36" s="4" t="s">
        <v>45</v>
      </c>
      <c r="O36" s="4" t="s">
        <v>46</v>
      </c>
      <c r="P36" s="4" t="s">
        <v>187</v>
      </c>
      <c r="Q36" s="4">
        <v>16451.0</v>
      </c>
      <c r="R36" s="4" t="s">
        <v>260</v>
      </c>
      <c r="S36" s="8">
        <v>46161.0</v>
      </c>
      <c r="T36" s="9">
        <v>0.375</v>
      </c>
      <c r="U36" s="9">
        <v>0.9166666666666666</v>
      </c>
      <c r="V36" s="4" t="s">
        <v>49</v>
      </c>
      <c r="W36" s="5">
        <v>1.0</v>
      </c>
      <c r="X36" s="5" t="b">
        <v>1</v>
      </c>
      <c r="Y36" s="5" t="s">
        <v>189</v>
      </c>
      <c r="Z36" s="5" t="b">
        <v>0</v>
      </c>
      <c r="AA36" s="10"/>
      <c r="AB36" s="4">
        <v>1.0</v>
      </c>
      <c r="AC36" s="5" t="s">
        <v>261</v>
      </c>
      <c r="AD36" s="5">
        <v>0.0</v>
      </c>
      <c r="AE36" s="5">
        <v>1.0</v>
      </c>
      <c r="AF36" s="8">
        <v>46161.0</v>
      </c>
      <c r="AG36" s="9">
        <v>0.375</v>
      </c>
      <c r="AH36" s="9">
        <v>0.9166666666666666</v>
      </c>
      <c r="AI36" s="4" t="s">
        <v>49</v>
      </c>
      <c r="AJ36" s="5" t="s">
        <v>197</v>
      </c>
      <c r="AK36" s="12"/>
      <c r="AL36" s="12"/>
      <c r="AM36" s="12"/>
      <c r="AN36" s="12"/>
      <c r="AO36" s="12"/>
      <c r="AP36" s="12"/>
      <c r="AQ36" s="12"/>
    </row>
    <row r="37">
      <c r="A37" s="5" t="s">
        <v>262</v>
      </c>
      <c r="B37" s="5">
        <v>1.1398423E7</v>
      </c>
      <c r="C37" s="5" t="s">
        <v>37</v>
      </c>
      <c r="D37" s="5" t="s">
        <v>263</v>
      </c>
      <c r="E37" s="5" t="s">
        <v>39</v>
      </c>
      <c r="F37" s="4" t="s">
        <v>264</v>
      </c>
      <c r="G37" s="6">
        <v>8.1932511145E10</v>
      </c>
      <c r="H37" s="4" t="s">
        <v>265</v>
      </c>
      <c r="I37" s="5" t="s">
        <v>42</v>
      </c>
      <c r="J37" s="5" t="s">
        <v>43</v>
      </c>
      <c r="K37" s="5">
        <v>8.7733785699E10</v>
      </c>
      <c r="L37" s="4" t="s">
        <v>44</v>
      </c>
      <c r="M37" s="5" t="s">
        <v>42</v>
      </c>
      <c r="N37" s="4" t="s">
        <v>45</v>
      </c>
      <c r="O37" s="4" t="s">
        <v>46</v>
      </c>
      <c r="P37" s="4" t="s">
        <v>187</v>
      </c>
      <c r="Q37" s="4">
        <v>16451.0</v>
      </c>
      <c r="R37" s="4" t="s">
        <v>266</v>
      </c>
      <c r="S37" s="8">
        <v>46161.0</v>
      </c>
      <c r="T37" s="9">
        <v>0.375</v>
      </c>
      <c r="U37" s="9">
        <v>0.9166666666666666</v>
      </c>
      <c r="V37" s="4" t="s">
        <v>49</v>
      </c>
      <c r="W37" s="5">
        <v>1.0</v>
      </c>
      <c r="X37" s="5" t="b">
        <v>1</v>
      </c>
      <c r="Y37" s="5" t="s">
        <v>189</v>
      </c>
      <c r="Z37" s="5" t="b">
        <v>0</v>
      </c>
      <c r="AA37" s="10"/>
      <c r="AB37" s="4">
        <v>1.0</v>
      </c>
      <c r="AC37" s="5" t="s">
        <v>267</v>
      </c>
      <c r="AD37" s="5">
        <v>0.0</v>
      </c>
      <c r="AE37" s="5">
        <v>1.0</v>
      </c>
      <c r="AF37" s="8">
        <v>46161.0</v>
      </c>
      <c r="AG37" s="9">
        <v>0.375</v>
      </c>
      <c r="AH37" s="9">
        <v>0.9166666666666666</v>
      </c>
      <c r="AI37" s="4" t="s">
        <v>49</v>
      </c>
      <c r="AJ37" s="5" t="s">
        <v>197</v>
      </c>
      <c r="AK37" s="12"/>
      <c r="AL37" s="12"/>
      <c r="AM37" s="12"/>
      <c r="AN37" s="12"/>
      <c r="AO37" s="12"/>
      <c r="AP37" s="12"/>
      <c r="AQ37" s="12"/>
    </row>
    <row r="38">
      <c r="A38" s="5" t="s">
        <v>268</v>
      </c>
      <c r="B38" s="5">
        <v>1.1398423E7</v>
      </c>
      <c r="C38" s="5" t="s">
        <v>37</v>
      </c>
      <c r="D38" s="5" t="s">
        <v>269</v>
      </c>
      <c r="E38" s="5" t="s">
        <v>39</v>
      </c>
      <c r="F38" s="4" t="s">
        <v>270</v>
      </c>
      <c r="G38" s="4">
        <v>8.2210333962E10</v>
      </c>
      <c r="H38" s="4" t="s">
        <v>271</v>
      </c>
      <c r="I38" s="5" t="s">
        <v>42</v>
      </c>
      <c r="J38" s="5" t="s">
        <v>43</v>
      </c>
      <c r="K38" s="5">
        <v>8.7733785699E10</v>
      </c>
      <c r="L38" s="4" t="s">
        <v>44</v>
      </c>
      <c r="M38" s="5" t="s">
        <v>42</v>
      </c>
      <c r="N38" s="4" t="s">
        <v>45</v>
      </c>
      <c r="O38" s="4" t="s">
        <v>46</v>
      </c>
      <c r="P38" s="4" t="s">
        <v>187</v>
      </c>
      <c r="Q38" s="4">
        <v>16451.0</v>
      </c>
      <c r="R38" s="4" t="s">
        <v>272</v>
      </c>
      <c r="S38" s="8">
        <v>46161.0</v>
      </c>
      <c r="T38" s="9">
        <v>0.375</v>
      </c>
      <c r="U38" s="9">
        <v>0.9166666666666666</v>
      </c>
      <c r="V38" s="4" t="s">
        <v>49</v>
      </c>
      <c r="W38" s="5">
        <v>1.0</v>
      </c>
      <c r="X38" s="5" t="b">
        <v>1</v>
      </c>
      <c r="Y38" s="5" t="s">
        <v>189</v>
      </c>
      <c r="Z38" s="5" t="b">
        <v>0</v>
      </c>
      <c r="AA38" s="10"/>
      <c r="AB38" s="4">
        <v>1.0</v>
      </c>
      <c r="AC38" s="5" t="s">
        <v>273</v>
      </c>
      <c r="AD38" s="5">
        <v>0.0</v>
      </c>
      <c r="AE38" s="5">
        <v>1.0</v>
      </c>
      <c r="AF38" s="8">
        <v>46161.0</v>
      </c>
      <c r="AG38" s="9">
        <v>0.375</v>
      </c>
      <c r="AH38" s="9">
        <v>0.9166666666666666</v>
      </c>
      <c r="AI38" s="4" t="s">
        <v>49</v>
      </c>
      <c r="AJ38" s="5" t="s">
        <v>197</v>
      </c>
      <c r="AK38" s="12"/>
      <c r="AL38" s="12"/>
      <c r="AM38" s="12"/>
      <c r="AN38" s="12"/>
      <c r="AO38" s="12"/>
      <c r="AP38" s="12"/>
      <c r="AQ38" s="12"/>
    </row>
    <row r="39">
      <c r="A39" s="5" t="s">
        <v>274</v>
      </c>
      <c r="B39" s="5">
        <v>1.1398423E7</v>
      </c>
      <c r="C39" s="5" t="s">
        <v>37</v>
      </c>
      <c r="D39" s="5" t="s">
        <v>275</v>
      </c>
      <c r="E39" s="5" t="s">
        <v>39</v>
      </c>
      <c r="F39" s="4" t="s">
        <v>276</v>
      </c>
      <c r="G39" s="6">
        <v>6.28232E17</v>
      </c>
      <c r="H39" s="4" t="s">
        <v>277</v>
      </c>
      <c r="I39" s="5" t="s">
        <v>42</v>
      </c>
      <c r="J39" s="5" t="s">
        <v>43</v>
      </c>
      <c r="K39" s="5">
        <v>8.7733785699E10</v>
      </c>
      <c r="L39" s="4" t="s">
        <v>44</v>
      </c>
      <c r="M39" s="5" t="s">
        <v>42</v>
      </c>
      <c r="N39" s="4" t="s">
        <v>45</v>
      </c>
      <c r="O39" s="4" t="s">
        <v>46</v>
      </c>
      <c r="P39" s="4" t="s">
        <v>187</v>
      </c>
      <c r="Q39" s="4">
        <v>16451.0</v>
      </c>
      <c r="R39" s="4" t="s">
        <v>278</v>
      </c>
      <c r="S39" s="8">
        <v>46161.0</v>
      </c>
      <c r="T39" s="9">
        <v>0.375</v>
      </c>
      <c r="U39" s="9">
        <v>0.9166666666666666</v>
      </c>
      <c r="V39" s="4" t="s">
        <v>49</v>
      </c>
      <c r="W39" s="5">
        <v>1.0</v>
      </c>
      <c r="X39" s="5" t="b">
        <v>1</v>
      </c>
      <c r="Y39" s="5" t="s">
        <v>189</v>
      </c>
      <c r="Z39" s="5" t="b">
        <v>0</v>
      </c>
      <c r="AA39" s="10"/>
      <c r="AB39" s="4">
        <v>1.0</v>
      </c>
      <c r="AC39" s="5" t="s">
        <v>279</v>
      </c>
      <c r="AD39" s="5">
        <v>0.0</v>
      </c>
      <c r="AE39" s="5">
        <v>1.0</v>
      </c>
      <c r="AF39" s="8">
        <v>46161.0</v>
      </c>
      <c r="AG39" s="9">
        <v>0.375</v>
      </c>
      <c r="AH39" s="9">
        <v>0.9166666666666666</v>
      </c>
      <c r="AI39" s="4" t="s">
        <v>49</v>
      </c>
      <c r="AJ39" s="5" t="s">
        <v>197</v>
      </c>
      <c r="AK39" s="12"/>
      <c r="AL39" s="12"/>
      <c r="AM39" s="12"/>
      <c r="AN39" s="12"/>
      <c r="AO39" s="12"/>
      <c r="AP39" s="12"/>
      <c r="AQ39" s="12"/>
    </row>
    <row r="40">
      <c r="A40" s="5" t="s">
        <v>280</v>
      </c>
      <c r="B40" s="5">
        <v>1.1398423E7</v>
      </c>
      <c r="C40" s="5" t="s">
        <v>37</v>
      </c>
      <c r="D40" s="5" t="s">
        <v>281</v>
      </c>
      <c r="E40" s="5" t="s">
        <v>39</v>
      </c>
      <c r="F40" s="4" t="s">
        <v>282</v>
      </c>
      <c r="G40" s="6">
        <v>8.164881897E9</v>
      </c>
      <c r="H40" s="4" t="s">
        <v>283</v>
      </c>
      <c r="I40" s="5" t="s">
        <v>42</v>
      </c>
      <c r="J40" s="5" t="s">
        <v>43</v>
      </c>
      <c r="K40" s="5">
        <v>8.7733785699E10</v>
      </c>
      <c r="L40" s="4" t="s">
        <v>44</v>
      </c>
      <c r="M40" s="5" t="s">
        <v>42</v>
      </c>
      <c r="N40" s="4" t="s">
        <v>45</v>
      </c>
      <c r="O40" s="4" t="s">
        <v>46</v>
      </c>
      <c r="P40" s="4" t="s">
        <v>187</v>
      </c>
      <c r="Q40" s="4">
        <v>16451.0</v>
      </c>
      <c r="R40" s="4" t="s">
        <v>284</v>
      </c>
      <c r="S40" s="8">
        <v>46161.0</v>
      </c>
      <c r="T40" s="9">
        <v>0.375</v>
      </c>
      <c r="U40" s="9">
        <v>0.9166666666666666</v>
      </c>
      <c r="V40" s="4" t="s">
        <v>49</v>
      </c>
      <c r="W40" s="5">
        <v>1.0</v>
      </c>
      <c r="X40" s="5" t="b">
        <v>1</v>
      </c>
      <c r="Y40" s="5" t="s">
        <v>189</v>
      </c>
      <c r="Z40" s="5" t="b">
        <v>0</v>
      </c>
      <c r="AA40" s="10"/>
      <c r="AB40" s="4">
        <v>1.0</v>
      </c>
      <c r="AC40" s="5" t="s">
        <v>285</v>
      </c>
      <c r="AD40" s="5">
        <v>0.0</v>
      </c>
      <c r="AE40" s="5">
        <v>1.0</v>
      </c>
      <c r="AF40" s="8">
        <v>46161.0</v>
      </c>
      <c r="AG40" s="9">
        <v>0.375</v>
      </c>
      <c r="AH40" s="9">
        <v>0.9166666666666666</v>
      </c>
      <c r="AI40" s="4" t="s">
        <v>49</v>
      </c>
      <c r="AJ40" s="5" t="s">
        <v>197</v>
      </c>
      <c r="AK40" s="12"/>
      <c r="AL40" s="12"/>
      <c r="AM40" s="12"/>
      <c r="AN40" s="12"/>
      <c r="AO40" s="12"/>
      <c r="AP40" s="12"/>
      <c r="AQ40" s="12"/>
    </row>
    <row r="41">
      <c r="A41" s="5" t="s">
        <v>286</v>
      </c>
      <c r="B41" s="5">
        <v>1.1398423E7</v>
      </c>
      <c r="C41" s="5" t="s">
        <v>37</v>
      </c>
      <c r="D41" s="5" t="s">
        <v>287</v>
      </c>
      <c r="E41" s="5" t="s">
        <v>39</v>
      </c>
      <c r="F41" s="4" t="s">
        <v>288</v>
      </c>
      <c r="G41" s="6">
        <v>8.1298228333E10</v>
      </c>
      <c r="H41" s="4" t="s">
        <v>289</v>
      </c>
      <c r="I41" s="5" t="s">
        <v>42</v>
      </c>
      <c r="J41" s="5" t="s">
        <v>43</v>
      </c>
      <c r="K41" s="5">
        <v>8.7733785699E10</v>
      </c>
      <c r="L41" s="4" t="s">
        <v>44</v>
      </c>
      <c r="M41" s="5" t="s">
        <v>42</v>
      </c>
      <c r="N41" s="4" t="s">
        <v>45</v>
      </c>
      <c r="O41" s="4" t="s">
        <v>46</v>
      </c>
      <c r="P41" s="4" t="s">
        <v>187</v>
      </c>
      <c r="Q41" s="4">
        <v>16451.0</v>
      </c>
      <c r="R41" s="4" t="s">
        <v>290</v>
      </c>
      <c r="S41" s="8">
        <v>46161.0</v>
      </c>
      <c r="T41" s="9">
        <v>0.375</v>
      </c>
      <c r="U41" s="9">
        <v>0.9166666666666666</v>
      </c>
      <c r="V41" s="4" t="s">
        <v>49</v>
      </c>
      <c r="W41" s="5">
        <v>1.0</v>
      </c>
      <c r="X41" s="5" t="b">
        <v>1</v>
      </c>
      <c r="Y41" s="5" t="s">
        <v>189</v>
      </c>
      <c r="Z41" s="5" t="b">
        <v>0</v>
      </c>
      <c r="AA41" s="10"/>
      <c r="AB41" s="4">
        <v>1.0</v>
      </c>
      <c r="AC41" s="5" t="s">
        <v>291</v>
      </c>
      <c r="AD41" s="5">
        <v>0.0</v>
      </c>
      <c r="AE41" s="5">
        <v>1.0</v>
      </c>
      <c r="AF41" s="8">
        <v>46161.0</v>
      </c>
      <c r="AG41" s="9">
        <v>0.375</v>
      </c>
      <c r="AH41" s="9">
        <v>0.9166666666666666</v>
      </c>
      <c r="AI41" s="4" t="s">
        <v>49</v>
      </c>
      <c r="AJ41" s="5" t="s">
        <v>197</v>
      </c>
      <c r="AK41" s="12"/>
      <c r="AL41" s="12"/>
      <c r="AM41" s="12"/>
      <c r="AN41" s="12"/>
      <c r="AO41" s="12"/>
      <c r="AP41" s="12"/>
      <c r="AQ41" s="12"/>
    </row>
    <row r="42">
      <c r="A42" s="5" t="s">
        <v>292</v>
      </c>
      <c r="B42" s="5">
        <v>1.1398423E7</v>
      </c>
      <c r="C42" s="5" t="s">
        <v>37</v>
      </c>
      <c r="D42" s="5" t="s">
        <v>293</v>
      </c>
      <c r="E42" s="5" t="s">
        <v>39</v>
      </c>
      <c r="F42" s="4" t="s">
        <v>294</v>
      </c>
      <c r="G42" s="6">
        <v>8.5283705505E10</v>
      </c>
      <c r="H42" s="4" t="s">
        <v>295</v>
      </c>
      <c r="I42" s="5" t="s">
        <v>42</v>
      </c>
      <c r="J42" s="5" t="s">
        <v>43</v>
      </c>
      <c r="K42" s="5">
        <v>8.7733785699E10</v>
      </c>
      <c r="L42" s="4" t="s">
        <v>44</v>
      </c>
      <c r="M42" s="5" t="s">
        <v>42</v>
      </c>
      <c r="N42" s="4" t="s">
        <v>45</v>
      </c>
      <c r="O42" s="4" t="s">
        <v>46</v>
      </c>
      <c r="P42" s="4" t="s">
        <v>187</v>
      </c>
      <c r="Q42" s="4">
        <v>16451.0</v>
      </c>
      <c r="R42" s="4" t="s">
        <v>296</v>
      </c>
      <c r="S42" s="8">
        <v>46161.0</v>
      </c>
      <c r="T42" s="9">
        <v>0.375</v>
      </c>
      <c r="U42" s="9">
        <v>0.9166666666666666</v>
      </c>
      <c r="V42" s="4" t="s">
        <v>49</v>
      </c>
      <c r="W42" s="5">
        <v>1.0</v>
      </c>
      <c r="X42" s="5" t="b">
        <v>1</v>
      </c>
      <c r="Y42" s="5" t="s">
        <v>189</v>
      </c>
      <c r="Z42" s="5" t="b">
        <v>0</v>
      </c>
      <c r="AA42" s="10"/>
      <c r="AB42" s="4">
        <v>1.0</v>
      </c>
      <c r="AC42" s="5" t="s">
        <v>297</v>
      </c>
      <c r="AD42" s="5">
        <v>0.0</v>
      </c>
      <c r="AE42" s="5">
        <v>1.0</v>
      </c>
      <c r="AF42" s="8">
        <v>46161.0</v>
      </c>
      <c r="AG42" s="9">
        <v>0.375</v>
      </c>
      <c r="AH42" s="9">
        <v>0.9166666666666666</v>
      </c>
      <c r="AI42" s="4" t="s">
        <v>49</v>
      </c>
      <c r="AJ42" s="5" t="s">
        <v>197</v>
      </c>
      <c r="AK42" s="12"/>
      <c r="AL42" s="12"/>
      <c r="AM42" s="12"/>
      <c r="AN42" s="12"/>
      <c r="AO42" s="12"/>
      <c r="AP42" s="12"/>
      <c r="AQ42" s="12"/>
    </row>
    <row r="43">
      <c r="A43" s="5" t="s">
        <v>298</v>
      </c>
      <c r="B43" s="5">
        <v>1.1398423E7</v>
      </c>
      <c r="C43" s="5" t="s">
        <v>37</v>
      </c>
      <c r="D43" s="5" t="s">
        <v>299</v>
      </c>
      <c r="E43" s="5" t="s">
        <v>39</v>
      </c>
      <c r="F43" s="4" t="s">
        <v>300</v>
      </c>
      <c r="G43" s="6">
        <v>6.28228E17</v>
      </c>
      <c r="H43" s="4" t="s">
        <v>301</v>
      </c>
      <c r="I43" s="5" t="s">
        <v>42</v>
      </c>
      <c r="J43" s="5" t="s">
        <v>43</v>
      </c>
      <c r="K43" s="5">
        <v>8.7733785699E10</v>
      </c>
      <c r="L43" s="4" t="s">
        <v>44</v>
      </c>
      <c r="M43" s="5" t="s">
        <v>42</v>
      </c>
      <c r="N43" s="4" t="s">
        <v>45</v>
      </c>
      <c r="O43" s="4" t="s">
        <v>46</v>
      </c>
      <c r="P43" s="4" t="s">
        <v>187</v>
      </c>
      <c r="Q43" s="4">
        <v>16451.0</v>
      </c>
      <c r="R43" s="4" t="s">
        <v>302</v>
      </c>
      <c r="S43" s="8">
        <v>46161.0</v>
      </c>
      <c r="T43" s="9">
        <v>0.375</v>
      </c>
      <c r="U43" s="9">
        <v>0.9166666666666666</v>
      </c>
      <c r="V43" s="4" t="s">
        <v>49</v>
      </c>
      <c r="W43" s="5">
        <v>1.0</v>
      </c>
      <c r="X43" s="5" t="b">
        <v>1</v>
      </c>
      <c r="Y43" s="5" t="s">
        <v>189</v>
      </c>
      <c r="Z43" s="5" t="b">
        <v>0</v>
      </c>
      <c r="AA43" s="10"/>
      <c r="AB43" s="4">
        <v>1.0</v>
      </c>
      <c r="AC43" s="5" t="s">
        <v>303</v>
      </c>
      <c r="AD43" s="5">
        <v>0.0</v>
      </c>
      <c r="AE43" s="5">
        <v>1.0</v>
      </c>
      <c r="AF43" s="8">
        <v>46161.0</v>
      </c>
      <c r="AG43" s="9">
        <v>0.375</v>
      </c>
      <c r="AH43" s="9">
        <v>0.9166666666666666</v>
      </c>
      <c r="AI43" s="4" t="s">
        <v>49</v>
      </c>
      <c r="AJ43" s="5" t="s">
        <v>197</v>
      </c>
      <c r="AK43" s="12"/>
      <c r="AL43" s="12"/>
      <c r="AM43" s="12"/>
      <c r="AN43" s="12"/>
      <c r="AO43" s="12"/>
      <c r="AP43" s="12"/>
      <c r="AQ43" s="12"/>
    </row>
    <row r="44">
      <c r="A44" s="5" t="s">
        <v>304</v>
      </c>
      <c r="B44" s="5">
        <v>1.1398423E7</v>
      </c>
      <c r="C44" s="5" t="s">
        <v>37</v>
      </c>
      <c r="D44" s="5" t="s">
        <v>305</v>
      </c>
      <c r="E44" s="5" t="s">
        <v>39</v>
      </c>
      <c r="F44" s="4" t="s">
        <v>306</v>
      </c>
      <c r="G44" s="6">
        <v>6.28198E16</v>
      </c>
      <c r="H44" s="4" t="s">
        <v>307</v>
      </c>
      <c r="I44" s="5" t="s">
        <v>42</v>
      </c>
      <c r="J44" s="5" t="s">
        <v>43</v>
      </c>
      <c r="K44" s="5">
        <v>8.7733785699E10</v>
      </c>
      <c r="L44" s="4" t="s">
        <v>44</v>
      </c>
      <c r="M44" s="5" t="s">
        <v>42</v>
      </c>
      <c r="N44" s="4" t="s">
        <v>45</v>
      </c>
      <c r="O44" s="4" t="s">
        <v>46</v>
      </c>
      <c r="P44" s="4" t="s">
        <v>187</v>
      </c>
      <c r="Q44" s="4">
        <v>16451.0</v>
      </c>
      <c r="R44" s="4" t="s">
        <v>308</v>
      </c>
      <c r="S44" s="8">
        <v>46161.0</v>
      </c>
      <c r="T44" s="9">
        <v>0.375</v>
      </c>
      <c r="U44" s="9">
        <v>0.9166666666666666</v>
      </c>
      <c r="V44" s="4" t="s">
        <v>49</v>
      </c>
      <c r="W44" s="5">
        <v>1.0</v>
      </c>
      <c r="X44" s="5" t="b">
        <v>1</v>
      </c>
      <c r="Y44" s="5" t="s">
        <v>189</v>
      </c>
      <c r="Z44" s="5" t="b">
        <v>0</v>
      </c>
      <c r="AA44" s="10"/>
      <c r="AB44" s="4">
        <v>1.0</v>
      </c>
      <c r="AC44" s="5" t="s">
        <v>309</v>
      </c>
      <c r="AD44" s="5">
        <v>0.0</v>
      </c>
      <c r="AE44" s="5">
        <v>1.0</v>
      </c>
      <c r="AF44" s="8">
        <v>46161.0</v>
      </c>
      <c r="AG44" s="9">
        <v>0.375</v>
      </c>
      <c r="AH44" s="9">
        <v>0.9166666666666666</v>
      </c>
      <c r="AI44" s="4" t="s">
        <v>49</v>
      </c>
      <c r="AJ44" s="5" t="s">
        <v>197</v>
      </c>
      <c r="AK44" s="12"/>
      <c r="AL44" s="12"/>
      <c r="AM44" s="12"/>
      <c r="AN44" s="12"/>
      <c r="AO44" s="12"/>
      <c r="AP44" s="12"/>
      <c r="AQ44" s="12"/>
    </row>
    <row r="45">
      <c r="A45" s="5" t="s">
        <v>310</v>
      </c>
      <c r="B45" s="5">
        <v>1.1398423E7</v>
      </c>
      <c r="C45" s="5" t="s">
        <v>37</v>
      </c>
      <c r="D45" s="5" t="s">
        <v>311</v>
      </c>
      <c r="E45" s="5" t="s">
        <v>39</v>
      </c>
      <c r="F45" s="4" t="s">
        <v>312</v>
      </c>
      <c r="G45" s="4">
        <v>8.1311214281E10</v>
      </c>
      <c r="H45" s="4" t="s">
        <v>313</v>
      </c>
      <c r="I45" s="5" t="s">
        <v>42</v>
      </c>
      <c r="J45" s="5" t="s">
        <v>43</v>
      </c>
      <c r="K45" s="5">
        <v>8.7733785699E10</v>
      </c>
      <c r="L45" s="4" t="s">
        <v>44</v>
      </c>
      <c r="M45" s="5" t="s">
        <v>42</v>
      </c>
      <c r="N45" s="4" t="s">
        <v>45</v>
      </c>
      <c r="O45" s="4" t="s">
        <v>46</v>
      </c>
      <c r="P45" s="4" t="s">
        <v>187</v>
      </c>
      <c r="Q45" s="4">
        <v>16451.0</v>
      </c>
      <c r="R45" s="4" t="s">
        <v>314</v>
      </c>
      <c r="S45" s="8">
        <v>46161.0</v>
      </c>
      <c r="T45" s="9">
        <v>0.375</v>
      </c>
      <c r="U45" s="9">
        <v>0.9166666666666666</v>
      </c>
      <c r="V45" s="4" t="s">
        <v>49</v>
      </c>
      <c r="W45" s="5">
        <v>1.0</v>
      </c>
      <c r="X45" s="5" t="b">
        <v>1</v>
      </c>
      <c r="Y45" s="5" t="s">
        <v>189</v>
      </c>
      <c r="Z45" s="5" t="b">
        <v>0</v>
      </c>
      <c r="AA45" s="10"/>
      <c r="AB45" s="4">
        <v>1.0</v>
      </c>
      <c r="AC45" s="5" t="s">
        <v>315</v>
      </c>
      <c r="AD45" s="5">
        <v>0.0</v>
      </c>
      <c r="AE45" s="5">
        <v>1.0</v>
      </c>
      <c r="AF45" s="8">
        <v>46161.0</v>
      </c>
      <c r="AG45" s="9">
        <v>0.375</v>
      </c>
      <c r="AH45" s="9">
        <v>0.9166666666666666</v>
      </c>
      <c r="AI45" s="4" t="s">
        <v>49</v>
      </c>
      <c r="AJ45" s="5" t="s">
        <v>197</v>
      </c>
      <c r="AK45" s="12"/>
      <c r="AL45" s="12"/>
      <c r="AM45" s="12"/>
      <c r="AN45" s="12"/>
      <c r="AO45" s="12"/>
      <c r="AP45" s="12"/>
      <c r="AQ45" s="12"/>
    </row>
    <row r="46">
      <c r="A46" s="5" t="s">
        <v>316</v>
      </c>
      <c r="B46" s="5">
        <v>1.1398423E7</v>
      </c>
      <c r="C46" s="5" t="s">
        <v>37</v>
      </c>
      <c r="D46" s="5" t="s">
        <v>317</v>
      </c>
      <c r="E46" s="5" t="s">
        <v>39</v>
      </c>
      <c r="F46" s="4" t="s">
        <v>318</v>
      </c>
      <c r="G46" s="6">
        <v>2.18734133E8</v>
      </c>
      <c r="H46" s="4" t="s">
        <v>319</v>
      </c>
      <c r="I46" s="5" t="s">
        <v>42</v>
      </c>
      <c r="J46" s="5" t="s">
        <v>43</v>
      </c>
      <c r="K46" s="5">
        <v>8.7733785699E10</v>
      </c>
      <c r="L46" s="4" t="s">
        <v>44</v>
      </c>
      <c r="M46" s="5" t="s">
        <v>42</v>
      </c>
      <c r="N46" s="4" t="s">
        <v>45</v>
      </c>
      <c r="O46" s="4" t="s">
        <v>46</v>
      </c>
      <c r="P46" s="4" t="s">
        <v>187</v>
      </c>
      <c r="Q46" s="4">
        <v>16451.0</v>
      </c>
      <c r="R46" s="4" t="s">
        <v>320</v>
      </c>
      <c r="S46" s="8">
        <v>46161.0</v>
      </c>
      <c r="T46" s="9">
        <v>0.375</v>
      </c>
      <c r="U46" s="9">
        <v>0.9166666666666666</v>
      </c>
      <c r="V46" s="4" t="s">
        <v>49</v>
      </c>
      <c r="W46" s="5">
        <v>1.0</v>
      </c>
      <c r="X46" s="5" t="b">
        <v>1</v>
      </c>
      <c r="Y46" s="5" t="s">
        <v>189</v>
      </c>
      <c r="Z46" s="5" t="b">
        <v>0</v>
      </c>
      <c r="AA46" s="10"/>
      <c r="AB46" s="4">
        <v>1.0</v>
      </c>
      <c r="AC46" s="5" t="s">
        <v>321</v>
      </c>
      <c r="AD46" s="5">
        <v>0.0</v>
      </c>
      <c r="AE46" s="5">
        <v>1.0</v>
      </c>
      <c r="AF46" s="8">
        <v>46161.0</v>
      </c>
      <c r="AG46" s="9">
        <v>0.375</v>
      </c>
      <c r="AH46" s="9">
        <v>0.9166666666666666</v>
      </c>
      <c r="AI46" s="4" t="s">
        <v>49</v>
      </c>
      <c r="AJ46" s="5" t="s">
        <v>197</v>
      </c>
      <c r="AK46" s="12"/>
      <c r="AL46" s="12"/>
      <c r="AM46" s="12"/>
      <c r="AN46" s="12"/>
      <c r="AO46" s="12"/>
      <c r="AP46" s="12"/>
      <c r="AQ46" s="12"/>
    </row>
    <row r="47">
      <c r="A47" s="5" t="s">
        <v>322</v>
      </c>
      <c r="B47" s="5">
        <v>1.1398423E7</v>
      </c>
      <c r="C47" s="5" t="s">
        <v>37</v>
      </c>
      <c r="D47" s="5" t="s">
        <v>323</v>
      </c>
      <c r="E47" s="5" t="s">
        <v>39</v>
      </c>
      <c r="F47" s="4" t="s">
        <v>324</v>
      </c>
      <c r="G47" s="6">
        <v>6.28129E17</v>
      </c>
      <c r="H47" s="4" t="s">
        <v>325</v>
      </c>
      <c r="I47" s="5" t="s">
        <v>42</v>
      </c>
      <c r="J47" s="5" t="s">
        <v>43</v>
      </c>
      <c r="K47" s="5">
        <v>8.7733785699E10</v>
      </c>
      <c r="L47" s="4" t="s">
        <v>44</v>
      </c>
      <c r="M47" s="5" t="s">
        <v>42</v>
      </c>
      <c r="N47" s="4" t="s">
        <v>45</v>
      </c>
      <c r="O47" s="4" t="s">
        <v>46</v>
      </c>
      <c r="P47" s="4" t="s">
        <v>187</v>
      </c>
      <c r="Q47" s="4">
        <v>16451.0</v>
      </c>
      <c r="R47" s="4" t="s">
        <v>326</v>
      </c>
      <c r="S47" s="8">
        <v>46161.0</v>
      </c>
      <c r="T47" s="9">
        <v>0.375</v>
      </c>
      <c r="U47" s="9">
        <v>0.9166666666666666</v>
      </c>
      <c r="V47" s="4" t="s">
        <v>49</v>
      </c>
      <c r="W47" s="5">
        <v>1.0</v>
      </c>
      <c r="X47" s="5" t="b">
        <v>1</v>
      </c>
      <c r="Y47" s="5" t="s">
        <v>189</v>
      </c>
      <c r="Z47" s="5" t="b">
        <v>0</v>
      </c>
      <c r="AA47" s="10"/>
      <c r="AB47" s="4">
        <v>1.0</v>
      </c>
      <c r="AC47" s="5" t="s">
        <v>327</v>
      </c>
      <c r="AD47" s="5">
        <v>0.0</v>
      </c>
      <c r="AE47" s="5">
        <v>1.0</v>
      </c>
      <c r="AF47" s="8">
        <v>46161.0</v>
      </c>
      <c r="AG47" s="9">
        <v>0.375</v>
      </c>
      <c r="AH47" s="9">
        <v>0.9166666666666666</v>
      </c>
      <c r="AI47" s="4" t="s">
        <v>49</v>
      </c>
      <c r="AJ47" s="5" t="s">
        <v>197</v>
      </c>
      <c r="AK47" s="12"/>
      <c r="AL47" s="12"/>
      <c r="AM47" s="12"/>
      <c r="AN47" s="12"/>
      <c r="AO47" s="12"/>
      <c r="AP47" s="12"/>
      <c r="AQ47" s="12"/>
    </row>
    <row r="48">
      <c r="A48" s="5" t="s">
        <v>328</v>
      </c>
      <c r="B48" s="5">
        <v>1.1398423E7</v>
      </c>
      <c r="C48" s="5" t="s">
        <v>37</v>
      </c>
      <c r="D48" s="5" t="s">
        <v>329</v>
      </c>
      <c r="E48" s="5" t="s">
        <v>39</v>
      </c>
      <c r="F48" s="4" t="s">
        <v>330</v>
      </c>
      <c r="G48" s="6">
        <v>6.28138E17</v>
      </c>
      <c r="H48" s="4" t="s">
        <v>331</v>
      </c>
      <c r="I48" s="5" t="s">
        <v>42</v>
      </c>
      <c r="J48" s="5" t="s">
        <v>43</v>
      </c>
      <c r="K48" s="5">
        <v>8.7733785699E10</v>
      </c>
      <c r="L48" s="4" t="s">
        <v>44</v>
      </c>
      <c r="M48" s="5" t="s">
        <v>42</v>
      </c>
      <c r="N48" s="4" t="s">
        <v>45</v>
      </c>
      <c r="O48" s="4" t="s">
        <v>46</v>
      </c>
      <c r="P48" s="4" t="s">
        <v>187</v>
      </c>
      <c r="Q48" s="4">
        <v>16451.0</v>
      </c>
      <c r="R48" s="4" t="s">
        <v>332</v>
      </c>
      <c r="S48" s="8">
        <v>46161.0</v>
      </c>
      <c r="T48" s="9">
        <v>0.375</v>
      </c>
      <c r="U48" s="9">
        <v>0.9166666666666666</v>
      </c>
      <c r="V48" s="4" t="s">
        <v>49</v>
      </c>
      <c r="W48" s="5">
        <v>1.0</v>
      </c>
      <c r="X48" s="5" t="b">
        <v>1</v>
      </c>
      <c r="Y48" s="5" t="s">
        <v>189</v>
      </c>
      <c r="Z48" s="5" t="b">
        <v>0</v>
      </c>
      <c r="AA48" s="10"/>
      <c r="AB48" s="4">
        <v>1.0</v>
      </c>
      <c r="AC48" s="5" t="s">
        <v>333</v>
      </c>
      <c r="AD48" s="5">
        <v>0.0</v>
      </c>
      <c r="AE48" s="5">
        <v>1.0</v>
      </c>
      <c r="AF48" s="8">
        <v>46161.0</v>
      </c>
      <c r="AG48" s="9">
        <v>0.375</v>
      </c>
      <c r="AH48" s="9">
        <v>0.9166666666666666</v>
      </c>
      <c r="AI48" s="4" t="s">
        <v>49</v>
      </c>
      <c r="AJ48" s="5" t="s">
        <v>197</v>
      </c>
      <c r="AK48" s="12"/>
      <c r="AL48" s="12"/>
      <c r="AM48" s="12"/>
      <c r="AN48" s="12"/>
      <c r="AO48" s="12"/>
      <c r="AP48" s="12"/>
      <c r="AQ48" s="12"/>
    </row>
    <row r="49">
      <c r="A49" s="5" t="s">
        <v>334</v>
      </c>
      <c r="B49" s="5">
        <v>1.1398423E7</v>
      </c>
      <c r="C49" s="5" t="s">
        <v>37</v>
      </c>
      <c r="D49" s="5" t="s">
        <v>335</v>
      </c>
      <c r="E49" s="5" t="s">
        <v>39</v>
      </c>
      <c r="F49" s="4" t="s">
        <v>336</v>
      </c>
      <c r="G49" s="6">
        <v>6.28579E17</v>
      </c>
      <c r="H49" s="4" t="s">
        <v>337</v>
      </c>
      <c r="I49" s="5" t="s">
        <v>42</v>
      </c>
      <c r="J49" s="5" t="s">
        <v>43</v>
      </c>
      <c r="K49" s="5">
        <v>8.7733785699E10</v>
      </c>
      <c r="L49" s="4" t="s">
        <v>44</v>
      </c>
      <c r="M49" s="5" t="s">
        <v>42</v>
      </c>
      <c r="N49" s="4" t="s">
        <v>45</v>
      </c>
      <c r="O49" s="4" t="s">
        <v>46</v>
      </c>
      <c r="P49" s="4" t="s">
        <v>187</v>
      </c>
      <c r="Q49" s="4">
        <v>16451.0</v>
      </c>
      <c r="R49" s="4" t="s">
        <v>338</v>
      </c>
      <c r="S49" s="8">
        <v>46161.0</v>
      </c>
      <c r="T49" s="9">
        <v>0.375</v>
      </c>
      <c r="U49" s="9">
        <v>0.9166666666666666</v>
      </c>
      <c r="V49" s="4" t="s">
        <v>49</v>
      </c>
      <c r="W49" s="5">
        <v>1.0</v>
      </c>
      <c r="X49" s="5" t="b">
        <v>1</v>
      </c>
      <c r="Y49" s="5" t="s">
        <v>189</v>
      </c>
      <c r="Z49" s="5" t="b">
        <v>0</v>
      </c>
      <c r="AA49" s="10"/>
      <c r="AB49" s="4">
        <v>1.0</v>
      </c>
      <c r="AC49" s="5" t="s">
        <v>339</v>
      </c>
      <c r="AD49" s="5">
        <v>0.0</v>
      </c>
      <c r="AE49" s="5">
        <v>1.0</v>
      </c>
      <c r="AF49" s="8">
        <v>46161.0</v>
      </c>
      <c r="AG49" s="9">
        <v>0.375</v>
      </c>
      <c r="AH49" s="9">
        <v>0.9166666666666666</v>
      </c>
      <c r="AI49" s="4" t="s">
        <v>49</v>
      </c>
      <c r="AJ49" s="5" t="s">
        <v>197</v>
      </c>
      <c r="AK49" s="12"/>
      <c r="AL49" s="12"/>
      <c r="AM49" s="12"/>
      <c r="AN49" s="12"/>
      <c r="AO49" s="12"/>
      <c r="AP49" s="12"/>
      <c r="AQ49" s="12"/>
    </row>
    <row r="50">
      <c r="A50" s="5" t="s">
        <v>340</v>
      </c>
      <c r="B50" s="5">
        <v>1.1398423E7</v>
      </c>
      <c r="C50" s="5" t="s">
        <v>37</v>
      </c>
      <c r="D50" s="5" t="s">
        <v>341</v>
      </c>
      <c r="E50" s="5" t="s">
        <v>39</v>
      </c>
      <c r="F50" s="4" t="s">
        <v>342</v>
      </c>
      <c r="G50" s="4">
        <v>2.17520239E8</v>
      </c>
      <c r="H50" s="4" t="s">
        <v>343</v>
      </c>
      <c r="I50" s="5" t="s">
        <v>42</v>
      </c>
      <c r="J50" s="5" t="s">
        <v>43</v>
      </c>
      <c r="K50" s="5">
        <v>8.7733785699E10</v>
      </c>
      <c r="L50" s="4" t="s">
        <v>44</v>
      </c>
      <c r="M50" s="5" t="s">
        <v>42</v>
      </c>
      <c r="N50" s="4" t="s">
        <v>45</v>
      </c>
      <c r="O50" s="4" t="s">
        <v>46</v>
      </c>
      <c r="P50" s="4" t="s">
        <v>187</v>
      </c>
      <c r="Q50" s="4">
        <v>16451.0</v>
      </c>
      <c r="R50" s="4" t="s">
        <v>344</v>
      </c>
      <c r="S50" s="8">
        <v>46161.0</v>
      </c>
      <c r="T50" s="9">
        <v>0.375</v>
      </c>
      <c r="U50" s="9">
        <v>0.9166666666666666</v>
      </c>
      <c r="V50" s="4" t="s">
        <v>49</v>
      </c>
      <c r="W50" s="5">
        <v>1.0</v>
      </c>
      <c r="X50" s="5" t="b">
        <v>1</v>
      </c>
      <c r="Y50" s="5" t="s">
        <v>189</v>
      </c>
      <c r="Z50" s="5" t="b">
        <v>0</v>
      </c>
      <c r="AA50" s="10"/>
      <c r="AB50" s="4">
        <v>1.0</v>
      </c>
      <c r="AC50" s="5" t="s">
        <v>345</v>
      </c>
      <c r="AD50" s="5">
        <v>0.0</v>
      </c>
      <c r="AE50" s="5">
        <v>1.0</v>
      </c>
      <c r="AF50" s="8">
        <v>46161.0</v>
      </c>
      <c r="AG50" s="9">
        <v>0.375</v>
      </c>
      <c r="AH50" s="9">
        <v>0.9166666666666666</v>
      </c>
      <c r="AI50" s="4" t="s">
        <v>49</v>
      </c>
      <c r="AJ50" s="5" t="s">
        <v>197</v>
      </c>
      <c r="AK50" s="12"/>
      <c r="AL50" s="12"/>
      <c r="AM50" s="12"/>
      <c r="AN50" s="12"/>
      <c r="AO50" s="12"/>
      <c r="AP50" s="12"/>
      <c r="AQ50" s="12"/>
    </row>
    <row r="51">
      <c r="A51" s="5" t="s">
        <v>346</v>
      </c>
      <c r="B51" s="5">
        <v>1.1398423E7</v>
      </c>
      <c r="C51" s="5" t="s">
        <v>37</v>
      </c>
      <c r="D51" s="5" t="s">
        <v>347</v>
      </c>
      <c r="E51" s="5" t="s">
        <v>39</v>
      </c>
      <c r="F51" s="4" t="s">
        <v>348</v>
      </c>
      <c r="G51" s="4">
        <v>8.1319027459E10</v>
      </c>
      <c r="H51" s="4" t="s">
        <v>349</v>
      </c>
      <c r="I51" s="5" t="s">
        <v>42</v>
      </c>
      <c r="J51" s="5" t="s">
        <v>43</v>
      </c>
      <c r="K51" s="5">
        <v>8.7733785699E10</v>
      </c>
      <c r="L51" s="4" t="s">
        <v>44</v>
      </c>
      <c r="M51" s="5" t="s">
        <v>42</v>
      </c>
      <c r="N51" s="4" t="s">
        <v>45</v>
      </c>
      <c r="O51" s="4" t="s">
        <v>46</v>
      </c>
      <c r="P51" s="4" t="s">
        <v>187</v>
      </c>
      <c r="Q51" s="4">
        <v>16451.0</v>
      </c>
      <c r="R51" s="4" t="s">
        <v>350</v>
      </c>
      <c r="S51" s="8">
        <v>46161.0</v>
      </c>
      <c r="T51" s="9">
        <v>0.375</v>
      </c>
      <c r="U51" s="9">
        <v>0.9166666666666666</v>
      </c>
      <c r="V51" s="4" t="s">
        <v>49</v>
      </c>
      <c r="W51" s="5">
        <v>1.0</v>
      </c>
      <c r="X51" s="5" t="b">
        <v>1</v>
      </c>
      <c r="Y51" s="5" t="s">
        <v>189</v>
      </c>
      <c r="Z51" s="5" t="b">
        <v>0</v>
      </c>
      <c r="AA51" s="10"/>
      <c r="AB51" s="4">
        <v>1.0</v>
      </c>
      <c r="AC51" s="5" t="s">
        <v>351</v>
      </c>
      <c r="AD51" s="5">
        <v>0.0</v>
      </c>
      <c r="AE51" s="5">
        <v>1.0</v>
      </c>
      <c r="AF51" s="8">
        <v>46161.0</v>
      </c>
      <c r="AG51" s="9">
        <v>0.375</v>
      </c>
      <c r="AH51" s="9">
        <v>0.9166666666666666</v>
      </c>
      <c r="AI51" s="4" t="s">
        <v>49</v>
      </c>
      <c r="AJ51" s="5" t="s">
        <v>197</v>
      </c>
      <c r="AK51" s="12"/>
      <c r="AL51" s="12"/>
      <c r="AM51" s="12"/>
      <c r="AN51" s="12"/>
      <c r="AO51" s="12"/>
      <c r="AP51" s="12"/>
      <c r="AQ51" s="12"/>
    </row>
    <row r="52">
      <c r="A52" s="5" t="s">
        <v>352</v>
      </c>
      <c r="B52" s="5">
        <v>1.1398423E7</v>
      </c>
      <c r="C52" s="5" t="s">
        <v>37</v>
      </c>
      <c r="D52" s="5" t="s">
        <v>353</v>
      </c>
      <c r="E52" s="5" t="s">
        <v>39</v>
      </c>
      <c r="F52" s="4" t="s">
        <v>40</v>
      </c>
      <c r="G52" s="6">
        <v>6.28517E17</v>
      </c>
      <c r="H52" s="4" t="s">
        <v>41</v>
      </c>
      <c r="I52" s="5" t="s">
        <v>42</v>
      </c>
      <c r="J52" s="5" t="s">
        <v>43</v>
      </c>
      <c r="K52" s="5">
        <v>8.7733785699E10</v>
      </c>
      <c r="L52" s="4" t="s">
        <v>44</v>
      </c>
      <c r="M52" s="5" t="s">
        <v>42</v>
      </c>
      <c r="N52" s="4" t="s">
        <v>45</v>
      </c>
      <c r="O52" s="4" t="s">
        <v>46</v>
      </c>
      <c r="P52" s="4" t="s">
        <v>187</v>
      </c>
      <c r="Q52" s="4">
        <v>16451.0</v>
      </c>
      <c r="R52" s="4" t="s">
        <v>354</v>
      </c>
      <c r="S52" s="8">
        <v>46161.0</v>
      </c>
      <c r="T52" s="9">
        <v>0.375</v>
      </c>
      <c r="U52" s="9">
        <v>0.9166666666666666</v>
      </c>
      <c r="V52" s="4" t="s">
        <v>49</v>
      </c>
      <c r="W52" s="5">
        <v>1.0</v>
      </c>
      <c r="X52" s="5" t="b">
        <v>1</v>
      </c>
      <c r="Y52" s="5" t="s">
        <v>189</v>
      </c>
      <c r="Z52" s="5" t="b">
        <v>0</v>
      </c>
      <c r="AA52" s="10"/>
      <c r="AB52" s="4">
        <v>1.0</v>
      </c>
      <c r="AC52" s="5" t="s">
        <v>355</v>
      </c>
      <c r="AD52" s="5">
        <v>0.0</v>
      </c>
      <c r="AE52" s="5">
        <v>1.0</v>
      </c>
      <c r="AF52" s="8">
        <v>46161.0</v>
      </c>
      <c r="AG52" s="9">
        <v>0.375</v>
      </c>
      <c r="AH52" s="9">
        <v>0.9166666666666666</v>
      </c>
      <c r="AI52" s="4" t="s">
        <v>49</v>
      </c>
      <c r="AJ52" s="5" t="s">
        <v>197</v>
      </c>
      <c r="AK52" s="12"/>
      <c r="AL52" s="12"/>
      <c r="AM52" s="12"/>
      <c r="AN52" s="12"/>
      <c r="AO52" s="12"/>
      <c r="AP52" s="12"/>
      <c r="AQ52" s="12"/>
    </row>
    <row r="53">
      <c r="A53" s="5" t="s">
        <v>356</v>
      </c>
      <c r="B53" s="5">
        <v>1.1398423E7</v>
      </c>
      <c r="C53" s="5" t="s">
        <v>37</v>
      </c>
      <c r="D53" s="5" t="s">
        <v>357</v>
      </c>
      <c r="E53" s="5" t="s">
        <v>39</v>
      </c>
      <c r="F53" s="4" t="s">
        <v>358</v>
      </c>
      <c r="G53" s="6">
        <v>6.28783E17</v>
      </c>
      <c r="H53" s="4" t="s">
        <v>359</v>
      </c>
      <c r="I53" s="5" t="s">
        <v>42</v>
      </c>
      <c r="J53" s="5" t="s">
        <v>43</v>
      </c>
      <c r="K53" s="5">
        <v>8.7733785699E10</v>
      </c>
      <c r="L53" s="4" t="s">
        <v>44</v>
      </c>
      <c r="M53" s="5" t="s">
        <v>42</v>
      </c>
      <c r="N53" s="4" t="s">
        <v>45</v>
      </c>
      <c r="O53" s="4" t="s">
        <v>46</v>
      </c>
      <c r="P53" s="4" t="s">
        <v>187</v>
      </c>
      <c r="Q53" s="4">
        <v>16451.0</v>
      </c>
      <c r="R53" s="4" t="s">
        <v>360</v>
      </c>
      <c r="S53" s="8">
        <v>46161.0</v>
      </c>
      <c r="T53" s="9">
        <v>0.375</v>
      </c>
      <c r="U53" s="9">
        <v>0.9166666666666666</v>
      </c>
      <c r="V53" s="4" t="s">
        <v>49</v>
      </c>
      <c r="W53" s="5">
        <v>1.0</v>
      </c>
      <c r="X53" s="5" t="b">
        <v>1</v>
      </c>
      <c r="Y53" s="5" t="s">
        <v>189</v>
      </c>
      <c r="Z53" s="5" t="b">
        <v>0</v>
      </c>
      <c r="AA53" s="10"/>
      <c r="AB53" s="4">
        <v>1.0</v>
      </c>
      <c r="AC53" s="5" t="s">
        <v>361</v>
      </c>
      <c r="AD53" s="5">
        <v>0.0</v>
      </c>
      <c r="AE53" s="5">
        <v>1.0</v>
      </c>
      <c r="AF53" s="8">
        <v>46161.0</v>
      </c>
      <c r="AG53" s="9">
        <v>0.375</v>
      </c>
      <c r="AH53" s="9">
        <v>0.9166666666666666</v>
      </c>
      <c r="AI53" s="4" t="s">
        <v>49</v>
      </c>
      <c r="AJ53" s="5" t="s">
        <v>197</v>
      </c>
      <c r="AK53" s="12"/>
      <c r="AL53" s="12"/>
      <c r="AM53" s="12"/>
      <c r="AN53" s="12"/>
      <c r="AO53" s="12"/>
      <c r="AP53" s="12"/>
      <c r="AQ53" s="12"/>
    </row>
    <row r="54">
      <c r="A54" s="5" t="s">
        <v>362</v>
      </c>
      <c r="B54" s="5">
        <v>1.1398423E7</v>
      </c>
      <c r="C54" s="5" t="s">
        <v>37</v>
      </c>
      <c r="D54" s="5" t="s">
        <v>363</v>
      </c>
      <c r="E54" s="5" t="s">
        <v>39</v>
      </c>
      <c r="F54" s="4" t="s">
        <v>364</v>
      </c>
      <c r="G54" s="6">
        <v>6.28177E16</v>
      </c>
      <c r="H54" s="4" t="s">
        <v>365</v>
      </c>
      <c r="I54" s="5" t="s">
        <v>42</v>
      </c>
      <c r="J54" s="5" t="s">
        <v>43</v>
      </c>
      <c r="K54" s="5">
        <v>8.7733785699E10</v>
      </c>
      <c r="L54" s="4" t="s">
        <v>44</v>
      </c>
      <c r="M54" s="5" t="s">
        <v>42</v>
      </c>
      <c r="N54" s="4" t="s">
        <v>45</v>
      </c>
      <c r="O54" s="4" t="s">
        <v>46</v>
      </c>
      <c r="P54" s="4" t="s">
        <v>187</v>
      </c>
      <c r="Q54" s="4">
        <v>16451.0</v>
      </c>
      <c r="R54" s="4" t="s">
        <v>366</v>
      </c>
      <c r="S54" s="8">
        <v>46161.0</v>
      </c>
      <c r="T54" s="9">
        <v>0.375</v>
      </c>
      <c r="U54" s="9">
        <v>0.9166666666666666</v>
      </c>
      <c r="V54" s="4" t="s">
        <v>49</v>
      </c>
      <c r="W54" s="5">
        <v>1.0</v>
      </c>
      <c r="X54" s="5" t="b">
        <v>1</v>
      </c>
      <c r="Y54" s="5" t="s">
        <v>189</v>
      </c>
      <c r="Z54" s="5" t="b">
        <v>0</v>
      </c>
      <c r="AA54" s="10"/>
      <c r="AB54" s="4">
        <v>1.0</v>
      </c>
      <c r="AC54" s="5" t="s">
        <v>367</v>
      </c>
      <c r="AD54" s="5">
        <v>0.0</v>
      </c>
      <c r="AE54" s="5">
        <v>1.0</v>
      </c>
      <c r="AF54" s="8">
        <v>46161.0</v>
      </c>
      <c r="AG54" s="9">
        <v>0.375</v>
      </c>
      <c r="AH54" s="9">
        <v>0.9166666666666666</v>
      </c>
      <c r="AI54" s="4" t="s">
        <v>49</v>
      </c>
      <c r="AJ54" s="5" t="s">
        <v>197</v>
      </c>
      <c r="AK54" s="12"/>
      <c r="AL54" s="12"/>
      <c r="AM54" s="12"/>
      <c r="AN54" s="12"/>
      <c r="AO54" s="12"/>
      <c r="AP54" s="12"/>
      <c r="AQ54" s="12"/>
    </row>
    <row r="55">
      <c r="A55" s="5" t="s">
        <v>368</v>
      </c>
      <c r="B55" s="5">
        <v>1.1398423E7</v>
      </c>
      <c r="C55" s="5" t="s">
        <v>37</v>
      </c>
      <c r="D55" s="5" t="s">
        <v>369</v>
      </c>
      <c r="E55" s="5" t="s">
        <v>39</v>
      </c>
      <c r="F55" s="4" t="s">
        <v>370</v>
      </c>
      <c r="G55" s="4">
        <v>2.177833109E9</v>
      </c>
      <c r="H55" s="4" t="s">
        <v>371</v>
      </c>
      <c r="I55" s="5" t="s">
        <v>42</v>
      </c>
      <c r="J55" s="5" t="s">
        <v>43</v>
      </c>
      <c r="K55" s="5">
        <v>8.7733785699E10</v>
      </c>
      <c r="L55" s="4" t="s">
        <v>44</v>
      </c>
      <c r="M55" s="5" t="s">
        <v>42</v>
      </c>
      <c r="N55" s="4" t="s">
        <v>45</v>
      </c>
      <c r="O55" s="4" t="s">
        <v>46</v>
      </c>
      <c r="P55" s="4" t="s">
        <v>187</v>
      </c>
      <c r="Q55" s="4">
        <v>16451.0</v>
      </c>
      <c r="R55" s="4" t="s">
        <v>372</v>
      </c>
      <c r="S55" s="8">
        <v>46161.0</v>
      </c>
      <c r="T55" s="9">
        <v>0.375</v>
      </c>
      <c r="U55" s="9">
        <v>0.9166666666666666</v>
      </c>
      <c r="V55" s="4" t="s">
        <v>49</v>
      </c>
      <c r="W55" s="5">
        <v>1.0</v>
      </c>
      <c r="X55" s="5" t="b">
        <v>1</v>
      </c>
      <c r="Y55" s="5" t="s">
        <v>189</v>
      </c>
      <c r="Z55" s="5" t="b">
        <v>0</v>
      </c>
      <c r="AA55" s="10"/>
      <c r="AB55" s="4">
        <v>1.0</v>
      </c>
      <c r="AC55" s="5" t="s">
        <v>373</v>
      </c>
      <c r="AD55" s="5">
        <v>0.0</v>
      </c>
      <c r="AE55" s="5">
        <v>1.0</v>
      </c>
      <c r="AF55" s="8">
        <v>46161.0</v>
      </c>
      <c r="AG55" s="9">
        <v>0.375</v>
      </c>
      <c r="AH55" s="9">
        <v>0.9166666666666666</v>
      </c>
      <c r="AI55" s="4" t="s">
        <v>49</v>
      </c>
      <c r="AJ55" s="5" t="s">
        <v>197</v>
      </c>
      <c r="AK55" s="12"/>
      <c r="AL55" s="12"/>
      <c r="AM55" s="12"/>
      <c r="AN55" s="12"/>
      <c r="AO55" s="12"/>
      <c r="AP55" s="12"/>
      <c r="AQ55" s="12"/>
    </row>
    <row r="56">
      <c r="A56" s="5" t="s">
        <v>374</v>
      </c>
      <c r="B56" s="5">
        <v>1.1398423E7</v>
      </c>
      <c r="C56" s="5" t="s">
        <v>37</v>
      </c>
      <c r="D56" s="5" t="s">
        <v>375</v>
      </c>
      <c r="E56" s="5" t="s">
        <v>39</v>
      </c>
      <c r="F56" s="4" t="s">
        <v>376</v>
      </c>
      <c r="G56" s="4">
        <v>8.121925699E9</v>
      </c>
      <c r="H56" s="4" t="s">
        <v>377</v>
      </c>
      <c r="I56" s="5" t="s">
        <v>42</v>
      </c>
      <c r="J56" s="5" t="s">
        <v>43</v>
      </c>
      <c r="K56" s="5">
        <v>8.7733785699E10</v>
      </c>
      <c r="L56" s="4" t="s">
        <v>44</v>
      </c>
      <c r="M56" s="5" t="s">
        <v>42</v>
      </c>
      <c r="N56" s="4" t="s">
        <v>45</v>
      </c>
      <c r="O56" s="4" t="s">
        <v>46</v>
      </c>
      <c r="P56" s="4" t="s">
        <v>187</v>
      </c>
      <c r="Q56" s="4">
        <v>16451.0</v>
      </c>
      <c r="R56" s="4" t="s">
        <v>378</v>
      </c>
      <c r="S56" s="8">
        <v>46161.0</v>
      </c>
      <c r="T56" s="9">
        <v>0.375</v>
      </c>
      <c r="U56" s="9">
        <v>0.9166666666666666</v>
      </c>
      <c r="V56" s="4" t="s">
        <v>49</v>
      </c>
      <c r="W56" s="5">
        <v>1.0</v>
      </c>
      <c r="X56" s="5" t="b">
        <v>1</v>
      </c>
      <c r="Y56" s="5" t="s">
        <v>189</v>
      </c>
      <c r="Z56" s="5" t="b">
        <v>0</v>
      </c>
      <c r="AA56" s="10"/>
      <c r="AB56" s="4">
        <v>1.0</v>
      </c>
      <c r="AC56" s="5" t="s">
        <v>379</v>
      </c>
      <c r="AD56" s="5">
        <v>0.0</v>
      </c>
      <c r="AE56" s="5">
        <v>1.0</v>
      </c>
      <c r="AF56" s="8">
        <v>46161.0</v>
      </c>
      <c r="AG56" s="9">
        <v>0.375</v>
      </c>
      <c r="AH56" s="9">
        <v>0.9166666666666666</v>
      </c>
      <c r="AI56" s="4" t="s">
        <v>49</v>
      </c>
      <c r="AJ56" s="5" t="s">
        <v>197</v>
      </c>
      <c r="AK56" s="12"/>
      <c r="AL56" s="12"/>
      <c r="AM56" s="12"/>
      <c r="AN56" s="12"/>
      <c r="AO56" s="12"/>
      <c r="AP56" s="12"/>
      <c r="AQ56" s="12"/>
    </row>
    <row r="57">
      <c r="A57" s="5" t="s">
        <v>380</v>
      </c>
      <c r="B57" s="5">
        <v>1.1398423E7</v>
      </c>
      <c r="C57" s="5" t="s">
        <v>37</v>
      </c>
      <c r="D57" s="5" t="s">
        <v>381</v>
      </c>
      <c r="E57" s="5" t="s">
        <v>39</v>
      </c>
      <c r="F57" s="4" t="s">
        <v>149</v>
      </c>
      <c r="G57" s="6">
        <v>6.28228E17</v>
      </c>
      <c r="H57" s="4" t="s">
        <v>150</v>
      </c>
      <c r="I57" s="5" t="s">
        <v>42</v>
      </c>
      <c r="J57" s="5" t="s">
        <v>43</v>
      </c>
      <c r="K57" s="5">
        <v>8.7733785699E10</v>
      </c>
      <c r="L57" s="4" t="s">
        <v>44</v>
      </c>
      <c r="M57" s="5" t="s">
        <v>42</v>
      </c>
      <c r="N57" s="4" t="s">
        <v>45</v>
      </c>
      <c r="O57" s="4" t="s">
        <v>46</v>
      </c>
      <c r="P57" s="4" t="s">
        <v>187</v>
      </c>
      <c r="Q57" s="4">
        <v>16451.0</v>
      </c>
      <c r="R57" s="4" t="s">
        <v>382</v>
      </c>
      <c r="S57" s="8">
        <v>46161.0</v>
      </c>
      <c r="T57" s="9">
        <v>0.375</v>
      </c>
      <c r="U57" s="9">
        <v>0.9166666666666666</v>
      </c>
      <c r="V57" s="4" t="s">
        <v>49</v>
      </c>
      <c r="W57" s="5">
        <v>1.0</v>
      </c>
      <c r="X57" s="5" t="b">
        <v>1</v>
      </c>
      <c r="Y57" s="5" t="s">
        <v>189</v>
      </c>
      <c r="Z57" s="5" t="b">
        <v>0</v>
      </c>
      <c r="AA57" s="10"/>
      <c r="AB57" s="4">
        <v>1.0</v>
      </c>
      <c r="AC57" s="5" t="s">
        <v>383</v>
      </c>
      <c r="AD57" s="5">
        <v>0.0</v>
      </c>
      <c r="AE57" s="5">
        <v>1.0</v>
      </c>
      <c r="AF57" s="8">
        <v>46161.0</v>
      </c>
      <c r="AG57" s="9">
        <v>0.375</v>
      </c>
      <c r="AH57" s="9">
        <v>0.9166666666666666</v>
      </c>
      <c r="AI57" s="4" t="s">
        <v>49</v>
      </c>
      <c r="AJ57" s="5" t="s">
        <v>197</v>
      </c>
      <c r="AK57" s="12"/>
      <c r="AL57" s="12"/>
      <c r="AM57" s="12"/>
      <c r="AN57" s="12"/>
      <c r="AO57" s="12"/>
      <c r="AP57" s="12"/>
      <c r="AQ57" s="12"/>
    </row>
    <row r="58">
      <c r="A58" s="5" t="s">
        <v>384</v>
      </c>
      <c r="B58" s="5">
        <v>1.1398423E7</v>
      </c>
      <c r="C58" s="5" t="s">
        <v>37</v>
      </c>
      <c r="D58" s="5" t="s">
        <v>385</v>
      </c>
      <c r="E58" s="5" t="s">
        <v>39</v>
      </c>
      <c r="F58" s="4" t="s">
        <v>386</v>
      </c>
      <c r="G58" s="6">
        <v>6.28177E16</v>
      </c>
      <c r="H58" s="4" t="s">
        <v>387</v>
      </c>
      <c r="I58" s="5" t="s">
        <v>42</v>
      </c>
      <c r="J58" s="5" t="s">
        <v>43</v>
      </c>
      <c r="K58" s="5">
        <v>8.7733785699E10</v>
      </c>
      <c r="L58" s="4" t="s">
        <v>44</v>
      </c>
      <c r="M58" s="5" t="s">
        <v>42</v>
      </c>
      <c r="N58" s="4" t="s">
        <v>45</v>
      </c>
      <c r="O58" s="4" t="s">
        <v>46</v>
      </c>
      <c r="P58" s="4" t="s">
        <v>187</v>
      </c>
      <c r="Q58" s="4">
        <v>16451.0</v>
      </c>
      <c r="R58" s="4" t="s">
        <v>388</v>
      </c>
      <c r="S58" s="8">
        <v>46161.0</v>
      </c>
      <c r="T58" s="9">
        <v>0.375</v>
      </c>
      <c r="U58" s="9">
        <v>0.9166666666666666</v>
      </c>
      <c r="V58" s="4" t="s">
        <v>49</v>
      </c>
      <c r="W58" s="5">
        <v>1.0</v>
      </c>
      <c r="X58" s="5" t="b">
        <v>1</v>
      </c>
      <c r="Y58" s="5" t="s">
        <v>189</v>
      </c>
      <c r="Z58" s="5" t="b">
        <v>0</v>
      </c>
      <c r="AA58" s="10"/>
      <c r="AB58" s="4">
        <v>1.0</v>
      </c>
      <c r="AC58" s="5" t="s">
        <v>389</v>
      </c>
      <c r="AD58" s="5">
        <v>0.0</v>
      </c>
      <c r="AE58" s="5">
        <v>1.0</v>
      </c>
      <c r="AF58" s="8">
        <v>46161.0</v>
      </c>
      <c r="AG58" s="9">
        <v>0.375</v>
      </c>
      <c r="AH58" s="9">
        <v>0.9166666666666666</v>
      </c>
      <c r="AI58" s="4" t="s">
        <v>49</v>
      </c>
      <c r="AJ58" s="5" t="s">
        <v>197</v>
      </c>
      <c r="AK58" s="12"/>
      <c r="AL58" s="12"/>
      <c r="AM58" s="12"/>
      <c r="AN58" s="12"/>
      <c r="AO58" s="12"/>
      <c r="AP58" s="12"/>
      <c r="AQ58" s="12"/>
    </row>
    <row r="59">
      <c r="A59" s="5" t="s">
        <v>390</v>
      </c>
      <c r="B59" s="5">
        <v>1.1398423E7</v>
      </c>
      <c r="C59" s="5" t="s">
        <v>37</v>
      </c>
      <c r="D59" s="5" t="s">
        <v>391</v>
      </c>
      <c r="E59" s="5" t="s">
        <v>39</v>
      </c>
      <c r="F59" s="4" t="s">
        <v>392</v>
      </c>
      <c r="G59" s="4">
        <v>8.118161089E9</v>
      </c>
      <c r="H59" s="4" t="s">
        <v>393</v>
      </c>
      <c r="I59" s="5" t="s">
        <v>42</v>
      </c>
      <c r="J59" s="5" t="s">
        <v>43</v>
      </c>
      <c r="K59" s="5">
        <v>8.7733785699E10</v>
      </c>
      <c r="L59" s="4" t="s">
        <v>44</v>
      </c>
      <c r="M59" s="5" t="s">
        <v>42</v>
      </c>
      <c r="N59" s="4" t="s">
        <v>45</v>
      </c>
      <c r="O59" s="4" t="s">
        <v>46</v>
      </c>
      <c r="P59" s="4" t="s">
        <v>187</v>
      </c>
      <c r="Q59" s="4">
        <v>16451.0</v>
      </c>
      <c r="R59" s="4" t="s">
        <v>394</v>
      </c>
      <c r="S59" s="8">
        <v>46161.0</v>
      </c>
      <c r="T59" s="9">
        <v>0.375</v>
      </c>
      <c r="U59" s="9">
        <v>0.9166666666666666</v>
      </c>
      <c r="V59" s="4" t="s">
        <v>49</v>
      </c>
      <c r="W59" s="5">
        <v>1.0</v>
      </c>
      <c r="X59" s="5" t="b">
        <v>1</v>
      </c>
      <c r="Y59" s="5" t="s">
        <v>189</v>
      </c>
      <c r="Z59" s="5" t="b">
        <v>0</v>
      </c>
      <c r="AA59" s="10"/>
      <c r="AB59" s="4">
        <v>1.0</v>
      </c>
      <c r="AC59" s="5" t="s">
        <v>395</v>
      </c>
      <c r="AD59" s="5">
        <v>0.0</v>
      </c>
      <c r="AE59" s="5">
        <v>1.0</v>
      </c>
      <c r="AF59" s="8">
        <v>46161.0</v>
      </c>
      <c r="AG59" s="9">
        <v>0.375</v>
      </c>
      <c r="AH59" s="9">
        <v>0.9166666666666666</v>
      </c>
      <c r="AI59" s="4" t="s">
        <v>49</v>
      </c>
      <c r="AJ59" s="5" t="s">
        <v>197</v>
      </c>
      <c r="AK59" s="12"/>
      <c r="AL59" s="12"/>
      <c r="AM59" s="12"/>
      <c r="AN59" s="12"/>
      <c r="AO59" s="12"/>
      <c r="AP59" s="12"/>
      <c r="AQ59" s="12"/>
    </row>
    <row r="60">
      <c r="A60" s="5" t="s">
        <v>396</v>
      </c>
      <c r="B60" s="5">
        <v>1.1398423E7</v>
      </c>
      <c r="C60" s="5" t="s">
        <v>37</v>
      </c>
      <c r="D60" s="5" t="s">
        <v>397</v>
      </c>
      <c r="E60" s="5" t="s">
        <v>39</v>
      </c>
      <c r="F60" s="4" t="s">
        <v>398</v>
      </c>
      <c r="G60" s="6">
        <v>6.28588E17</v>
      </c>
      <c r="H60" s="4" t="s">
        <v>399</v>
      </c>
      <c r="I60" s="5" t="s">
        <v>42</v>
      </c>
      <c r="J60" s="5" t="s">
        <v>43</v>
      </c>
      <c r="K60" s="5">
        <v>8.7733785699E10</v>
      </c>
      <c r="L60" s="4" t="s">
        <v>44</v>
      </c>
      <c r="M60" s="5" t="s">
        <v>42</v>
      </c>
      <c r="N60" s="4" t="s">
        <v>45</v>
      </c>
      <c r="O60" s="4" t="s">
        <v>46</v>
      </c>
      <c r="P60" s="4" t="s">
        <v>187</v>
      </c>
      <c r="Q60" s="4">
        <v>16451.0</v>
      </c>
      <c r="R60" s="4" t="s">
        <v>400</v>
      </c>
      <c r="S60" s="8">
        <v>46161.0</v>
      </c>
      <c r="T60" s="9">
        <v>0.375</v>
      </c>
      <c r="U60" s="9">
        <v>0.9166666666666666</v>
      </c>
      <c r="V60" s="4" t="s">
        <v>49</v>
      </c>
      <c r="W60" s="5">
        <v>1.0</v>
      </c>
      <c r="X60" s="5" t="b">
        <v>1</v>
      </c>
      <c r="Y60" s="5" t="s">
        <v>189</v>
      </c>
      <c r="Z60" s="5" t="b">
        <v>0</v>
      </c>
      <c r="AA60" s="10"/>
      <c r="AB60" s="4">
        <v>1.0</v>
      </c>
      <c r="AC60" s="5" t="s">
        <v>401</v>
      </c>
      <c r="AD60" s="5">
        <v>0.0</v>
      </c>
      <c r="AE60" s="5">
        <v>1.0</v>
      </c>
      <c r="AF60" s="8">
        <v>46161.0</v>
      </c>
      <c r="AG60" s="9">
        <v>0.375</v>
      </c>
      <c r="AH60" s="9">
        <v>0.9166666666666666</v>
      </c>
      <c r="AI60" s="4" t="s">
        <v>49</v>
      </c>
      <c r="AJ60" s="5" t="s">
        <v>197</v>
      </c>
      <c r="AK60" s="12"/>
      <c r="AL60" s="12"/>
      <c r="AM60" s="12"/>
      <c r="AN60" s="12"/>
      <c r="AO60" s="12"/>
      <c r="AP60" s="12"/>
      <c r="AQ60" s="12"/>
    </row>
    <row r="61">
      <c r="A61" s="5" t="s">
        <v>402</v>
      </c>
      <c r="B61" s="5">
        <v>1.1398423E7</v>
      </c>
      <c r="C61" s="5" t="s">
        <v>37</v>
      </c>
      <c r="D61" s="5" t="s">
        <v>403</v>
      </c>
      <c r="E61" s="5" t="s">
        <v>39</v>
      </c>
      <c r="F61" s="4" t="s">
        <v>404</v>
      </c>
      <c r="G61" s="6">
        <v>6.2814E16</v>
      </c>
      <c r="H61" s="4" t="s">
        <v>405</v>
      </c>
      <c r="I61" s="5" t="s">
        <v>42</v>
      </c>
      <c r="J61" s="5" t="s">
        <v>43</v>
      </c>
      <c r="K61" s="5">
        <v>8.7733785699E10</v>
      </c>
      <c r="L61" s="4" t="s">
        <v>44</v>
      </c>
      <c r="M61" s="5" t="s">
        <v>42</v>
      </c>
      <c r="N61" s="4" t="s">
        <v>45</v>
      </c>
      <c r="O61" s="4" t="s">
        <v>46</v>
      </c>
      <c r="P61" s="4" t="s">
        <v>187</v>
      </c>
      <c r="Q61" s="4">
        <v>16451.0</v>
      </c>
      <c r="R61" s="4" t="s">
        <v>406</v>
      </c>
      <c r="S61" s="8">
        <v>46161.0</v>
      </c>
      <c r="T61" s="9">
        <v>0.375</v>
      </c>
      <c r="U61" s="9">
        <v>0.9166666666666666</v>
      </c>
      <c r="V61" s="4" t="s">
        <v>49</v>
      </c>
      <c r="W61" s="5">
        <v>1.0</v>
      </c>
      <c r="X61" s="5" t="b">
        <v>1</v>
      </c>
      <c r="Y61" s="5" t="s">
        <v>189</v>
      </c>
      <c r="Z61" s="5" t="b">
        <v>0</v>
      </c>
      <c r="AA61" s="10"/>
      <c r="AB61" s="4">
        <v>1.0</v>
      </c>
      <c r="AC61" s="5" t="s">
        <v>407</v>
      </c>
      <c r="AD61" s="5">
        <v>0.0</v>
      </c>
      <c r="AE61" s="5">
        <v>1.0</v>
      </c>
      <c r="AF61" s="8">
        <v>46161.0</v>
      </c>
      <c r="AG61" s="9">
        <v>0.375</v>
      </c>
      <c r="AH61" s="9">
        <v>0.9166666666666666</v>
      </c>
      <c r="AI61" s="4" t="s">
        <v>49</v>
      </c>
      <c r="AJ61" s="5" t="s">
        <v>197</v>
      </c>
      <c r="AK61" s="12"/>
      <c r="AL61" s="12"/>
      <c r="AM61" s="12"/>
      <c r="AN61" s="12"/>
      <c r="AO61" s="12"/>
      <c r="AP61" s="12"/>
      <c r="AQ61" s="12"/>
    </row>
    <row r="62">
      <c r="A62" s="5" t="s">
        <v>408</v>
      </c>
      <c r="B62" s="5">
        <v>1.1398423E7</v>
      </c>
      <c r="C62" s="5" t="s">
        <v>37</v>
      </c>
      <c r="D62" s="5" t="s">
        <v>409</v>
      </c>
      <c r="E62" s="5" t="s">
        <v>39</v>
      </c>
      <c r="F62" s="4" t="s">
        <v>410</v>
      </c>
      <c r="G62" s="4">
        <v>2.187745671E9</v>
      </c>
      <c r="H62" s="4" t="s">
        <v>411</v>
      </c>
      <c r="I62" s="5" t="s">
        <v>42</v>
      </c>
      <c r="J62" s="5" t="s">
        <v>43</v>
      </c>
      <c r="K62" s="5">
        <v>8.7733785699E10</v>
      </c>
      <c r="L62" s="4" t="s">
        <v>44</v>
      </c>
      <c r="M62" s="5" t="s">
        <v>42</v>
      </c>
      <c r="N62" s="4" t="s">
        <v>45</v>
      </c>
      <c r="O62" s="4" t="s">
        <v>46</v>
      </c>
      <c r="P62" s="4" t="s">
        <v>187</v>
      </c>
      <c r="Q62" s="4">
        <v>16451.0</v>
      </c>
      <c r="R62" s="4" t="s">
        <v>412</v>
      </c>
      <c r="S62" s="8">
        <v>46161.0</v>
      </c>
      <c r="T62" s="9">
        <v>0.375</v>
      </c>
      <c r="U62" s="9">
        <v>0.9166666666666666</v>
      </c>
      <c r="V62" s="4" t="s">
        <v>49</v>
      </c>
      <c r="W62" s="5">
        <v>1.0</v>
      </c>
      <c r="X62" s="5" t="b">
        <v>1</v>
      </c>
      <c r="Y62" s="5" t="s">
        <v>189</v>
      </c>
      <c r="Z62" s="5" t="b">
        <v>0</v>
      </c>
      <c r="AA62" s="10"/>
      <c r="AB62" s="4">
        <v>1.0</v>
      </c>
      <c r="AC62" s="5" t="s">
        <v>413</v>
      </c>
      <c r="AD62" s="5">
        <v>0.0</v>
      </c>
      <c r="AE62" s="5">
        <v>1.0</v>
      </c>
      <c r="AF62" s="8">
        <v>46161.0</v>
      </c>
      <c r="AG62" s="9">
        <v>0.375</v>
      </c>
      <c r="AH62" s="9">
        <v>0.9166666666666666</v>
      </c>
      <c r="AI62" s="4" t="s">
        <v>49</v>
      </c>
      <c r="AJ62" s="5" t="s">
        <v>197</v>
      </c>
      <c r="AK62" s="12"/>
      <c r="AL62" s="12"/>
      <c r="AM62" s="12"/>
      <c r="AN62" s="12"/>
      <c r="AO62" s="12"/>
      <c r="AP62" s="12"/>
      <c r="AQ62" s="12"/>
    </row>
    <row r="63">
      <c r="A63" s="5" t="s">
        <v>414</v>
      </c>
      <c r="B63" s="5">
        <v>1.1398423E7</v>
      </c>
      <c r="C63" s="5" t="s">
        <v>37</v>
      </c>
      <c r="D63" s="5" t="s">
        <v>415</v>
      </c>
      <c r="E63" s="5" t="s">
        <v>39</v>
      </c>
      <c r="F63" s="4" t="s">
        <v>416</v>
      </c>
      <c r="G63" s="4">
        <v>8.7773506955E10</v>
      </c>
      <c r="H63" s="4" t="s">
        <v>417</v>
      </c>
      <c r="I63" s="5" t="s">
        <v>42</v>
      </c>
      <c r="J63" s="5" t="s">
        <v>43</v>
      </c>
      <c r="K63" s="5">
        <v>8.7733785699E10</v>
      </c>
      <c r="L63" s="4" t="s">
        <v>44</v>
      </c>
      <c r="M63" s="5" t="s">
        <v>42</v>
      </c>
      <c r="N63" s="4" t="s">
        <v>45</v>
      </c>
      <c r="O63" s="4" t="s">
        <v>46</v>
      </c>
      <c r="P63" s="4" t="s">
        <v>187</v>
      </c>
      <c r="Q63" s="4">
        <v>16451.0</v>
      </c>
      <c r="R63" s="4" t="s">
        <v>418</v>
      </c>
      <c r="S63" s="8">
        <v>46161.0</v>
      </c>
      <c r="T63" s="9">
        <v>0.375</v>
      </c>
      <c r="U63" s="9">
        <v>0.9166666666666666</v>
      </c>
      <c r="V63" s="4" t="s">
        <v>49</v>
      </c>
      <c r="W63" s="5">
        <v>1.0</v>
      </c>
      <c r="X63" s="5" t="b">
        <v>1</v>
      </c>
      <c r="Y63" s="5" t="s">
        <v>189</v>
      </c>
      <c r="Z63" s="5" t="b">
        <v>0</v>
      </c>
      <c r="AA63" s="10"/>
      <c r="AB63" s="4">
        <v>1.0</v>
      </c>
      <c r="AC63" s="5" t="s">
        <v>419</v>
      </c>
      <c r="AD63" s="5">
        <v>0.0</v>
      </c>
      <c r="AE63" s="5">
        <v>1.0</v>
      </c>
      <c r="AF63" s="8">
        <v>46161.0</v>
      </c>
      <c r="AG63" s="9">
        <v>0.375</v>
      </c>
      <c r="AH63" s="9">
        <v>0.9166666666666666</v>
      </c>
      <c r="AI63" s="4" t="s">
        <v>49</v>
      </c>
      <c r="AJ63" s="5" t="s">
        <v>197</v>
      </c>
      <c r="AK63" s="12"/>
      <c r="AL63" s="12"/>
      <c r="AM63" s="12"/>
      <c r="AN63" s="12"/>
      <c r="AO63" s="12"/>
      <c r="AP63" s="12"/>
      <c r="AQ63" s="12"/>
    </row>
    <row r="64">
      <c r="A64" s="5" t="s">
        <v>420</v>
      </c>
      <c r="B64" s="5">
        <v>1.1398423E7</v>
      </c>
      <c r="C64" s="5" t="s">
        <v>37</v>
      </c>
      <c r="D64" s="5" t="s">
        <v>421</v>
      </c>
      <c r="E64" s="5" t="s">
        <v>39</v>
      </c>
      <c r="F64" s="4" t="s">
        <v>422</v>
      </c>
      <c r="G64" s="4">
        <v>8.128117428E9</v>
      </c>
      <c r="H64" s="4" t="s">
        <v>423</v>
      </c>
      <c r="I64" s="5" t="s">
        <v>42</v>
      </c>
      <c r="J64" s="5" t="s">
        <v>43</v>
      </c>
      <c r="K64" s="5">
        <v>8.7733785699E10</v>
      </c>
      <c r="L64" s="4" t="s">
        <v>44</v>
      </c>
      <c r="M64" s="5" t="s">
        <v>42</v>
      </c>
      <c r="N64" s="4" t="s">
        <v>45</v>
      </c>
      <c r="O64" s="4" t="s">
        <v>46</v>
      </c>
      <c r="P64" s="4" t="s">
        <v>187</v>
      </c>
      <c r="Q64" s="4">
        <v>16451.0</v>
      </c>
      <c r="R64" s="4" t="s">
        <v>424</v>
      </c>
      <c r="S64" s="8">
        <v>46161.0</v>
      </c>
      <c r="T64" s="9">
        <v>0.375</v>
      </c>
      <c r="U64" s="9">
        <v>0.9166666666666666</v>
      </c>
      <c r="V64" s="4" t="s">
        <v>49</v>
      </c>
      <c r="W64" s="5">
        <v>1.0</v>
      </c>
      <c r="X64" s="5" t="b">
        <v>1</v>
      </c>
      <c r="Y64" s="5" t="s">
        <v>189</v>
      </c>
      <c r="Z64" s="5" t="b">
        <v>0</v>
      </c>
      <c r="AA64" s="10"/>
      <c r="AB64" s="4">
        <v>1.0</v>
      </c>
      <c r="AC64" s="5" t="s">
        <v>425</v>
      </c>
      <c r="AD64" s="5">
        <v>0.0</v>
      </c>
      <c r="AE64" s="5">
        <v>1.0</v>
      </c>
      <c r="AF64" s="8">
        <v>46161.0</v>
      </c>
      <c r="AG64" s="9">
        <v>0.375</v>
      </c>
      <c r="AH64" s="9">
        <v>0.9166666666666666</v>
      </c>
      <c r="AI64" s="4" t="s">
        <v>49</v>
      </c>
      <c r="AJ64" s="5" t="s">
        <v>197</v>
      </c>
      <c r="AK64" s="12"/>
      <c r="AL64" s="12"/>
      <c r="AM64" s="12"/>
      <c r="AN64" s="12"/>
      <c r="AO64" s="12"/>
      <c r="AP64" s="12"/>
      <c r="AQ64" s="12"/>
    </row>
    <row r="65">
      <c r="A65" s="5" t="s">
        <v>426</v>
      </c>
      <c r="B65" s="5">
        <v>1.1398423E7</v>
      </c>
      <c r="C65" s="5" t="s">
        <v>37</v>
      </c>
      <c r="D65" s="5" t="s">
        <v>427</v>
      </c>
      <c r="E65" s="5" t="s">
        <v>39</v>
      </c>
      <c r="F65" s="4" t="s">
        <v>143</v>
      </c>
      <c r="G65" s="6">
        <v>6.28954E18</v>
      </c>
      <c r="H65" s="4" t="s">
        <v>144</v>
      </c>
      <c r="I65" s="5" t="s">
        <v>42</v>
      </c>
      <c r="J65" s="5" t="s">
        <v>43</v>
      </c>
      <c r="K65" s="5">
        <v>8.7733785699E10</v>
      </c>
      <c r="L65" s="4" t="s">
        <v>44</v>
      </c>
      <c r="M65" s="5" t="s">
        <v>42</v>
      </c>
      <c r="N65" s="4" t="s">
        <v>45</v>
      </c>
      <c r="O65" s="4" t="s">
        <v>46</v>
      </c>
      <c r="P65" s="4" t="s">
        <v>187</v>
      </c>
      <c r="Q65" s="4">
        <v>16451.0</v>
      </c>
      <c r="R65" s="4" t="s">
        <v>428</v>
      </c>
      <c r="S65" s="8">
        <v>46161.0</v>
      </c>
      <c r="T65" s="9">
        <v>0.375</v>
      </c>
      <c r="U65" s="9">
        <v>0.9166666666666666</v>
      </c>
      <c r="V65" s="4" t="s">
        <v>49</v>
      </c>
      <c r="W65" s="5">
        <v>1.0</v>
      </c>
      <c r="X65" s="5" t="b">
        <v>1</v>
      </c>
      <c r="Y65" s="5" t="s">
        <v>189</v>
      </c>
      <c r="Z65" s="5" t="b">
        <v>0</v>
      </c>
      <c r="AA65" s="10"/>
      <c r="AB65" s="4">
        <v>1.0</v>
      </c>
      <c r="AC65" s="5" t="s">
        <v>429</v>
      </c>
      <c r="AD65" s="5">
        <v>0.0</v>
      </c>
      <c r="AE65" s="5">
        <v>1.0</v>
      </c>
      <c r="AF65" s="8">
        <v>46161.0</v>
      </c>
      <c r="AG65" s="9">
        <v>0.375</v>
      </c>
      <c r="AH65" s="9">
        <v>0.9166666666666666</v>
      </c>
      <c r="AI65" s="4" t="s">
        <v>49</v>
      </c>
      <c r="AJ65" s="5" t="s">
        <v>197</v>
      </c>
      <c r="AK65" s="12"/>
      <c r="AL65" s="12"/>
      <c r="AM65" s="12"/>
      <c r="AN65" s="12"/>
      <c r="AO65" s="12"/>
      <c r="AP65" s="12"/>
      <c r="AQ65" s="12"/>
    </row>
    <row r="66">
      <c r="A66" s="5" t="s">
        <v>430</v>
      </c>
      <c r="B66" s="5">
        <v>1.1398423E7</v>
      </c>
      <c r="C66" s="5" t="s">
        <v>37</v>
      </c>
      <c r="D66" s="5" t="s">
        <v>431</v>
      </c>
      <c r="E66" s="5" t="s">
        <v>39</v>
      </c>
      <c r="F66" s="4" t="s">
        <v>432</v>
      </c>
      <c r="G66" s="6">
        <v>6.28521E17</v>
      </c>
      <c r="H66" s="4" t="s">
        <v>433</v>
      </c>
      <c r="I66" s="5" t="s">
        <v>42</v>
      </c>
      <c r="J66" s="5" t="s">
        <v>43</v>
      </c>
      <c r="K66" s="5">
        <v>8.7733785699E10</v>
      </c>
      <c r="L66" s="4" t="s">
        <v>44</v>
      </c>
      <c r="M66" s="5" t="s">
        <v>42</v>
      </c>
      <c r="N66" s="4" t="s">
        <v>45</v>
      </c>
      <c r="O66" s="4" t="s">
        <v>46</v>
      </c>
      <c r="P66" s="4" t="s">
        <v>187</v>
      </c>
      <c r="Q66" s="4">
        <v>16451.0</v>
      </c>
      <c r="R66" s="4" t="s">
        <v>434</v>
      </c>
      <c r="S66" s="8">
        <v>46161.0</v>
      </c>
      <c r="T66" s="9">
        <v>0.375</v>
      </c>
      <c r="U66" s="9">
        <v>0.9166666666666666</v>
      </c>
      <c r="V66" s="4" t="s">
        <v>49</v>
      </c>
      <c r="W66" s="5">
        <v>1.0</v>
      </c>
      <c r="X66" s="5" t="b">
        <v>1</v>
      </c>
      <c r="Y66" s="5" t="s">
        <v>189</v>
      </c>
      <c r="Z66" s="5" t="b">
        <v>0</v>
      </c>
      <c r="AA66" s="10"/>
      <c r="AB66" s="4">
        <v>1.0</v>
      </c>
      <c r="AC66" s="5" t="s">
        <v>435</v>
      </c>
      <c r="AD66" s="5">
        <v>0.0</v>
      </c>
      <c r="AE66" s="5">
        <v>1.0</v>
      </c>
      <c r="AF66" s="8">
        <v>46161.0</v>
      </c>
      <c r="AG66" s="9">
        <v>0.375</v>
      </c>
      <c r="AH66" s="9">
        <v>0.9166666666666666</v>
      </c>
      <c r="AI66" s="4" t="s">
        <v>49</v>
      </c>
      <c r="AJ66" s="5" t="s">
        <v>197</v>
      </c>
      <c r="AK66" s="12"/>
      <c r="AL66" s="12"/>
      <c r="AM66" s="12"/>
      <c r="AN66" s="12"/>
      <c r="AO66" s="12"/>
      <c r="AP66" s="12"/>
      <c r="AQ66" s="12"/>
    </row>
    <row r="67">
      <c r="A67" s="5" t="s">
        <v>436</v>
      </c>
      <c r="B67" s="5">
        <v>1.1398423E7</v>
      </c>
      <c r="C67" s="5" t="s">
        <v>37</v>
      </c>
      <c r="D67" s="5" t="s">
        <v>437</v>
      </c>
      <c r="E67" s="5" t="s">
        <v>39</v>
      </c>
      <c r="F67" s="4" t="s">
        <v>438</v>
      </c>
      <c r="G67" s="6">
        <v>6.28528E17</v>
      </c>
      <c r="H67" s="4" t="s">
        <v>439</v>
      </c>
      <c r="I67" s="5" t="s">
        <v>42</v>
      </c>
      <c r="J67" s="5" t="s">
        <v>43</v>
      </c>
      <c r="K67" s="5">
        <v>8.7733785699E10</v>
      </c>
      <c r="L67" s="4" t="s">
        <v>44</v>
      </c>
      <c r="M67" s="5" t="s">
        <v>42</v>
      </c>
      <c r="N67" s="4" t="s">
        <v>45</v>
      </c>
      <c r="O67" s="4" t="s">
        <v>46</v>
      </c>
      <c r="P67" s="4" t="s">
        <v>187</v>
      </c>
      <c r="Q67" s="4">
        <v>16451.0</v>
      </c>
      <c r="R67" s="4" t="s">
        <v>440</v>
      </c>
      <c r="S67" s="8">
        <v>46161.0</v>
      </c>
      <c r="T67" s="9">
        <v>0.375</v>
      </c>
      <c r="U67" s="9">
        <v>0.9166666666666666</v>
      </c>
      <c r="V67" s="4" t="s">
        <v>49</v>
      </c>
      <c r="W67" s="5">
        <v>1.0</v>
      </c>
      <c r="X67" s="5" t="b">
        <v>1</v>
      </c>
      <c r="Y67" s="5" t="s">
        <v>189</v>
      </c>
      <c r="Z67" s="5" t="b">
        <v>0</v>
      </c>
      <c r="AA67" s="10"/>
      <c r="AB67" s="4">
        <v>1.0</v>
      </c>
      <c r="AC67" s="5" t="s">
        <v>441</v>
      </c>
      <c r="AD67" s="5">
        <v>0.0</v>
      </c>
      <c r="AE67" s="5">
        <v>1.0</v>
      </c>
      <c r="AF67" s="8">
        <v>46161.0</v>
      </c>
      <c r="AG67" s="9">
        <v>0.375</v>
      </c>
      <c r="AH67" s="9">
        <v>0.9166666666666666</v>
      </c>
      <c r="AI67" s="4" t="s">
        <v>49</v>
      </c>
      <c r="AJ67" s="5" t="s">
        <v>197</v>
      </c>
      <c r="AK67" s="12"/>
      <c r="AL67" s="12"/>
      <c r="AM67" s="12"/>
      <c r="AN67" s="12"/>
      <c r="AO67" s="12"/>
      <c r="AP67" s="12"/>
      <c r="AQ67" s="12"/>
    </row>
    <row r="68">
      <c r="A68" s="5" t="s">
        <v>442</v>
      </c>
      <c r="B68" s="5">
        <v>1.1398423E7</v>
      </c>
      <c r="C68" s="5" t="s">
        <v>37</v>
      </c>
      <c r="D68" s="5" t="s">
        <v>443</v>
      </c>
      <c r="E68" s="5" t="s">
        <v>39</v>
      </c>
      <c r="F68" s="4" t="s">
        <v>444</v>
      </c>
      <c r="G68" s="4">
        <v>8.5280814705E10</v>
      </c>
      <c r="H68" s="4" t="s">
        <v>445</v>
      </c>
      <c r="I68" s="5" t="s">
        <v>42</v>
      </c>
      <c r="J68" s="5" t="s">
        <v>43</v>
      </c>
      <c r="K68" s="5">
        <v>8.7733785699E10</v>
      </c>
      <c r="L68" s="4" t="s">
        <v>44</v>
      </c>
      <c r="M68" s="5" t="s">
        <v>42</v>
      </c>
      <c r="N68" s="4" t="s">
        <v>45</v>
      </c>
      <c r="O68" s="4" t="s">
        <v>46</v>
      </c>
      <c r="P68" s="4" t="s">
        <v>187</v>
      </c>
      <c r="Q68" s="4">
        <v>16451.0</v>
      </c>
      <c r="R68" s="4" t="s">
        <v>446</v>
      </c>
      <c r="S68" s="8">
        <v>46161.0</v>
      </c>
      <c r="T68" s="9">
        <v>0.375</v>
      </c>
      <c r="U68" s="9">
        <v>0.9166666666666666</v>
      </c>
      <c r="V68" s="4" t="s">
        <v>49</v>
      </c>
      <c r="W68" s="5">
        <v>1.0</v>
      </c>
      <c r="X68" s="5" t="b">
        <v>1</v>
      </c>
      <c r="Y68" s="5" t="s">
        <v>189</v>
      </c>
      <c r="Z68" s="5" t="b">
        <v>0</v>
      </c>
      <c r="AA68" s="10"/>
      <c r="AB68" s="4">
        <v>1.0</v>
      </c>
      <c r="AC68" s="5" t="s">
        <v>447</v>
      </c>
      <c r="AD68" s="5">
        <v>0.0</v>
      </c>
      <c r="AE68" s="5">
        <v>1.0</v>
      </c>
      <c r="AF68" s="8">
        <v>46161.0</v>
      </c>
      <c r="AG68" s="9">
        <v>0.375</v>
      </c>
      <c r="AH68" s="9">
        <v>0.9166666666666666</v>
      </c>
      <c r="AI68" s="4" t="s">
        <v>49</v>
      </c>
      <c r="AJ68" s="5" t="s">
        <v>197</v>
      </c>
      <c r="AK68" s="12"/>
      <c r="AL68" s="12"/>
      <c r="AM68" s="12"/>
      <c r="AN68" s="12"/>
      <c r="AO68" s="12"/>
      <c r="AP68" s="12"/>
      <c r="AQ68" s="12"/>
    </row>
    <row r="69">
      <c r="A69" s="5" t="s">
        <v>448</v>
      </c>
      <c r="B69" s="5">
        <v>1.1398423E7</v>
      </c>
      <c r="C69" s="5" t="s">
        <v>37</v>
      </c>
      <c r="D69" s="5" t="s">
        <v>449</v>
      </c>
      <c r="E69" s="5" t="s">
        <v>39</v>
      </c>
      <c r="F69" s="4" t="s">
        <v>450</v>
      </c>
      <c r="G69" s="6">
        <v>6.28954E18</v>
      </c>
      <c r="H69" s="4" t="s">
        <v>451</v>
      </c>
      <c r="I69" s="5" t="s">
        <v>42</v>
      </c>
      <c r="J69" s="5" t="s">
        <v>43</v>
      </c>
      <c r="K69" s="5">
        <v>8.7733785699E10</v>
      </c>
      <c r="L69" s="4" t="s">
        <v>44</v>
      </c>
      <c r="M69" s="5" t="s">
        <v>42</v>
      </c>
      <c r="N69" s="4" t="s">
        <v>45</v>
      </c>
      <c r="O69" s="4" t="s">
        <v>46</v>
      </c>
      <c r="P69" s="4" t="s">
        <v>187</v>
      </c>
      <c r="Q69" s="4">
        <v>16451.0</v>
      </c>
      <c r="R69" s="4" t="s">
        <v>452</v>
      </c>
      <c r="S69" s="8">
        <v>46161.0</v>
      </c>
      <c r="T69" s="9">
        <v>0.375</v>
      </c>
      <c r="U69" s="9">
        <v>0.9166666666666666</v>
      </c>
      <c r="V69" s="4" t="s">
        <v>49</v>
      </c>
      <c r="W69" s="5">
        <v>1.0</v>
      </c>
      <c r="X69" s="5" t="b">
        <v>1</v>
      </c>
      <c r="Y69" s="5" t="s">
        <v>189</v>
      </c>
      <c r="Z69" s="5" t="b">
        <v>0</v>
      </c>
      <c r="AA69" s="10"/>
      <c r="AB69" s="4">
        <v>1.0</v>
      </c>
      <c r="AC69" s="5" t="s">
        <v>453</v>
      </c>
      <c r="AD69" s="5">
        <v>0.0</v>
      </c>
      <c r="AE69" s="5">
        <v>1.0</v>
      </c>
      <c r="AF69" s="8">
        <v>46161.0</v>
      </c>
      <c r="AG69" s="9">
        <v>0.375</v>
      </c>
      <c r="AH69" s="9">
        <v>0.9166666666666666</v>
      </c>
      <c r="AI69" s="4" t="s">
        <v>49</v>
      </c>
      <c r="AJ69" s="5" t="s">
        <v>197</v>
      </c>
      <c r="AK69" s="12"/>
      <c r="AL69" s="12"/>
      <c r="AM69" s="12"/>
      <c r="AN69" s="12"/>
      <c r="AO69" s="12"/>
      <c r="AP69" s="12"/>
      <c r="AQ69" s="12"/>
    </row>
    <row r="70">
      <c r="A70" s="5" t="s">
        <v>454</v>
      </c>
      <c r="B70" s="5">
        <v>1.1398423E7</v>
      </c>
      <c r="C70" s="5" t="s">
        <v>37</v>
      </c>
      <c r="D70" s="5" t="s">
        <v>455</v>
      </c>
      <c r="E70" s="5" t="s">
        <v>39</v>
      </c>
      <c r="F70" s="4" t="s">
        <v>456</v>
      </c>
      <c r="G70" s="4">
        <v>8.1595709E9</v>
      </c>
      <c r="H70" s="4" t="s">
        <v>457</v>
      </c>
      <c r="I70" s="5" t="s">
        <v>42</v>
      </c>
      <c r="J70" s="5" t="s">
        <v>43</v>
      </c>
      <c r="K70" s="5">
        <v>8.7733785699E10</v>
      </c>
      <c r="L70" s="4" t="s">
        <v>44</v>
      </c>
      <c r="M70" s="5" t="s">
        <v>42</v>
      </c>
      <c r="N70" s="4" t="s">
        <v>45</v>
      </c>
      <c r="O70" s="4" t="s">
        <v>46</v>
      </c>
      <c r="P70" s="4" t="s">
        <v>187</v>
      </c>
      <c r="Q70" s="4">
        <v>16451.0</v>
      </c>
      <c r="R70" s="4" t="s">
        <v>458</v>
      </c>
      <c r="S70" s="8">
        <v>46161.0</v>
      </c>
      <c r="T70" s="9">
        <v>0.375</v>
      </c>
      <c r="U70" s="9">
        <v>0.9166666666666666</v>
      </c>
      <c r="V70" s="4" t="s">
        <v>49</v>
      </c>
      <c r="W70" s="5">
        <v>1.0</v>
      </c>
      <c r="X70" s="5" t="b">
        <v>1</v>
      </c>
      <c r="Y70" s="5" t="s">
        <v>189</v>
      </c>
      <c r="Z70" s="5" t="b">
        <v>0</v>
      </c>
      <c r="AA70" s="10"/>
      <c r="AB70" s="4">
        <v>1.0</v>
      </c>
      <c r="AC70" s="5" t="s">
        <v>459</v>
      </c>
      <c r="AD70" s="5">
        <v>0.0</v>
      </c>
      <c r="AE70" s="5">
        <v>1.0</v>
      </c>
      <c r="AF70" s="8">
        <v>46161.0</v>
      </c>
      <c r="AG70" s="9">
        <v>0.375</v>
      </c>
      <c r="AH70" s="9">
        <v>0.9166666666666666</v>
      </c>
      <c r="AI70" s="4" t="s">
        <v>49</v>
      </c>
      <c r="AJ70" s="5" t="s">
        <v>197</v>
      </c>
      <c r="AK70" s="12"/>
      <c r="AL70" s="12"/>
      <c r="AM70" s="12"/>
      <c r="AN70" s="12"/>
      <c r="AO70" s="12"/>
      <c r="AP70" s="12"/>
      <c r="AQ70" s="12"/>
    </row>
    <row r="71">
      <c r="A71" s="5" t="s">
        <v>460</v>
      </c>
      <c r="B71" s="5">
        <v>1.1398423E7</v>
      </c>
      <c r="C71" s="5" t="s">
        <v>37</v>
      </c>
      <c r="D71" s="5" t="s">
        <v>461</v>
      </c>
      <c r="E71" s="5" t="s">
        <v>39</v>
      </c>
      <c r="F71" s="4" t="s">
        <v>462</v>
      </c>
      <c r="G71" s="6">
        <v>6.28122E17</v>
      </c>
      <c r="H71" s="4" t="s">
        <v>463</v>
      </c>
      <c r="I71" s="5" t="s">
        <v>42</v>
      </c>
      <c r="J71" s="5" t="s">
        <v>43</v>
      </c>
      <c r="K71" s="5">
        <v>8.7733785699E10</v>
      </c>
      <c r="L71" s="4" t="s">
        <v>44</v>
      </c>
      <c r="M71" s="5" t="s">
        <v>42</v>
      </c>
      <c r="N71" s="4" t="s">
        <v>45</v>
      </c>
      <c r="O71" s="4" t="s">
        <v>46</v>
      </c>
      <c r="P71" s="4" t="s">
        <v>187</v>
      </c>
      <c r="Q71" s="4">
        <v>16451.0</v>
      </c>
      <c r="R71" s="4" t="s">
        <v>464</v>
      </c>
      <c r="S71" s="8">
        <v>46161.0</v>
      </c>
      <c r="T71" s="9">
        <v>0.375</v>
      </c>
      <c r="U71" s="9">
        <v>0.9166666666666666</v>
      </c>
      <c r="V71" s="4" t="s">
        <v>49</v>
      </c>
      <c r="W71" s="5">
        <v>1.0</v>
      </c>
      <c r="X71" s="5" t="b">
        <v>1</v>
      </c>
      <c r="Y71" s="5" t="s">
        <v>189</v>
      </c>
      <c r="Z71" s="5" t="b">
        <v>0</v>
      </c>
      <c r="AA71" s="10"/>
      <c r="AB71" s="4">
        <v>1.0</v>
      </c>
      <c r="AC71" s="5" t="s">
        <v>465</v>
      </c>
      <c r="AD71" s="5">
        <v>0.0</v>
      </c>
      <c r="AE71" s="5">
        <v>1.0</v>
      </c>
      <c r="AF71" s="8">
        <v>46161.0</v>
      </c>
      <c r="AG71" s="9">
        <v>0.375</v>
      </c>
      <c r="AH71" s="9">
        <v>0.9166666666666666</v>
      </c>
      <c r="AI71" s="4" t="s">
        <v>49</v>
      </c>
      <c r="AJ71" s="5" t="s">
        <v>197</v>
      </c>
      <c r="AK71" s="12"/>
      <c r="AL71" s="12"/>
      <c r="AM71" s="12"/>
      <c r="AN71" s="12"/>
      <c r="AO71" s="12"/>
      <c r="AP71" s="12"/>
      <c r="AQ71" s="12"/>
    </row>
    <row r="72">
      <c r="A72" s="5" t="s">
        <v>466</v>
      </c>
      <c r="B72" s="5">
        <v>1.1398423E7</v>
      </c>
      <c r="C72" s="5" t="s">
        <v>37</v>
      </c>
      <c r="D72" s="5" t="s">
        <v>467</v>
      </c>
      <c r="E72" s="5" t="s">
        <v>39</v>
      </c>
      <c r="F72" s="4" t="s">
        <v>468</v>
      </c>
      <c r="G72" s="4">
        <v>8.212560271E10</v>
      </c>
      <c r="H72" s="4" t="s">
        <v>469</v>
      </c>
      <c r="I72" s="5" t="s">
        <v>42</v>
      </c>
      <c r="J72" s="5" t="s">
        <v>43</v>
      </c>
      <c r="K72" s="5">
        <v>8.7733785699E10</v>
      </c>
      <c r="L72" s="4" t="s">
        <v>44</v>
      </c>
      <c r="M72" s="5" t="s">
        <v>42</v>
      </c>
      <c r="N72" s="4" t="s">
        <v>45</v>
      </c>
      <c r="O72" s="4" t="s">
        <v>46</v>
      </c>
      <c r="P72" s="4" t="s">
        <v>187</v>
      </c>
      <c r="Q72" s="4">
        <v>16451.0</v>
      </c>
      <c r="R72" s="4" t="s">
        <v>470</v>
      </c>
      <c r="S72" s="8">
        <v>46161.0</v>
      </c>
      <c r="T72" s="9">
        <v>0.375</v>
      </c>
      <c r="U72" s="9">
        <v>0.9166666666666666</v>
      </c>
      <c r="V72" s="4" t="s">
        <v>49</v>
      </c>
      <c r="W72" s="5">
        <v>1.0</v>
      </c>
      <c r="X72" s="5" t="b">
        <v>1</v>
      </c>
      <c r="Y72" s="5" t="s">
        <v>189</v>
      </c>
      <c r="Z72" s="5" t="b">
        <v>0</v>
      </c>
      <c r="AA72" s="10"/>
      <c r="AB72" s="4">
        <v>1.0</v>
      </c>
      <c r="AC72" s="5" t="s">
        <v>471</v>
      </c>
      <c r="AD72" s="5">
        <v>0.0</v>
      </c>
      <c r="AE72" s="5">
        <v>1.0</v>
      </c>
      <c r="AF72" s="8">
        <v>46161.0</v>
      </c>
      <c r="AG72" s="9">
        <v>0.375</v>
      </c>
      <c r="AH72" s="9">
        <v>0.9166666666666666</v>
      </c>
      <c r="AI72" s="4" t="s">
        <v>49</v>
      </c>
      <c r="AJ72" s="5" t="s">
        <v>197</v>
      </c>
      <c r="AK72" s="12"/>
      <c r="AL72" s="12"/>
      <c r="AM72" s="12"/>
      <c r="AN72" s="12"/>
      <c r="AO72" s="12"/>
      <c r="AP72" s="12"/>
      <c r="AQ72" s="12"/>
    </row>
    <row r="73">
      <c r="A73" s="5" t="s">
        <v>472</v>
      </c>
      <c r="B73" s="5">
        <v>1.1398423E7</v>
      </c>
      <c r="C73" s="5" t="s">
        <v>37</v>
      </c>
      <c r="D73" s="5" t="s">
        <v>473</v>
      </c>
      <c r="E73" s="5" t="s">
        <v>39</v>
      </c>
      <c r="F73" s="4" t="s">
        <v>474</v>
      </c>
      <c r="G73" s="4">
        <v>8.1314522941E10</v>
      </c>
      <c r="H73" s="4" t="s">
        <v>475</v>
      </c>
      <c r="I73" s="5" t="s">
        <v>42</v>
      </c>
      <c r="J73" s="5" t="s">
        <v>43</v>
      </c>
      <c r="K73" s="5">
        <v>8.7733785699E10</v>
      </c>
      <c r="L73" s="4" t="s">
        <v>44</v>
      </c>
      <c r="M73" s="5" t="s">
        <v>42</v>
      </c>
      <c r="N73" s="4" t="s">
        <v>45</v>
      </c>
      <c r="O73" s="4" t="s">
        <v>46</v>
      </c>
      <c r="P73" s="4" t="s">
        <v>187</v>
      </c>
      <c r="Q73" s="4">
        <v>16451.0</v>
      </c>
      <c r="R73" s="4" t="s">
        <v>476</v>
      </c>
      <c r="S73" s="8">
        <v>46161.0</v>
      </c>
      <c r="T73" s="9">
        <v>0.375</v>
      </c>
      <c r="U73" s="9">
        <v>0.9166666666666666</v>
      </c>
      <c r="V73" s="4" t="s">
        <v>49</v>
      </c>
      <c r="W73" s="5">
        <v>1.0</v>
      </c>
      <c r="X73" s="5" t="b">
        <v>1</v>
      </c>
      <c r="Y73" s="5" t="s">
        <v>189</v>
      </c>
      <c r="Z73" s="5" t="b">
        <v>0</v>
      </c>
      <c r="AA73" s="10"/>
      <c r="AB73" s="4">
        <v>1.0</v>
      </c>
      <c r="AC73" s="5" t="s">
        <v>477</v>
      </c>
      <c r="AD73" s="5">
        <v>0.0</v>
      </c>
      <c r="AE73" s="5">
        <v>1.0</v>
      </c>
      <c r="AF73" s="8">
        <v>46161.0</v>
      </c>
      <c r="AG73" s="9">
        <v>0.375</v>
      </c>
      <c r="AH73" s="9">
        <v>0.9166666666666666</v>
      </c>
      <c r="AI73" s="4" t="s">
        <v>49</v>
      </c>
      <c r="AJ73" s="5" t="s">
        <v>197</v>
      </c>
      <c r="AK73" s="12"/>
      <c r="AL73" s="12"/>
      <c r="AM73" s="12"/>
      <c r="AN73" s="12"/>
      <c r="AO73" s="12"/>
      <c r="AP73" s="12"/>
      <c r="AQ73" s="12"/>
    </row>
    <row r="74">
      <c r="A74" s="5" t="s">
        <v>478</v>
      </c>
      <c r="B74" s="5">
        <v>1.1398423E7</v>
      </c>
      <c r="C74" s="5" t="s">
        <v>37</v>
      </c>
      <c r="D74" s="5" t="s">
        <v>479</v>
      </c>
      <c r="E74" s="5" t="s">
        <v>39</v>
      </c>
      <c r="F74" s="4" t="s">
        <v>480</v>
      </c>
      <c r="G74" s="4">
        <v>8.17764E8</v>
      </c>
      <c r="H74" s="4" t="s">
        <v>481</v>
      </c>
      <c r="I74" s="5" t="s">
        <v>42</v>
      </c>
      <c r="J74" s="5" t="s">
        <v>43</v>
      </c>
      <c r="K74" s="5">
        <v>8.7733785699E10</v>
      </c>
      <c r="L74" s="4" t="s">
        <v>44</v>
      </c>
      <c r="M74" s="5" t="s">
        <v>42</v>
      </c>
      <c r="N74" s="4" t="s">
        <v>45</v>
      </c>
      <c r="O74" s="4" t="s">
        <v>46</v>
      </c>
      <c r="P74" s="4" t="s">
        <v>187</v>
      </c>
      <c r="Q74" s="4">
        <v>16451.0</v>
      </c>
      <c r="R74" s="4" t="s">
        <v>482</v>
      </c>
      <c r="S74" s="8">
        <v>46161.0</v>
      </c>
      <c r="T74" s="9">
        <v>0.375</v>
      </c>
      <c r="U74" s="9">
        <v>0.9166666666666666</v>
      </c>
      <c r="V74" s="4" t="s">
        <v>49</v>
      </c>
      <c r="W74" s="5">
        <v>1.0</v>
      </c>
      <c r="X74" s="5" t="b">
        <v>1</v>
      </c>
      <c r="Y74" s="5" t="s">
        <v>189</v>
      </c>
      <c r="Z74" s="5" t="b">
        <v>0</v>
      </c>
      <c r="AA74" s="10"/>
      <c r="AB74" s="4">
        <v>1.0</v>
      </c>
      <c r="AC74" s="5" t="s">
        <v>483</v>
      </c>
      <c r="AD74" s="5">
        <v>0.0</v>
      </c>
      <c r="AE74" s="5">
        <v>1.0</v>
      </c>
      <c r="AF74" s="8">
        <v>46161.0</v>
      </c>
      <c r="AG74" s="9">
        <v>0.375</v>
      </c>
      <c r="AH74" s="9">
        <v>0.9166666666666666</v>
      </c>
      <c r="AI74" s="4" t="s">
        <v>49</v>
      </c>
      <c r="AJ74" s="5" t="s">
        <v>197</v>
      </c>
      <c r="AK74" s="12"/>
      <c r="AL74" s="12"/>
      <c r="AM74" s="12"/>
      <c r="AN74" s="12"/>
      <c r="AO74" s="12"/>
      <c r="AP74" s="12"/>
      <c r="AQ74" s="12"/>
    </row>
    <row r="75">
      <c r="A75" s="5" t="s">
        <v>484</v>
      </c>
      <c r="B75" s="5">
        <v>1.1398423E7</v>
      </c>
      <c r="C75" s="5" t="s">
        <v>37</v>
      </c>
      <c r="D75" s="5" t="s">
        <v>485</v>
      </c>
      <c r="E75" s="5" t="s">
        <v>39</v>
      </c>
      <c r="F75" s="4" t="s">
        <v>486</v>
      </c>
      <c r="G75" s="6">
        <v>6.28588E17</v>
      </c>
      <c r="H75" s="4" t="s">
        <v>487</v>
      </c>
      <c r="I75" s="5" t="s">
        <v>42</v>
      </c>
      <c r="J75" s="5" t="s">
        <v>43</v>
      </c>
      <c r="K75" s="5">
        <v>8.7733785699E10</v>
      </c>
      <c r="L75" s="4" t="s">
        <v>44</v>
      </c>
      <c r="M75" s="5" t="s">
        <v>42</v>
      </c>
      <c r="N75" s="4" t="s">
        <v>45</v>
      </c>
      <c r="O75" s="4" t="s">
        <v>46</v>
      </c>
      <c r="P75" s="4" t="s">
        <v>187</v>
      </c>
      <c r="Q75" s="4">
        <v>16451.0</v>
      </c>
      <c r="R75" s="4" t="s">
        <v>488</v>
      </c>
      <c r="S75" s="8">
        <v>46161.0</v>
      </c>
      <c r="T75" s="9">
        <v>0.375</v>
      </c>
      <c r="U75" s="9">
        <v>0.9166666666666666</v>
      </c>
      <c r="V75" s="4" t="s">
        <v>49</v>
      </c>
      <c r="W75" s="5">
        <v>1.0</v>
      </c>
      <c r="X75" s="5" t="b">
        <v>1</v>
      </c>
      <c r="Y75" s="5" t="s">
        <v>189</v>
      </c>
      <c r="Z75" s="5" t="b">
        <v>0</v>
      </c>
      <c r="AA75" s="10"/>
      <c r="AB75" s="4">
        <v>1.0</v>
      </c>
      <c r="AC75" s="5" t="s">
        <v>489</v>
      </c>
      <c r="AD75" s="5">
        <v>0.0</v>
      </c>
      <c r="AE75" s="5">
        <v>1.0</v>
      </c>
      <c r="AF75" s="8">
        <v>46161.0</v>
      </c>
      <c r="AG75" s="9">
        <v>0.375</v>
      </c>
      <c r="AH75" s="9">
        <v>0.9166666666666666</v>
      </c>
      <c r="AI75" s="4" t="s">
        <v>49</v>
      </c>
      <c r="AJ75" s="5" t="s">
        <v>197</v>
      </c>
      <c r="AK75" s="12"/>
      <c r="AL75" s="12"/>
      <c r="AM75" s="12"/>
      <c r="AN75" s="12"/>
      <c r="AO75" s="12"/>
      <c r="AP75" s="12"/>
      <c r="AQ75" s="12"/>
    </row>
    <row r="76">
      <c r="A76" s="5" t="s">
        <v>490</v>
      </c>
      <c r="B76" s="5">
        <v>1.1398423E7</v>
      </c>
      <c r="C76" s="5" t="s">
        <v>37</v>
      </c>
      <c r="D76" s="5" t="s">
        <v>491</v>
      </c>
      <c r="E76" s="5" t="s">
        <v>39</v>
      </c>
      <c r="F76" s="4" t="s">
        <v>492</v>
      </c>
      <c r="G76" s="6">
        <v>6.28139E17</v>
      </c>
      <c r="H76" s="4" t="s">
        <v>493</v>
      </c>
      <c r="I76" s="5" t="s">
        <v>42</v>
      </c>
      <c r="J76" s="5" t="s">
        <v>43</v>
      </c>
      <c r="K76" s="5">
        <v>8.7733785699E10</v>
      </c>
      <c r="L76" s="4" t="s">
        <v>44</v>
      </c>
      <c r="M76" s="5" t="s">
        <v>42</v>
      </c>
      <c r="N76" s="4" t="s">
        <v>45</v>
      </c>
      <c r="O76" s="4" t="s">
        <v>46</v>
      </c>
      <c r="P76" s="4" t="s">
        <v>187</v>
      </c>
      <c r="Q76" s="4">
        <v>16451.0</v>
      </c>
      <c r="R76" s="4" t="s">
        <v>494</v>
      </c>
      <c r="S76" s="8">
        <v>46161.0</v>
      </c>
      <c r="T76" s="9">
        <v>0.375</v>
      </c>
      <c r="U76" s="9">
        <v>0.9166666666666666</v>
      </c>
      <c r="V76" s="4" t="s">
        <v>49</v>
      </c>
      <c r="W76" s="5">
        <v>1.0</v>
      </c>
      <c r="X76" s="5" t="b">
        <v>1</v>
      </c>
      <c r="Y76" s="5" t="s">
        <v>189</v>
      </c>
      <c r="Z76" s="5" t="b">
        <v>0</v>
      </c>
      <c r="AA76" s="10"/>
      <c r="AB76" s="4">
        <v>1.0</v>
      </c>
      <c r="AC76" s="5" t="s">
        <v>495</v>
      </c>
      <c r="AD76" s="5">
        <v>0.0</v>
      </c>
      <c r="AE76" s="5">
        <v>1.0</v>
      </c>
      <c r="AF76" s="8">
        <v>46161.0</v>
      </c>
      <c r="AG76" s="9">
        <v>0.375</v>
      </c>
      <c r="AH76" s="9">
        <v>0.9166666666666666</v>
      </c>
      <c r="AI76" s="4" t="s">
        <v>49</v>
      </c>
      <c r="AJ76" s="5" t="s">
        <v>197</v>
      </c>
      <c r="AK76" s="12"/>
      <c r="AL76" s="12"/>
      <c r="AM76" s="12"/>
      <c r="AN76" s="12"/>
      <c r="AO76" s="12"/>
      <c r="AP76" s="12"/>
      <c r="AQ76" s="12"/>
    </row>
    <row r="77">
      <c r="A77" s="5" t="s">
        <v>496</v>
      </c>
      <c r="B77" s="5">
        <v>1.1398423E7</v>
      </c>
      <c r="C77" s="5" t="s">
        <v>37</v>
      </c>
      <c r="D77" s="5" t="s">
        <v>497</v>
      </c>
      <c r="E77" s="5" t="s">
        <v>39</v>
      </c>
      <c r="F77" s="4" t="s">
        <v>498</v>
      </c>
      <c r="G77" s="6">
        <v>6.28571E17</v>
      </c>
      <c r="H77" s="4" t="s">
        <v>499</v>
      </c>
      <c r="I77" s="5" t="s">
        <v>42</v>
      </c>
      <c r="J77" s="5" t="s">
        <v>43</v>
      </c>
      <c r="K77" s="5">
        <v>8.7733785699E10</v>
      </c>
      <c r="L77" s="4" t="s">
        <v>44</v>
      </c>
      <c r="M77" s="5" t="s">
        <v>42</v>
      </c>
      <c r="N77" s="4" t="s">
        <v>45</v>
      </c>
      <c r="O77" s="4" t="s">
        <v>46</v>
      </c>
      <c r="P77" s="4" t="s">
        <v>187</v>
      </c>
      <c r="Q77" s="4">
        <v>16451.0</v>
      </c>
      <c r="R77" s="4" t="s">
        <v>500</v>
      </c>
      <c r="S77" s="8">
        <v>46161.0</v>
      </c>
      <c r="T77" s="9">
        <v>0.375</v>
      </c>
      <c r="U77" s="9">
        <v>0.9166666666666666</v>
      </c>
      <c r="V77" s="4" t="s">
        <v>49</v>
      </c>
      <c r="W77" s="5">
        <v>1.0</v>
      </c>
      <c r="X77" s="5" t="b">
        <v>1</v>
      </c>
      <c r="Y77" s="5" t="s">
        <v>189</v>
      </c>
      <c r="Z77" s="5" t="b">
        <v>0</v>
      </c>
      <c r="AA77" s="10"/>
      <c r="AB77" s="4">
        <v>1.0</v>
      </c>
      <c r="AC77" s="5" t="s">
        <v>501</v>
      </c>
      <c r="AD77" s="5">
        <v>0.0</v>
      </c>
      <c r="AE77" s="5">
        <v>1.0</v>
      </c>
      <c r="AF77" s="8">
        <v>46161.0</v>
      </c>
      <c r="AG77" s="9">
        <v>0.375</v>
      </c>
      <c r="AH77" s="9">
        <v>0.9166666666666666</v>
      </c>
      <c r="AI77" s="4" t="s">
        <v>49</v>
      </c>
      <c r="AJ77" s="5" t="s">
        <v>197</v>
      </c>
      <c r="AK77" s="12"/>
      <c r="AL77" s="12"/>
      <c r="AM77" s="12"/>
      <c r="AN77" s="12"/>
      <c r="AO77" s="12"/>
      <c r="AP77" s="12"/>
      <c r="AQ77" s="12"/>
    </row>
    <row r="78">
      <c r="A78" s="5" t="s">
        <v>502</v>
      </c>
      <c r="B78" s="5">
        <v>1.1398423E7</v>
      </c>
      <c r="C78" s="5" t="s">
        <v>37</v>
      </c>
      <c r="D78" s="5" t="s">
        <v>503</v>
      </c>
      <c r="E78" s="5" t="s">
        <v>39</v>
      </c>
      <c r="F78" s="4" t="s">
        <v>504</v>
      </c>
      <c r="G78" s="6">
        <v>6.28156E17</v>
      </c>
      <c r="H78" s="4" t="s">
        <v>505</v>
      </c>
      <c r="I78" s="5" t="s">
        <v>42</v>
      </c>
      <c r="J78" s="5" t="s">
        <v>43</v>
      </c>
      <c r="K78" s="5">
        <v>8.7733785699E10</v>
      </c>
      <c r="L78" s="4" t="s">
        <v>44</v>
      </c>
      <c r="M78" s="5" t="s">
        <v>42</v>
      </c>
      <c r="N78" s="4" t="s">
        <v>45</v>
      </c>
      <c r="O78" s="4" t="s">
        <v>46</v>
      </c>
      <c r="P78" s="4" t="s">
        <v>187</v>
      </c>
      <c r="Q78" s="4">
        <v>16451.0</v>
      </c>
      <c r="R78" s="4" t="s">
        <v>506</v>
      </c>
      <c r="S78" s="8">
        <v>46161.0</v>
      </c>
      <c r="T78" s="9">
        <v>0.375</v>
      </c>
      <c r="U78" s="9">
        <v>0.9166666666666666</v>
      </c>
      <c r="V78" s="4" t="s">
        <v>49</v>
      </c>
      <c r="W78" s="5">
        <v>1.0</v>
      </c>
      <c r="X78" s="5" t="b">
        <v>1</v>
      </c>
      <c r="Y78" s="5" t="s">
        <v>189</v>
      </c>
      <c r="Z78" s="5" t="b">
        <v>0</v>
      </c>
      <c r="AA78" s="10"/>
      <c r="AB78" s="4">
        <v>1.0</v>
      </c>
      <c r="AC78" s="5" t="s">
        <v>507</v>
      </c>
      <c r="AD78" s="5">
        <v>0.0</v>
      </c>
      <c r="AE78" s="5">
        <v>1.0</v>
      </c>
      <c r="AF78" s="8">
        <v>46161.0</v>
      </c>
      <c r="AG78" s="9">
        <v>0.375</v>
      </c>
      <c r="AH78" s="9">
        <v>0.9166666666666666</v>
      </c>
      <c r="AI78" s="4" t="s">
        <v>49</v>
      </c>
      <c r="AJ78" s="5" t="s">
        <v>197</v>
      </c>
      <c r="AK78" s="12"/>
      <c r="AL78" s="12"/>
      <c r="AM78" s="12"/>
      <c r="AN78" s="12"/>
      <c r="AO78" s="12"/>
      <c r="AP78" s="12"/>
      <c r="AQ78" s="12"/>
    </row>
    <row r="79">
      <c r="A79" s="5" t="s">
        <v>508</v>
      </c>
      <c r="B79" s="5">
        <v>1.1398423E7</v>
      </c>
      <c r="C79" s="5" t="s">
        <v>37</v>
      </c>
      <c r="D79" s="5" t="s">
        <v>509</v>
      </c>
      <c r="E79" s="5" t="s">
        <v>39</v>
      </c>
      <c r="F79" s="4" t="s">
        <v>510</v>
      </c>
      <c r="G79" s="6">
        <v>6.28128E17</v>
      </c>
      <c r="H79" s="4" t="s">
        <v>511</v>
      </c>
      <c r="I79" s="5" t="s">
        <v>42</v>
      </c>
      <c r="J79" s="5" t="s">
        <v>43</v>
      </c>
      <c r="K79" s="5">
        <v>8.7733785699E10</v>
      </c>
      <c r="L79" s="4" t="s">
        <v>44</v>
      </c>
      <c r="M79" s="5" t="s">
        <v>42</v>
      </c>
      <c r="N79" s="4" t="s">
        <v>45</v>
      </c>
      <c r="O79" s="4" t="s">
        <v>46</v>
      </c>
      <c r="P79" s="4" t="s">
        <v>187</v>
      </c>
      <c r="Q79" s="4">
        <v>16451.0</v>
      </c>
      <c r="R79" s="4" t="s">
        <v>512</v>
      </c>
      <c r="S79" s="8">
        <v>46161.0</v>
      </c>
      <c r="T79" s="9">
        <v>0.375</v>
      </c>
      <c r="U79" s="9">
        <v>0.9166666666666666</v>
      </c>
      <c r="V79" s="4" t="s">
        <v>49</v>
      </c>
      <c r="W79" s="5">
        <v>1.0</v>
      </c>
      <c r="X79" s="5" t="b">
        <v>1</v>
      </c>
      <c r="Y79" s="5" t="s">
        <v>189</v>
      </c>
      <c r="Z79" s="5" t="b">
        <v>0</v>
      </c>
      <c r="AA79" s="10"/>
      <c r="AB79" s="4">
        <v>1.0</v>
      </c>
      <c r="AC79" s="5" t="s">
        <v>513</v>
      </c>
      <c r="AD79" s="5">
        <v>0.0</v>
      </c>
      <c r="AE79" s="5">
        <v>1.0</v>
      </c>
      <c r="AF79" s="8">
        <v>46161.0</v>
      </c>
      <c r="AG79" s="9">
        <v>0.375</v>
      </c>
      <c r="AH79" s="9">
        <v>0.9166666666666666</v>
      </c>
      <c r="AI79" s="4" t="s">
        <v>49</v>
      </c>
      <c r="AJ79" s="5" t="s">
        <v>197</v>
      </c>
      <c r="AK79" s="12"/>
      <c r="AL79" s="12"/>
      <c r="AM79" s="12"/>
      <c r="AN79" s="12"/>
      <c r="AO79" s="12"/>
      <c r="AP79" s="12"/>
      <c r="AQ79" s="12"/>
    </row>
    <row r="80">
      <c r="A80" s="5" t="s">
        <v>514</v>
      </c>
      <c r="B80" s="5">
        <v>1.1398423E7</v>
      </c>
      <c r="C80" s="5" t="s">
        <v>37</v>
      </c>
      <c r="D80" s="5" t="s">
        <v>515</v>
      </c>
      <c r="E80" s="5" t="s">
        <v>39</v>
      </c>
      <c r="F80" s="4" t="s">
        <v>516</v>
      </c>
      <c r="G80" s="6">
        <v>6.28132E17</v>
      </c>
      <c r="H80" s="4" t="s">
        <v>517</v>
      </c>
      <c r="I80" s="5" t="s">
        <v>42</v>
      </c>
      <c r="J80" s="5" t="s">
        <v>43</v>
      </c>
      <c r="K80" s="5">
        <v>8.7733785699E10</v>
      </c>
      <c r="L80" s="4" t="s">
        <v>44</v>
      </c>
      <c r="M80" s="5" t="s">
        <v>42</v>
      </c>
      <c r="N80" s="4" t="s">
        <v>45</v>
      </c>
      <c r="O80" s="4" t="s">
        <v>46</v>
      </c>
      <c r="P80" s="4" t="s">
        <v>187</v>
      </c>
      <c r="Q80" s="4">
        <v>16451.0</v>
      </c>
      <c r="R80" s="4" t="s">
        <v>518</v>
      </c>
      <c r="S80" s="8">
        <v>46161.0</v>
      </c>
      <c r="T80" s="9">
        <v>0.375</v>
      </c>
      <c r="U80" s="9">
        <v>0.9166666666666666</v>
      </c>
      <c r="V80" s="4" t="s">
        <v>49</v>
      </c>
      <c r="W80" s="5">
        <v>1.0</v>
      </c>
      <c r="X80" s="5" t="b">
        <v>1</v>
      </c>
      <c r="Y80" s="5" t="s">
        <v>189</v>
      </c>
      <c r="Z80" s="5" t="b">
        <v>0</v>
      </c>
      <c r="AA80" s="10"/>
      <c r="AB80" s="4">
        <v>1.0</v>
      </c>
      <c r="AC80" s="5" t="s">
        <v>519</v>
      </c>
      <c r="AD80" s="5">
        <v>0.0</v>
      </c>
      <c r="AE80" s="5">
        <v>1.0</v>
      </c>
      <c r="AF80" s="8">
        <v>46161.0</v>
      </c>
      <c r="AG80" s="9">
        <v>0.375</v>
      </c>
      <c r="AH80" s="9">
        <v>0.9166666666666666</v>
      </c>
      <c r="AI80" s="4" t="s">
        <v>49</v>
      </c>
      <c r="AJ80" s="5" t="s">
        <v>197</v>
      </c>
      <c r="AK80" s="12"/>
      <c r="AL80" s="12"/>
      <c r="AM80" s="12"/>
      <c r="AN80" s="12"/>
      <c r="AO80" s="12"/>
      <c r="AP80" s="12"/>
      <c r="AQ80" s="12"/>
    </row>
    <row r="81">
      <c r="A81" s="5" t="s">
        <v>520</v>
      </c>
      <c r="B81" s="5">
        <v>1.1398423E7</v>
      </c>
      <c r="C81" s="5" t="s">
        <v>37</v>
      </c>
      <c r="D81" s="5" t="s">
        <v>521</v>
      </c>
      <c r="E81" s="5" t="s">
        <v>39</v>
      </c>
      <c r="F81" s="4" t="s">
        <v>522</v>
      </c>
      <c r="G81" s="6">
        <v>6.28128E17</v>
      </c>
      <c r="H81" s="4" t="s">
        <v>523</v>
      </c>
      <c r="I81" s="5" t="s">
        <v>42</v>
      </c>
      <c r="J81" s="5" t="s">
        <v>43</v>
      </c>
      <c r="K81" s="5">
        <v>8.7733785699E10</v>
      </c>
      <c r="L81" s="4" t="s">
        <v>44</v>
      </c>
      <c r="M81" s="5" t="s">
        <v>42</v>
      </c>
      <c r="N81" s="4" t="s">
        <v>45</v>
      </c>
      <c r="O81" s="4" t="s">
        <v>46</v>
      </c>
      <c r="P81" s="4" t="s">
        <v>187</v>
      </c>
      <c r="Q81" s="4">
        <v>16451.0</v>
      </c>
      <c r="R81" s="4" t="s">
        <v>524</v>
      </c>
      <c r="S81" s="8">
        <v>46161.0</v>
      </c>
      <c r="T81" s="9">
        <v>0.375</v>
      </c>
      <c r="U81" s="9">
        <v>0.9166666666666666</v>
      </c>
      <c r="V81" s="4" t="s">
        <v>49</v>
      </c>
      <c r="W81" s="5">
        <v>1.0</v>
      </c>
      <c r="X81" s="5" t="b">
        <v>1</v>
      </c>
      <c r="Y81" s="5" t="s">
        <v>189</v>
      </c>
      <c r="Z81" s="5" t="b">
        <v>0</v>
      </c>
      <c r="AA81" s="10"/>
      <c r="AB81" s="4">
        <v>1.0</v>
      </c>
      <c r="AC81" s="5" t="s">
        <v>525</v>
      </c>
      <c r="AD81" s="5">
        <v>0.0</v>
      </c>
      <c r="AE81" s="5">
        <v>1.0</v>
      </c>
      <c r="AF81" s="8">
        <v>46161.0</v>
      </c>
      <c r="AG81" s="9">
        <v>0.375</v>
      </c>
      <c r="AH81" s="9">
        <v>0.9166666666666666</v>
      </c>
      <c r="AI81" s="4" t="s">
        <v>49</v>
      </c>
      <c r="AJ81" s="5" t="s">
        <v>197</v>
      </c>
      <c r="AK81" s="12"/>
      <c r="AL81" s="12"/>
      <c r="AM81" s="12"/>
      <c r="AN81" s="12"/>
      <c r="AO81" s="12"/>
      <c r="AP81" s="12"/>
      <c r="AQ81" s="12"/>
    </row>
    <row r="82">
      <c r="A82" s="5" t="s">
        <v>526</v>
      </c>
      <c r="B82" s="5">
        <v>1.1398423E7</v>
      </c>
      <c r="C82" s="5" t="s">
        <v>37</v>
      </c>
      <c r="D82" s="5" t="s">
        <v>527</v>
      </c>
      <c r="E82" s="5" t="s">
        <v>39</v>
      </c>
      <c r="F82" s="4" t="s">
        <v>528</v>
      </c>
      <c r="G82" s="6">
        <v>6.28972E16</v>
      </c>
      <c r="H82" s="4" t="s">
        <v>529</v>
      </c>
      <c r="I82" s="5" t="s">
        <v>42</v>
      </c>
      <c r="J82" s="5" t="s">
        <v>43</v>
      </c>
      <c r="K82" s="5">
        <v>8.7733785699E10</v>
      </c>
      <c r="L82" s="4" t="s">
        <v>44</v>
      </c>
      <c r="M82" s="5" t="s">
        <v>42</v>
      </c>
      <c r="N82" s="4" t="s">
        <v>45</v>
      </c>
      <c r="O82" s="4" t="s">
        <v>46</v>
      </c>
      <c r="P82" s="4" t="s">
        <v>187</v>
      </c>
      <c r="Q82" s="4">
        <v>16451.0</v>
      </c>
      <c r="R82" s="4" t="s">
        <v>530</v>
      </c>
      <c r="S82" s="8">
        <v>46161.0</v>
      </c>
      <c r="T82" s="9">
        <v>0.375</v>
      </c>
      <c r="U82" s="9">
        <v>0.9166666666666666</v>
      </c>
      <c r="V82" s="4" t="s">
        <v>49</v>
      </c>
      <c r="W82" s="5">
        <v>1.0</v>
      </c>
      <c r="X82" s="5" t="b">
        <v>1</v>
      </c>
      <c r="Y82" s="5" t="s">
        <v>189</v>
      </c>
      <c r="Z82" s="5" t="b">
        <v>0</v>
      </c>
      <c r="AA82" s="10"/>
      <c r="AB82" s="4">
        <v>1.0</v>
      </c>
      <c r="AC82" s="5" t="s">
        <v>531</v>
      </c>
      <c r="AD82" s="5">
        <v>0.0</v>
      </c>
      <c r="AE82" s="5">
        <v>1.0</v>
      </c>
      <c r="AF82" s="8">
        <v>46161.0</v>
      </c>
      <c r="AG82" s="9">
        <v>0.375</v>
      </c>
      <c r="AH82" s="9">
        <v>0.9166666666666666</v>
      </c>
      <c r="AI82" s="4" t="s">
        <v>49</v>
      </c>
      <c r="AJ82" s="5" t="s">
        <v>197</v>
      </c>
      <c r="AK82" s="12"/>
      <c r="AL82" s="12"/>
      <c r="AM82" s="12"/>
      <c r="AN82" s="12"/>
      <c r="AO82" s="12"/>
      <c r="AP82" s="12"/>
      <c r="AQ82" s="12"/>
    </row>
    <row r="83">
      <c r="A83" s="5" t="s">
        <v>532</v>
      </c>
      <c r="B83" s="5">
        <v>1.1398423E7</v>
      </c>
      <c r="C83" s="5" t="s">
        <v>37</v>
      </c>
      <c r="D83" s="5" t="s">
        <v>533</v>
      </c>
      <c r="E83" s="5" t="s">
        <v>39</v>
      </c>
      <c r="F83" s="4" t="s">
        <v>534</v>
      </c>
      <c r="G83" s="4">
        <v>8.123227961E9</v>
      </c>
      <c r="H83" s="4" t="s">
        <v>535</v>
      </c>
      <c r="I83" s="5" t="s">
        <v>42</v>
      </c>
      <c r="J83" s="5" t="s">
        <v>43</v>
      </c>
      <c r="K83" s="5">
        <v>8.7733785699E10</v>
      </c>
      <c r="L83" s="4" t="s">
        <v>44</v>
      </c>
      <c r="M83" s="5" t="s">
        <v>42</v>
      </c>
      <c r="N83" s="4" t="s">
        <v>45</v>
      </c>
      <c r="O83" s="4" t="s">
        <v>46</v>
      </c>
      <c r="P83" s="4" t="s">
        <v>187</v>
      </c>
      <c r="Q83" s="4">
        <v>16451.0</v>
      </c>
      <c r="R83" s="4" t="s">
        <v>536</v>
      </c>
      <c r="S83" s="8">
        <v>46161.0</v>
      </c>
      <c r="T83" s="9">
        <v>0.375</v>
      </c>
      <c r="U83" s="9">
        <v>0.9166666666666666</v>
      </c>
      <c r="V83" s="4" t="s">
        <v>49</v>
      </c>
      <c r="W83" s="5">
        <v>1.0</v>
      </c>
      <c r="X83" s="5" t="b">
        <v>1</v>
      </c>
      <c r="Y83" s="5" t="s">
        <v>189</v>
      </c>
      <c r="Z83" s="5" t="b">
        <v>0</v>
      </c>
      <c r="AA83" s="10"/>
      <c r="AB83" s="4">
        <v>1.0</v>
      </c>
      <c r="AC83" s="5" t="s">
        <v>537</v>
      </c>
      <c r="AD83" s="5">
        <v>0.0</v>
      </c>
      <c r="AE83" s="5">
        <v>1.0</v>
      </c>
      <c r="AF83" s="8">
        <v>46161.0</v>
      </c>
      <c r="AG83" s="9">
        <v>0.375</v>
      </c>
      <c r="AH83" s="9">
        <v>0.9166666666666666</v>
      </c>
      <c r="AI83" s="4" t="s">
        <v>49</v>
      </c>
      <c r="AJ83" s="5" t="s">
        <v>197</v>
      </c>
      <c r="AK83" s="12"/>
      <c r="AL83" s="12"/>
      <c r="AM83" s="12"/>
      <c r="AN83" s="12"/>
      <c r="AO83" s="12"/>
      <c r="AP83" s="12"/>
      <c r="AQ83" s="12"/>
    </row>
    <row r="84">
      <c r="A84" s="5" t="s">
        <v>538</v>
      </c>
      <c r="B84" s="5">
        <v>1.1398423E7</v>
      </c>
      <c r="C84" s="5" t="s">
        <v>37</v>
      </c>
      <c r="D84" s="5" t="s">
        <v>539</v>
      </c>
      <c r="E84" s="5" t="s">
        <v>39</v>
      </c>
      <c r="F84" s="4" t="s">
        <v>540</v>
      </c>
      <c r="G84" s="4">
        <v>8.1219191823E10</v>
      </c>
      <c r="H84" s="4" t="s">
        <v>541</v>
      </c>
      <c r="I84" s="5" t="s">
        <v>42</v>
      </c>
      <c r="J84" s="5" t="s">
        <v>43</v>
      </c>
      <c r="K84" s="5">
        <v>8.7733785699E10</v>
      </c>
      <c r="L84" s="4" t="s">
        <v>44</v>
      </c>
      <c r="M84" s="5" t="s">
        <v>42</v>
      </c>
      <c r="N84" s="4" t="s">
        <v>45</v>
      </c>
      <c r="O84" s="4" t="s">
        <v>46</v>
      </c>
      <c r="P84" s="4" t="s">
        <v>187</v>
      </c>
      <c r="Q84" s="4">
        <v>16451.0</v>
      </c>
      <c r="R84" s="4" t="s">
        <v>542</v>
      </c>
      <c r="S84" s="8">
        <v>46161.0</v>
      </c>
      <c r="T84" s="9">
        <v>0.375</v>
      </c>
      <c r="U84" s="9">
        <v>0.9166666666666666</v>
      </c>
      <c r="V84" s="4" t="s">
        <v>49</v>
      </c>
      <c r="W84" s="5">
        <v>1.0</v>
      </c>
      <c r="X84" s="5" t="b">
        <v>1</v>
      </c>
      <c r="Y84" s="5" t="s">
        <v>189</v>
      </c>
      <c r="Z84" s="5" t="b">
        <v>0</v>
      </c>
      <c r="AA84" s="10"/>
      <c r="AB84" s="4">
        <v>1.0</v>
      </c>
      <c r="AC84" s="5" t="s">
        <v>543</v>
      </c>
      <c r="AD84" s="5">
        <v>0.0</v>
      </c>
      <c r="AE84" s="5">
        <v>1.0</v>
      </c>
      <c r="AF84" s="8">
        <v>46161.0</v>
      </c>
      <c r="AG84" s="9">
        <v>0.375</v>
      </c>
      <c r="AH84" s="9">
        <v>0.9166666666666666</v>
      </c>
      <c r="AI84" s="4" t="s">
        <v>49</v>
      </c>
      <c r="AJ84" s="5" t="s">
        <v>197</v>
      </c>
      <c r="AK84" s="12"/>
      <c r="AL84" s="12"/>
      <c r="AM84" s="12"/>
      <c r="AN84" s="12"/>
      <c r="AO84" s="12"/>
      <c r="AP84" s="12"/>
      <c r="AQ84" s="12"/>
    </row>
    <row r="85">
      <c r="A85" s="5" t="s">
        <v>544</v>
      </c>
      <c r="B85" s="5">
        <v>1.1398423E7</v>
      </c>
      <c r="C85" s="5" t="s">
        <v>37</v>
      </c>
      <c r="D85" s="5" t="s">
        <v>545</v>
      </c>
      <c r="E85" s="5" t="s">
        <v>39</v>
      </c>
      <c r="F85" s="4" t="s">
        <v>546</v>
      </c>
      <c r="G85" s="4">
        <v>8.1317611647E10</v>
      </c>
      <c r="H85" s="4" t="s">
        <v>547</v>
      </c>
      <c r="I85" s="5" t="s">
        <v>42</v>
      </c>
      <c r="J85" s="5" t="s">
        <v>43</v>
      </c>
      <c r="K85" s="5">
        <v>8.7733785699E10</v>
      </c>
      <c r="L85" s="4" t="s">
        <v>44</v>
      </c>
      <c r="M85" s="5" t="s">
        <v>42</v>
      </c>
      <c r="N85" s="4" t="s">
        <v>45</v>
      </c>
      <c r="O85" s="4" t="s">
        <v>46</v>
      </c>
      <c r="P85" s="4" t="s">
        <v>187</v>
      </c>
      <c r="Q85" s="4">
        <v>16451.0</v>
      </c>
      <c r="R85" s="4" t="s">
        <v>548</v>
      </c>
      <c r="S85" s="8">
        <v>46161.0</v>
      </c>
      <c r="T85" s="9">
        <v>0.375</v>
      </c>
      <c r="U85" s="9">
        <v>0.9166666666666666</v>
      </c>
      <c r="V85" s="4" t="s">
        <v>49</v>
      </c>
      <c r="W85" s="5">
        <v>1.0</v>
      </c>
      <c r="X85" s="5" t="b">
        <v>1</v>
      </c>
      <c r="Y85" s="5" t="s">
        <v>189</v>
      </c>
      <c r="Z85" s="5" t="b">
        <v>0</v>
      </c>
      <c r="AA85" s="10"/>
      <c r="AB85" s="4">
        <v>1.0</v>
      </c>
      <c r="AC85" s="5" t="s">
        <v>549</v>
      </c>
      <c r="AD85" s="5">
        <v>0.0</v>
      </c>
      <c r="AE85" s="5">
        <v>1.0</v>
      </c>
      <c r="AF85" s="8">
        <v>46161.0</v>
      </c>
      <c r="AG85" s="9">
        <v>0.375</v>
      </c>
      <c r="AH85" s="9">
        <v>0.9166666666666666</v>
      </c>
      <c r="AI85" s="4" t="s">
        <v>49</v>
      </c>
      <c r="AJ85" s="5" t="s">
        <v>197</v>
      </c>
      <c r="AK85" s="12"/>
      <c r="AL85" s="12"/>
      <c r="AM85" s="12"/>
      <c r="AN85" s="12"/>
      <c r="AO85" s="12"/>
      <c r="AP85" s="12"/>
      <c r="AQ85" s="12"/>
    </row>
    <row r="86">
      <c r="A86" s="5" t="s">
        <v>550</v>
      </c>
      <c r="B86" s="5">
        <v>1.1398423E7</v>
      </c>
      <c r="C86" s="5" t="s">
        <v>37</v>
      </c>
      <c r="D86" s="5" t="s">
        <v>551</v>
      </c>
      <c r="E86" s="5" t="s">
        <v>39</v>
      </c>
      <c r="F86" s="4" t="s">
        <v>552</v>
      </c>
      <c r="G86" s="4">
        <v>8.1296367273E10</v>
      </c>
      <c r="H86" s="4" t="s">
        <v>553</v>
      </c>
      <c r="I86" s="5" t="s">
        <v>42</v>
      </c>
      <c r="J86" s="5" t="s">
        <v>43</v>
      </c>
      <c r="K86" s="5">
        <v>8.7733785699E10</v>
      </c>
      <c r="L86" s="4" t="s">
        <v>44</v>
      </c>
      <c r="M86" s="5" t="s">
        <v>42</v>
      </c>
      <c r="N86" s="4" t="s">
        <v>45</v>
      </c>
      <c r="O86" s="4" t="s">
        <v>46</v>
      </c>
      <c r="P86" s="4" t="s">
        <v>187</v>
      </c>
      <c r="Q86" s="4">
        <v>16451.0</v>
      </c>
      <c r="R86" s="4" t="s">
        <v>554</v>
      </c>
      <c r="S86" s="8">
        <v>46161.0</v>
      </c>
      <c r="T86" s="9">
        <v>0.375</v>
      </c>
      <c r="U86" s="9">
        <v>0.9166666666666666</v>
      </c>
      <c r="V86" s="4" t="s">
        <v>49</v>
      </c>
      <c r="W86" s="5">
        <v>1.0</v>
      </c>
      <c r="X86" s="5" t="b">
        <v>1</v>
      </c>
      <c r="Y86" s="5" t="s">
        <v>189</v>
      </c>
      <c r="Z86" s="5" t="b">
        <v>0</v>
      </c>
      <c r="AA86" s="10"/>
      <c r="AB86" s="4">
        <v>1.0</v>
      </c>
      <c r="AC86" s="5" t="s">
        <v>555</v>
      </c>
      <c r="AD86" s="5">
        <v>0.0</v>
      </c>
      <c r="AE86" s="5">
        <v>1.0</v>
      </c>
      <c r="AF86" s="8">
        <v>46161.0</v>
      </c>
      <c r="AG86" s="9">
        <v>0.375</v>
      </c>
      <c r="AH86" s="9">
        <v>0.9166666666666666</v>
      </c>
      <c r="AI86" s="4" t="s">
        <v>49</v>
      </c>
      <c r="AJ86" s="5" t="s">
        <v>197</v>
      </c>
      <c r="AK86" s="12"/>
      <c r="AL86" s="12"/>
      <c r="AM86" s="12"/>
      <c r="AN86" s="12"/>
      <c r="AO86" s="12"/>
      <c r="AP86" s="12"/>
      <c r="AQ86" s="12"/>
    </row>
    <row r="87">
      <c r="A87" s="5" t="s">
        <v>556</v>
      </c>
      <c r="B87" s="5">
        <v>1.1398423E7</v>
      </c>
      <c r="C87" s="5" t="s">
        <v>37</v>
      </c>
      <c r="D87" s="5" t="s">
        <v>557</v>
      </c>
      <c r="E87" s="5" t="s">
        <v>39</v>
      </c>
      <c r="F87" s="4" t="s">
        <v>558</v>
      </c>
      <c r="G87" s="4">
        <v>8.1931102721E10</v>
      </c>
      <c r="H87" s="4" t="s">
        <v>559</v>
      </c>
      <c r="I87" s="5" t="s">
        <v>42</v>
      </c>
      <c r="J87" s="5" t="s">
        <v>43</v>
      </c>
      <c r="K87" s="5">
        <v>8.7733785699E10</v>
      </c>
      <c r="L87" s="4" t="s">
        <v>44</v>
      </c>
      <c r="M87" s="5" t="s">
        <v>42</v>
      </c>
      <c r="N87" s="4" t="s">
        <v>45</v>
      </c>
      <c r="O87" s="4" t="s">
        <v>46</v>
      </c>
      <c r="P87" s="4" t="s">
        <v>187</v>
      </c>
      <c r="Q87" s="4">
        <v>16451.0</v>
      </c>
      <c r="R87" s="4" t="s">
        <v>560</v>
      </c>
      <c r="S87" s="8">
        <v>46161.0</v>
      </c>
      <c r="T87" s="9">
        <v>0.375</v>
      </c>
      <c r="U87" s="9">
        <v>0.9166666666666666</v>
      </c>
      <c r="V87" s="4" t="s">
        <v>49</v>
      </c>
      <c r="W87" s="5">
        <v>1.0</v>
      </c>
      <c r="X87" s="5" t="b">
        <v>1</v>
      </c>
      <c r="Y87" s="5" t="s">
        <v>189</v>
      </c>
      <c r="Z87" s="5" t="b">
        <v>0</v>
      </c>
      <c r="AA87" s="10"/>
      <c r="AB87" s="4">
        <v>1.0</v>
      </c>
      <c r="AC87" s="5" t="s">
        <v>561</v>
      </c>
      <c r="AD87" s="5">
        <v>0.0</v>
      </c>
      <c r="AE87" s="5">
        <v>1.0</v>
      </c>
      <c r="AF87" s="8">
        <v>46161.0</v>
      </c>
      <c r="AG87" s="9">
        <v>0.375</v>
      </c>
      <c r="AH87" s="9">
        <v>0.9166666666666666</v>
      </c>
      <c r="AI87" s="4" t="s">
        <v>49</v>
      </c>
      <c r="AJ87" s="5" t="s">
        <v>197</v>
      </c>
      <c r="AK87" s="12"/>
      <c r="AL87" s="12"/>
      <c r="AM87" s="12"/>
      <c r="AN87" s="12"/>
      <c r="AO87" s="12"/>
      <c r="AP87" s="12"/>
      <c r="AQ87" s="12"/>
    </row>
    <row r="88">
      <c r="A88" s="5" t="s">
        <v>562</v>
      </c>
      <c r="B88" s="5">
        <v>1.1398423E7</v>
      </c>
      <c r="C88" s="5" t="s">
        <v>37</v>
      </c>
      <c r="D88" s="5" t="s">
        <v>563</v>
      </c>
      <c r="E88" s="5" t="s">
        <v>39</v>
      </c>
      <c r="F88" s="4" t="s">
        <v>564</v>
      </c>
      <c r="G88" s="4">
        <v>8.9653163999E10</v>
      </c>
      <c r="H88" s="4" t="s">
        <v>565</v>
      </c>
      <c r="I88" s="5" t="s">
        <v>42</v>
      </c>
      <c r="J88" s="5" t="s">
        <v>43</v>
      </c>
      <c r="K88" s="5">
        <v>8.7733785699E10</v>
      </c>
      <c r="L88" s="4" t="s">
        <v>44</v>
      </c>
      <c r="M88" s="5" t="s">
        <v>42</v>
      </c>
      <c r="N88" s="4" t="s">
        <v>45</v>
      </c>
      <c r="O88" s="4" t="s">
        <v>46</v>
      </c>
      <c r="P88" s="4" t="s">
        <v>187</v>
      </c>
      <c r="Q88" s="4">
        <v>16451.0</v>
      </c>
      <c r="R88" s="4" t="s">
        <v>566</v>
      </c>
      <c r="S88" s="8">
        <v>46161.0</v>
      </c>
      <c r="T88" s="9">
        <v>0.375</v>
      </c>
      <c r="U88" s="9">
        <v>0.9166666666666666</v>
      </c>
      <c r="V88" s="4" t="s">
        <v>49</v>
      </c>
      <c r="W88" s="5">
        <v>1.0</v>
      </c>
      <c r="X88" s="5" t="b">
        <v>1</v>
      </c>
      <c r="Y88" s="5" t="s">
        <v>189</v>
      </c>
      <c r="Z88" s="5" t="b">
        <v>0</v>
      </c>
      <c r="AA88" s="10"/>
      <c r="AB88" s="4">
        <v>1.0</v>
      </c>
      <c r="AC88" s="5" t="s">
        <v>567</v>
      </c>
      <c r="AD88" s="5">
        <v>0.0</v>
      </c>
      <c r="AE88" s="5">
        <v>1.0</v>
      </c>
      <c r="AF88" s="8">
        <v>46161.0</v>
      </c>
      <c r="AG88" s="9">
        <v>0.375</v>
      </c>
      <c r="AH88" s="9">
        <v>0.9166666666666666</v>
      </c>
      <c r="AI88" s="4" t="s">
        <v>49</v>
      </c>
      <c r="AJ88" s="5" t="s">
        <v>197</v>
      </c>
      <c r="AK88" s="12"/>
      <c r="AL88" s="12"/>
      <c r="AM88" s="12"/>
      <c r="AN88" s="12"/>
      <c r="AO88" s="12"/>
      <c r="AP88" s="12"/>
      <c r="AQ88" s="12"/>
    </row>
    <row r="89">
      <c r="A89" s="5" t="s">
        <v>568</v>
      </c>
      <c r="B89" s="5">
        <v>1.1398423E7</v>
      </c>
      <c r="C89" s="5" t="s">
        <v>37</v>
      </c>
      <c r="D89" s="5" t="s">
        <v>569</v>
      </c>
      <c r="E89" s="5" t="s">
        <v>39</v>
      </c>
      <c r="F89" s="4" t="s">
        <v>570</v>
      </c>
      <c r="G89" s="4">
        <v>8.1382100278E10</v>
      </c>
      <c r="H89" s="4" t="s">
        <v>571</v>
      </c>
      <c r="I89" s="5" t="s">
        <v>42</v>
      </c>
      <c r="J89" s="5" t="s">
        <v>43</v>
      </c>
      <c r="K89" s="5">
        <v>8.7733785699E10</v>
      </c>
      <c r="L89" s="4" t="s">
        <v>44</v>
      </c>
      <c r="M89" s="5" t="s">
        <v>42</v>
      </c>
      <c r="N89" s="4" t="s">
        <v>45</v>
      </c>
      <c r="O89" s="4" t="s">
        <v>46</v>
      </c>
      <c r="P89" s="4" t="s">
        <v>187</v>
      </c>
      <c r="Q89" s="4">
        <v>16451.0</v>
      </c>
      <c r="R89" s="4" t="s">
        <v>572</v>
      </c>
      <c r="S89" s="8">
        <v>46161.0</v>
      </c>
      <c r="T89" s="9">
        <v>0.375</v>
      </c>
      <c r="U89" s="9">
        <v>0.9166666666666666</v>
      </c>
      <c r="V89" s="4" t="s">
        <v>49</v>
      </c>
      <c r="W89" s="5">
        <v>1.0</v>
      </c>
      <c r="X89" s="5" t="b">
        <v>1</v>
      </c>
      <c r="Y89" s="5" t="s">
        <v>189</v>
      </c>
      <c r="Z89" s="5" t="b">
        <v>0</v>
      </c>
      <c r="AA89" s="10"/>
      <c r="AB89" s="4">
        <v>1.0</v>
      </c>
      <c r="AC89" s="5" t="s">
        <v>573</v>
      </c>
      <c r="AD89" s="5">
        <v>0.0</v>
      </c>
      <c r="AE89" s="5">
        <v>1.0</v>
      </c>
      <c r="AF89" s="8">
        <v>46161.0</v>
      </c>
      <c r="AG89" s="9">
        <v>0.375</v>
      </c>
      <c r="AH89" s="9">
        <v>0.9166666666666666</v>
      </c>
      <c r="AI89" s="4" t="s">
        <v>49</v>
      </c>
      <c r="AJ89" s="5" t="s">
        <v>197</v>
      </c>
      <c r="AK89" s="12"/>
      <c r="AL89" s="12"/>
      <c r="AM89" s="12"/>
      <c r="AN89" s="12"/>
      <c r="AO89" s="12"/>
      <c r="AP89" s="12"/>
      <c r="AQ89" s="12"/>
    </row>
    <row r="90">
      <c r="A90" s="5" t="s">
        <v>574</v>
      </c>
      <c r="B90" s="5">
        <v>1.1398423E7</v>
      </c>
      <c r="C90" s="5" t="s">
        <v>37</v>
      </c>
      <c r="D90" s="5" t="s">
        <v>575</v>
      </c>
      <c r="E90" s="5" t="s">
        <v>39</v>
      </c>
      <c r="F90" s="4" t="s">
        <v>576</v>
      </c>
      <c r="G90" s="4">
        <v>8.779551081E10</v>
      </c>
      <c r="H90" s="4" t="s">
        <v>577</v>
      </c>
      <c r="I90" s="5" t="s">
        <v>42</v>
      </c>
      <c r="J90" s="5" t="s">
        <v>43</v>
      </c>
      <c r="K90" s="5">
        <v>8.7733785699E10</v>
      </c>
      <c r="L90" s="4" t="s">
        <v>44</v>
      </c>
      <c r="M90" s="5" t="s">
        <v>42</v>
      </c>
      <c r="N90" s="4" t="s">
        <v>45</v>
      </c>
      <c r="O90" s="4" t="s">
        <v>46</v>
      </c>
      <c r="P90" s="4" t="s">
        <v>187</v>
      </c>
      <c r="Q90" s="4">
        <v>16451.0</v>
      </c>
      <c r="R90" s="4" t="s">
        <v>578</v>
      </c>
      <c r="S90" s="8">
        <v>46161.0</v>
      </c>
      <c r="T90" s="9">
        <v>0.375</v>
      </c>
      <c r="U90" s="9">
        <v>0.9166666666666666</v>
      </c>
      <c r="V90" s="4" t="s">
        <v>49</v>
      </c>
      <c r="W90" s="5">
        <v>1.0</v>
      </c>
      <c r="X90" s="5" t="b">
        <v>1</v>
      </c>
      <c r="Y90" s="5" t="s">
        <v>189</v>
      </c>
      <c r="Z90" s="5" t="b">
        <v>0</v>
      </c>
      <c r="AA90" s="10"/>
      <c r="AB90" s="4">
        <v>1.0</v>
      </c>
      <c r="AC90" s="5" t="s">
        <v>579</v>
      </c>
      <c r="AD90" s="5">
        <v>0.0</v>
      </c>
      <c r="AE90" s="5">
        <v>1.0</v>
      </c>
      <c r="AF90" s="8">
        <v>46161.0</v>
      </c>
      <c r="AG90" s="9">
        <v>0.375</v>
      </c>
      <c r="AH90" s="9">
        <v>0.9166666666666666</v>
      </c>
      <c r="AI90" s="4" t="s">
        <v>49</v>
      </c>
      <c r="AJ90" s="5" t="s">
        <v>197</v>
      </c>
      <c r="AK90" s="12"/>
      <c r="AL90" s="12"/>
      <c r="AM90" s="12"/>
      <c r="AN90" s="12"/>
      <c r="AO90" s="12"/>
      <c r="AP90" s="12"/>
      <c r="AQ90" s="12"/>
    </row>
    <row r="91">
      <c r="A91" s="5" t="s">
        <v>580</v>
      </c>
      <c r="B91" s="5">
        <v>1.1398423E7</v>
      </c>
      <c r="C91" s="5" t="s">
        <v>37</v>
      </c>
      <c r="D91" s="5" t="s">
        <v>581</v>
      </c>
      <c r="E91" s="5" t="s">
        <v>39</v>
      </c>
      <c r="F91" s="4" t="s">
        <v>582</v>
      </c>
      <c r="G91" s="6">
        <v>6.28531E17</v>
      </c>
      <c r="H91" s="4" t="s">
        <v>583</v>
      </c>
      <c r="I91" s="5" t="s">
        <v>42</v>
      </c>
      <c r="J91" s="5" t="s">
        <v>43</v>
      </c>
      <c r="K91" s="5">
        <v>8.7733785699E10</v>
      </c>
      <c r="L91" s="4" t="s">
        <v>44</v>
      </c>
      <c r="M91" s="5" t="s">
        <v>42</v>
      </c>
      <c r="N91" s="4" t="s">
        <v>45</v>
      </c>
      <c r="O91" s="4" t="s">
        <v>46</v>
      </c>
      <c r="P91" s="4" t="s">
        <v>187</v>
      </c>
      <c r="Q91" s="4">
        <v>16451.0</v>
      </c>
      <c r="R91" s="4" t="s">
        <v>584</v>
      </c>
      <c r="S91" s="8">
        <v>46161.0</v>
      </c>
      <c r="T91" s="9">
        <v>0.375</v>
      </c>
      <c r="U91" s="9">
        <v>0.9166666666666666</v>
      </c>
      <c r="V91" s="4" t="s">
        <v>49</v>
      </c>
      <c r="W91" s="5">
        <v>1.0</v>
      </c>
      <c r="X91" s="5" t="b">
        <v>1</v>
      </c>
      <c r="Y91" s="5" t="s">
        <v>189</v>
      </c>
      <c r="Z91" s="5" t="b">
        <v>0</v>
      </c>
      <c r="AA91" s="10"/>
      <c r="AB91" s="4">
        <v>1.0</v>
      </c>
      <c r="AC91" s="5" t="s">
        <v>585</v>
      </c>
      <c r="AD91" s="5">
        <v>0.0</v>
      </c>
      <c r="AE91" s="5">
        <v>1.0</v>
      </c>
      <c r="AF91" s="8">
        <v>46161.0</v>
      </c>
      <c r="AG91" s="9">
        <v>0.375</v>
      </c>
      <c r="AH91" s="9">
        <v>0.9166666666666666</v>
      </c>
      <c r="AI91" s="4" t="s">
        <v>49</v>
      </c>
      <c r="AJ91" s="5" t="s">
        <v>197</v>
      </c>
      <c r="AK91" s="12"/>
      <c r="AL91" s="12"/>
      <c r="AM91" s="12"/>
      <c r="AN91" s="12"/>
      <c r="AO91" s="12"/>
      <c r="AP91" s="12"/>
      <c r="AQ91" s="12"/>
    </row>
    <row r="92">
      <c r="A92" s="5" t="s">
        <v>586</v>
      </c>
      <c r="B92" s="5">
        <v>1.1398423E7</v>
      </c>
      <c r="C92" s="5" t="s">
        <v>37</v>
      </c>
      <c r="D92" s="5" t="s">
        <v>587</v>
      </c>
      <c r="E92" s="5" t="s">
        <v>39</v>
      </c>
      <c r="F92" s="4" t="s">
        <v>588</v>
      </c>
      <c r="G92" s="4">
        <v>8.111500022E9</v>
      </c>
      <c r="H92" s="4" t="s">
        <v>589</v>
      </c>
      <c r="I92" s="5" t="s">
        <v>42</v>
      </c>
      <c r="J92" s="5" t="s">
        <v>43</v>
      </c>
      <c r="K92" s="5">
        <v>8.7733785699E10</v>
      </c>
      <c r="L92" s="4" t="s">
        <v>44</v>
      </c>
      <c r="M92" s="5" t="s">
        <v>42</v>
      </c>
      <c r="N92" s="4" t="s">
        <v>45</v>
      </c>
      <c r="O92" s="4" t="s">
        <v>46</v>
      </c>
      <c r="P92" s="4" t="s">
        <v>187</v>
      </c>
      <c r="Q92" s="4">
        <v>16451.0</v>
      </c>
      <c r="R92" s="4" t="s">
        <v>590</v>
      </c>
      <c r="S92" s="8">
        <v>46161.0</v>
      </c>
      <c r="T92" s="9">
        <v>0.375</v>
      </c>
      <c r="U92" s="9">
        <v>0.9166666666666666</v>
      </c>
      <c r="V92" s="4" t="s">
        <v>49</v>
      </c>
      <c r="W92" s="5">
        <v>1.0</v>
      </c>
      <c r="X92" s="5" t="b">
        <v>1</v>
      </c>
      <c r="Y92" s="5" t="s">
        <v>189</v>
      </c>
      <c r="Z92" s="5" t="b">
        <v>0</v>
      </c>
      <c r="AA92" s="10"/>
      <c r="AB92" s="4">
        <v>1.0</v>
      </c>
      <c r="AC92" s="5" t="s">
        <v>591</v>
      </c>
      <c r="AD92" s="5">
        <v>0.0</v>
      </c>
      <c r="AE92" s="5">
        <v>1.0</v>
      </c>
      <c r="AF92" s="8">
        <v>46161.0</v>
      </c>
      <c r="AG92" s="9">
        <v>0.375</v>
      </c>
      <c r="AH92" s="9">
        <v>0.9166666666666666</v>
      </c>
      <c r="AI92" s="4" t="s">
        <v>49</v>
      </c>
      <c r="AJ92" s="5" t="s">
        <v>197</v>
      </c>
      <c r="AK92" s="12"/>
      <c r="AL92" s="12"/>
      <c r="AM92" s="12"/>
      <c r="AN92" s="12"/>
      <c r="AO92" s="12"/>
      <c r="AP92" s="12"/>
      <c r="AQ92" s="12"/>
    </row>
    <row r="93">
      <c r="A93" s="5" t="s">
        <v>592</v>
      </c>
      <c r="B93" s="5">
        <v>1.1398423E7</v>
      </c>
      <c r="C93" s="5" t="s">
        <v>37</v>
      </c>
      <c r="D93" s="5" t="s">
        <v>593</v>
      </c>
      <c r="E93" s="5" t="s">
        <v>39</v>
      </c>
      <c r="F93" s="4" t="s">
        <v>594</v>
      </c>
      <c r="G93" s="6">
        <v>6.2813E16</v>
      </c>
      <c r="H93" s="4" t="s">
        <v>595</v>
      </c>
      <c r="I93" s="5" t="s">
        <v>42</v>
      </c>
      <c r="J93" s="5" t="s">
        <v>43</v>
      </c>
      <c r="K93" s="5">
        <v>8.7733785699E10</v>
      </c>
      <c r="L93" s="4" t="s">
        <v>44</v>
      </c>
      <c r="M93" s="5" t="s">
        <v>42</v>
      </c>
      <c r="N93" s="4" t="s">
        <v>45</v>
      </c>
      <c r="O93" s="4" t="s">
        <v>46</v>
      </c>
      <c r="P93" s="4" t="s">
        <v>187</v>
      </c>
      <c r="Q93" s="4">
        <v>16451.0</v>
      </c>
      <c r="R93" s="4" t="s">
        <v>596</v>
      </c>
      <c r="S93" s="8">
        <v>46161.0</v>
      </c>
      <c r="T93" s="9">
        <v>0.375</v>
      </c>
      <c r="U93" s="9">
        <v>0.9166666666666666</v>
      </c>
      <c r="V93" s="4" t="s">
        <v>49</v>
      </c>
      <c r="W93" s="5">
        <v>1.0</v>
      </c>
      <c r="X93" s="5" t="b">
        <v>1</v>
      </c>
      <c r="Y93" s="5" t="s">
        <v>189</v>
      </c>
      <c r="Z93" s="5" t="b">
        <v>0</v>
      </c>
      <c r="AA93" s="10"/>
      <c r="AB93" s="4">
        <v>1.0</v>
      </c>
      <c r="AC93" s="5" t="s">
        <v>597</v>
      </c>
      <c r="AD93" s="5">
        <v>0.0</v>
      </c>
      <c r="AE93" s="5">
        <v>1.0</v>
      </c>
      <c r="AF93" s="8">
        <v>46161.0</v>
      </c>
      <c r="AG93" s="9">
        <v>0.375</v>
      </c>
      <c r="AH93" s="9">
        <v>0.9166666666666666</v>
      </c>
      <c r="AI93" s="4" t="s">
        <v>49</v>
      </c>
      <c r="AJ93" s="5" t="s">
        <v>197</v>
      </c>
      <c r="AK93" s="12"/>
      <c r="AL93" s="12"/>
      <c r="AM93" s="12"/>
      <c r="AN93" s="12"/>
      <c r="AO93" s="12"/>
      <c r="AP93" s="12"/>
      <c r="AQ93" s="12"/>
    </row>
    <row r="94">
      <c r="A94" s="5" t="s">
        <v>598</v>
      </c>
      <c r="B94" s="5">
        <v>1.1398423E7</v>
      </c>
      <c r="C94" s="5" t="s">
        <v>37</v>
      </c>
      <c r="D94" s="5" t="s">
        <v>599</v>
      </c>
      <c r="E94" s="5" t="s">
        <v>39</v>
      </c>
      <c r="F94" s="4" t="s">
        <v>600</v>
      </c>
      <c r="G94" s="6">
        <v>6.28122E17</v>
      </c>
      <c r="H94" s="4" t="s">
        <v>601</v>
      </c>
      <c r="I94" s="5" t="s">
        <v>42</v>
      </c>
      <c r="J94" s="5" t="s">
        <v>43</v>
      </c>
      <c r="K94" s="5">
        <v>8.7733785699E10</v>
      </c>
      <c r="L94" s="4" t="s">
        <v>44</v>
      </c>
      <c r="M94" s="5" t="s">
        <v>42</v>
      </c>
      <c r="N94" s="4" t="s">
        <v>45</v>
      </c>
      <c r="O94" s="4" t="s">
        <v>46</v>
      </c>
      <c r="P94" s="4" t="s">
        <v>187</v>
      </c>
      <c r="Q94" s="4">
        <v>16451.0</v>
      </c>
      <c r="R94" s="4" t="s">
        <v>602</v>
      </c>
      <c r="S94" s="8">
        <v>46161.0</v>
      </c>
      <c r="T94" s="9">
        <v>0.375</v>
      </c>
      <c r="U94" s="9">
        <v>0.9166666666666666</v>
      </c>
      <c r="V94" s="4" t="s">
        <v>49</v>
      </c>
      <c r="W94" s="5">
        <v>1.0</v>
      </c>
      <c r="X94" s="5" t="b">
        <v>1</v>
      </c>
      <c r="Y94" s="5" t="s">
        <v>189</v>
      </c>
      <c r="Z94" s="5" t="b">
        <v>0</v>
      </c>
      <c r="AA94" s="10"/>
      <c r="AB94" s="4">
        <v>1.0</v>
      </c>
      <c r="AC94" s="5" t="s">
        <v>603</v>
      </c>
      <c r="AD94" s="5">
        <v>0.0</v>
      </c>
      <c r="AE94" s="5">
        <v>1.0</v>
      </c>
      <c r="AF94" s="8">
        <v>46161.0</v>
      </c>
      <c r="AG94" s="9">
        <v>0.375</v>
      </c>
      <c r="AH94" s="9">
        <v>0.9166666666666666</v>
      </c>
      <c r="AI94" s="4" t="s">
        <v>49</v>
      </c>
      <c r="AJ94" s="5" t="s">
        <v>197</v>
      </c>
      <c r="AK94" s="12"/>
      <c r="AL94" s="12"/>
      <c r="AM94" s="12"/>
      <c r="AN94" s="12"/>
      <c r="AO94" s="12"/>
      <c r="AP94" s="12"/>
      <c r="AQ94" s="12"/>
    </row>
    <row r="95">
      <c r="A95" s="5" t="s">
        <v>604</v>
      </c>
      <c r="B95" s="5">
        <v>1.1398423E7</v>
      </c>
      <c r="C95" s="5" t="s">
        <v>37</v>
      </c>
      <c r="D95" s="5" t="s">
        <v>605</v>
      </c>
      <c r="E95" s="5" t="s">
        <v>39</v>
      </c>
      <c r="F95" s="4" t="s">
        <v>606</v>
      </c>
      <c r="G95" s="4">
        <v>8.1287431188E10</v>
      </c>
      <c r="H95" s="4" t="s">
        <v>607</v>
      </c>
      <c r="I95" s="5" t="s">
        <v>42</v>
      </c>
      <c r="J95" s="5" t="s">
        <v>43</v>
      </c>
      <c r="K95" s="5">
        <v>8.7733785699E10</v>
      </c>
      <c r="L95" s="4" t="s">
        <v>44</v>
      </c>
      <c r="M95" s="5" t="s">
        <v>42</v>
      </c>
      <c r="N95" s="4" t="s">
        <v>45</v>
      </c>
      <c r="O95" s="4" t="s">
        <v>46</v>
      </c>
      <c r="P95" s="4" t="s">
        <v>187</v>
      </c>
      <c r="Q95" s="4">
        <v>16451.0</v>
      </c>
      <c r="R95" s="4" t="s">
        <v>608</v>
      </c>
      <c r="S95" s="8">
        <v>46161.0</v>
      </c>
      <c r="T95" s="9">
        <v>0.375</v>
      </c>
      <c r="U95" s="9">
        <v>0.9166666666666666</v>
      </c>
      <c r="V95" s="4" t="s">
        <v>49</v>
      </c>
      <c r="W95" s="5">
        <v>1.0</v>
      </c>
      <c r="X95" s="5" t="b">
        <v>1</v>
      </c>
      <c r="Y95" s="5" t="s">
        <v>189</v>
      </c>
      <c r="Z95" s="5" t="b">
        <v>0</v>
      </c>
      <c r="AA95" s="10"/>
      <c r="AB95" s="4">
        <v>1.0</v>
      </c>
      <c r="AC95" s="5" t="s">
        <v>609</v>
      </c>
      <c r="AD95" s="5">
        <v>0.0</v>
      </c>
      <c r="AE95" s="5">
        <v>1.0</v>
      </c>
      <c r="AF95" s="8">
        <v>46161.0</v>
      </c>
      <c r="AG95" s="9">
        <v>0.375</v>
      </c>
      <c r="AH95" s="9">
        <v>0.9166666666666666</v>
      </c>
      <c r="AI95" s="4" t="s">
        <v>49</v>
      </c>
      <c r="AJ95" s="5" t="s">
        <v>197</v>
      </c>
      <c r="AK95" s="12"/>
      <c r="AL95" s="12"/>
      <c r="AM95" s="12"/>
      <c r="AN95" s="12"/>
      <c r="AO95" s="12"/>
      <c r="AP95" s="12"/>
      <c r="AQ95" s="12"/>
    </row>
    <row r="96">
      <c r="A96" s="5" t="s">
        <v>610</v>
      </c>
      <c r="B96" s="5">
        <v>1.1398423E7</v>
      </c>
      <c r="C96" s="5" t="s">
        <v>37</v>
      </c>
      <c r="D96" s="5" t="s">
        <v>611</v>
      </c>
      <c r="E96" s="5" t="s">
        <v>39</v>
      </c>
      <c r="F96" s="4" t="s">
        <v>612</v>
      </c>
      <c r="G96" s="6">
        <v>6.28128E17</v>
      </c>
      <c r="H96" s="4" t="s">
        <v>613</v>
      </c>
      <c r="I96" s="5" t="s">
        <v>42</v>
      </c>
      <c r="J96" s="5" t="s">
        <v>43</v>
      </c>
      <c r="K96" s="5">
        <v>8.7733785699E10</v>
      </c>
      <c r="L96" s="4" t="s">
        <v>44</v>
      </c>
      <c r="M96" s="5" t="s">
        <v>42</v>
      </c>
      <c r="N96" s="4" t="s">
        <v>45</v>
      </c>
      <c r="O96" s="4" t="s">
        <v>46</v>
      </c>
      <c r="P96" s="4" t="s">
        <v>187</v>
      </c>
      <c r="Q96" s="4">
        <v>16451.0</v>
      </c>
      <c r="R96" s="4" t="s">
        <v>614</v>
      </c>
      <c r="S96" s="8">
        <v>46161.0</v>
      </c>
      <c r="T96" s="9">
        <v>0.375</v>
      </c>
      <c r="U96" s="9">
        <v>0.9166666666666666</v>
      </c>
      <c r="V96" s="4" t="s">
        <v>49</v>
      </c>
      <c r="W96" s="5">
        <v>1.0</v>
      </c>
      <c r="X96" s="5" t="b">
        <v>1</v>
      </c>
      <c r="Y96" s="5" t="s">
        <v>189</v>
      </c>
      <c r="Z96" s="5" t="b">
        <v>0</v>
      </c>
      <c r="AA96" s="10"/>
      <c r="AB96" s="4">
        <v>1.0</v>
      </c>
      <c r="AC96" s="5" t="s">
        <v>615</v>
      </c>
      <c r="AD96" s="5">
        <v>0.0</v>
      </c>
      <c r="AE96" s="5">
        <v>1.0</v>
      </c>
      <c r="AF96" s="8">
        <v>46161.0</v>
      </c>
      <c r="AG96" s="9">
        <v>0.375</v>
      </c>
      <c r="AH96" s="9">
        <v>0.9166666666666666</v>
      </c>
      <c r="AI96" s="4" t="s">
        <v>49</v>
      </c>
      <c r="AJ96" s="5" t="s">
        <v>197</v>
      </c>
      <c r="AK96" s="12"/>
      <c r="AL96" s="12"/>
      <c r="AM96" s="12"/>
      <c r="AN96" s="12"/>
      <c r="AO96" s="12"/>
      <c r="AP96" s="12"/>
      <c r="AQ96" s="12"/>
    </row>
    <row r="97">
      <c r="A97" s="5" t="s">
        <v>616</v>
      </c>
      <c r="B97" s="5">
        <v>1.1398423E7</v>
      </c>
      <c r="C97" s="5" t="s">
        <v>37</v>
      </c>
      <c r="D97" s="5" t="s">
        <v>617</v>
      </c>
      <c r="E97" s="5" t="s">
        <v>39</v>
      </c>
      <c r="F97" s="4" t="s">
        <v>618</v>
      </c>
      <c r="G97" s="4">
        <v>8.131030458E10</v>
      </c>
      <c r="H97" s="4" t="s">
        <v>619</v>
      </c>
      <c r="I97" s="5" t="s">
        <v>42</v>
      </c>
      <c r="J97" s="5" t="s">
        <v>43</v>
      </c>
      <c r="K97" s="5">
        <v>8.7733785699E10</v>
      </c>
      <c r="L97" s="4" t="s">
        <v>44</v>
      </c>
      <c r="M97" s="5" t="s">
        <v>42</v>
      </c>
      <c r="N97" s="4" t="s">
        <v>45</v>
      </c>
      <c r="O97" s="4" t="s">
        <v>46</v>
      </c>
      <c r="P97" s="4" t="s">
        <v>187</v>
      </c>
      <c r="Q97" s="4">
        <v>16451.0</v>
      </c>
      <c r="R97" s="4" t="s">
        <v>620</v>
      </c>
      <c r="S97" s="8">
        <v>46161.0</v>
      </c>
      <c r="T97" s="9">
        <v>0.375</v>
      </c>
      <c r="U97" s="9">
        <v>0.9166666666666666</v>
      </c>
      <c r="V97" s="4" t="s">
        <v>49</v>
      </c>
      <c r="W97" s="5">
        <v>1.0</v>
      </c>
      <c r="X97" s="5" t="b">
        <v>1</v>
      </c>
      <c r="Y97" s="5" t="s">
        <v>189</v>
      </c>
      <c r="Z97" s="5" t="b">
        <v>0</v>
      </c>
      <c r="AA97" s="10"/>
      <c r="AB97" s="4">
        <v>1.0</v>
      </c>
      <c r="AC97" s="5" t="s">
        <v>621</v>
      </c>
      <c r="AD97" s="5">
        <v>0.0</v>
      </c>
      <c r="AE97" s="5">
        <v>1.0</v>
      </c>
      <c r="AF97" s="8">
        <v>46161.0</v>
      </c>
      <c r="AG97" s="9">
        <v>0.375</v>
      </c>
      <c r="AH97" s="9">
        <v>0.9166666666666666</v>
      </c>
      <c r="AI97" s="4" t="s">
        <v>49</v>
      </c>
      <c r="AJ97" s="5" t="s">
        <v>197</v>
      </c>
      <c r="AK97" s="12"/>
      <c r="AL97" s="12"/>
      <c r="AM97" s="12"/>
      <c r="AN97" s="12"/>
      <c r="AO97" s="12"/>
      <c r="AP97" s="12"/>
      <c r="AQ97" s="12"/>
    </row>
    <row r="98">
      <c r="A98" s="5" t="s">
        <v>622</v>
      </c>
      <c r="B98" s="5">
        <v>1.1398423E7</v>
      </c>
      <c r="C98" s="5" t="s">
        <v>37</v>
      </c>
      <c r="D98" s="5" t="s">
        <v>623</v>
      </c>
      <c r="E98" s="5" t="s">
        <v>39</v>
      </c>
      <c r="F98" s="4" t="s">
        <v>624</v>
      </c>
      <c r="G98" s="4">
        <v>8.7889948537E10</v>
      </c>
      <c r="H98" s="4" t="s">
        <v>625</v>
      </c>
      <c r="I98" s="5" t="s">
        <v>42</v>
      </c>
      <c r="J98" s="5" t="s">
        <v>43</v>
      </c>
      <c r="K98" s="5">
        <v>8.7733785699E10</v>
      </c>
      <c r="L98" s="4" t="s">
        <v>44</v>
      </c>
      <c r="M98" s="5" t="s">
        <v>42</v>
      </c>
      <c r="N98" s="4" t="s">
        <v>45</v>
      </c>
      <c r="O98" s="4" t="s">
        <v>46</v>
      </c>
      <c r="P98" s="4" t="s">
        <v>187</v>
      </c>
      <c r="Q98" s="4">
        <v>16451.0</v>
      </c>
      <c r="R98" s="4" t="s">
        <v>626</v>
      </c>
      <c r="S98" s="8">
        <v>46161.0</v>
      </c>
      <c r="T98" s="9">
        <v>0.375</v>
      </c>
      <c r="U98" s="9">
        <v>0.9166666666666666</v>
      </c>
      <c r="V98" s="4" t="s">
        <v>49</v>
      </c>
      <c r="W98" s="5">
        <v>1.0</v>
      </c>
      <c r="X98" s="5" t="b">
        <v>1</v>
      </c>
      <c r="Y98" s="5" t="s">
        <v>189</v>
      </c>
      <c r="Z98" s="5" t="b">
        <v>0</v>
      </c>
      <c r="AA98" s="10"/>
      <c r="AB98" s="4">
        <v>1.0</v>
      </c>
      <c r="AC98" s="5" t="s">
        <v>627</v>
      </c>
      <c r="AD98" s="5">
        <v>0.0</v>
      </c>
      <c r="AE98" s="5">
        <v>1.0</v>
      </c>
      <c r="AF98" s="8">
        <v>46161.0</v>
      </c>
      <c r="AG98" s="9">
        <v>0.375</v>
      </c>
      <c r="AH98" s="9">
        <v>0.9166666666666666</v>
      </c>
      <c r="AI98" s="4" t="s">
        <v>49</v>
      </c>
      <c r="AJ98" s="5" t="s">
        <v>197</v>
      </c>
      <c r="AK98" s="12"/>
      <c r="AL98" s="12"/>
      <c r="AM98" s="12"/>
      <c r="AN98" s="12"/>
      <c r="AO98" s="12"/>
      <c r="AP98" s="12"/>
      <c r="AQ98" s="12"/>
    </row>
    <row r="99">
      <c r="A99" s="5" t="s">
        <v>628</v>
      </c>
      <c r="B99" s="5">
        <v>1.1398423E7</v>
      </c>
      <c r="C99" s="5" t="s">
        <v>37</v>
      </c>
      <c r="D99" s="5" t="s">
        <v>629</v>
      </c>
      <c r="E99" s="5" t="s">
        <v>39</v>
      </c>
      <c r="F99" s="4" t="s">
        <v>630</v>
      </c>
      <c r="G99" s="6">
        <v>6.2813E16</v>
      </c>
      <c r="H99" s="4" t="s">
        <v>631</v>
      </c>
      <c r="I99" s="5" t="s">
        <v>42</v>
      </c>
      <c r="J99" s="5" t="s">
        <v>43</v>
      </c>
      <c r="K99" s="5">
        <v>8.7733785699E10</v>
      </c>
      <c r="L99" s="4" t="s">
        <v>44</v>
      </c>
      <c r="M99" s="5" t="s">
        <v>42</v>
      </c>
      <c r="N99" s="4" t="s">
        <v>45</v>
      </c>
      <c r="O99" s="4" t="s">
        <v>46</v>
      </c>
      <c r="P99" s="4" t="s">
        <v>187</v>
      </c>
      <c r="Q99" s="4">
        <v>16451.0</v>
      </c>
      <c r="R99" s="4" t="s">
        <v>632</v>
      </c>
      <c r="S99" s="8">
        <v>46161.0</v>
      </c>
      <c r="T99" s="9">
        <v>0.375</v>
      </c>
      <c r="U99" s="9">
        <v>0.9166666666666666</v>
      </c>
      <c r="V99" s="4" t="s">
        <v>49</v>
      </c>
      <c r="W99" s="5">
        <v>1.0</v>
      </c>
      <c r="X99" s="5" t="b">
        <v>1</v>
      </c>
      <c r="Y99" s="5" t="s">
        <v>189</v>
      </c>
      <c r="Z99" s="5" t="b">
        <v>0</v>
      </c>
      <c r="AA99" s="10"/>
      <c r="AB99" s="4">
        <v>1.0</v>
      </c>
      <c r="AC99" s="5" t="s">
        <v>633</v>
      </c>
      <c r="AD99" s="5">
        <v>0.0</v>
      </c>
      <c r="AE99" s="5">
        <v>1.0</v>
      </c>
      <c r="AF99" s="8">
        <v>46161.0</v>
      </c>
      <c r="AG99" s="9">
        <v>0.375</v>
      </c>
      <c r="AH99" s="9">
        <v>0.9166666666666666</v>
      </c>
      <c r="AI99" s="4" t="s">
        <v>49</v>
      </c>
      <c r="AJ99" s="5" t="s">
        <v>197</v>
      </c>
      <c r="AK99" s="12"/>
      <c r="AL99" s="12"/>
      <c r="AM99" s="12"/>
      <c r="AN99" s="12"/>
      <c r="AO99" s="12"/>
      <c r="AP99" s="12"/>
      <c r="AQ99" s="12"/>
    </row>
    <row r="100">
      <c r="A100" s="5" t="s">
        <v>634</v>
      </c>
      <c r="B100" s="5">
        <v>1.1398423E7</v>
      </c>
      <c r="C100" s="5" t="s">
        <v>37</v>
      </c>
      <c r="D100" s="5" t="s">
        <v>635</v>
      </c>
      <c r="E100" s="5" t="s">
        <v>39</v>
      </c>
      <c r="F100" s="4" t="s">
        <v>636</v>
      </c>
      <c r="G100" s="4">
        <v>8.129672449E9</v>
      </c>
      <c r="H100" s="4" t="s">
        <v>637</v>
      </c>
      <c r="I100" s="5" t="s">
        <v>42</v>
      </c>
      <c r="J100" s="5" t="s">
        <v>43</v>
      </c>
      <c r="K100" s="5">
        <v>8.7733785699E10</v>
      </c>
      <c r="L100" s="4" t="s">
        <v>44</v>
      </c>
      <c r="M100" s="5" t="s">
        <v>42</v>
      </c>
      <c r="N100" s="4" t="s">
        <v>45</v>
      </c>
      <c r="O100" s="4" t="s">
        <v>46</v>
      </c>
      <c r="P100" s="4" t="s">
        <v>187</v>
      </c>
      <c r="Q100" s="4">
        <v>16451.0</v>
      </c>
      <c r="R100" s="4" t="s">
        <v>638</v>
      </c>
      <c r="S100" s="8">
        <v>46161.0</v>
      </c>
      <c r="T100" s="9">
        <v>0.375</v>
      </c>
      <c r="U100" s="9">
        <v>0.9166666666666666</v>
      </c>
      <c r="V100" s="4" t="s">
        <v>49</v>
      </c>
      <c r="W100" s="5">
        <v>1.0</v>
      </c>
      <c r="X100" s="5" t="b">
        <v>1</v>
      </c>
      <c r="Y100" s="5" t="s">
        <v>189</v>
      </c>
      <c r="Z100" s="5" t="b">
        <v>0</v>
      </c>
      <c r="AA100" s="10"/>
      <c r="AB100" s="4">
        <v>1.0</v>
      </c>
      <c r="AC100" s="5" t="s">
        <v>639</v>
      </c>
      <c r="AD100" s="5">
        <v>0.0</v>
      </c>
      <c r="AE100" s="5">
        <v>1.0</v>
      </c>
      <c r="AF100" s="8">
        <v>46161.0</v>
      </c>
      <c r="AG100" s="9">
        <v>0.375</v>
      </c>
      <c r="AH100" s="9">
        <v>0.9166666666666666</v>
      </c>
      <c r="AI100" s="4" t="s">
        <v>49</v>
      </c>
      <c r="AJ100" s="5" t="s">
        <v>197</v>
      </c>
      <c r="AK100" s="12"/>
      <c r="AL100" s="12"/>
      <c r="AM100" s="12"/>
      <c r="AN100" s="12"/>
      <c r="AO100" s="12"/>
      <c r="AP100" s="12"/>
      <c r="AQ100" s="12"/>
    </row>
    <row r="101">
      <c r="A101" s="5" t="s">
        <v>640</v>
      </c>
      <c r="B101" s="5">
        <v>1.1398423E7</v>
      </c>
      <c r="C101" s="5" t="s">
        <v>37</v>
      </c>
      <c r="D101" s="5" t="s">
        <v>641</v>
      </c>
      <c r="E101" s="5" t="s">
        <v>39</v>
      </c>
      <c r="F101" s="4" t="s">
        <v>642</v>
      </c>
      <c r="G101" s="6">
        <v>6.28138E17</v>
      </c>
      <c r="H101" s="4" t="s">
        <v>643</v>
      </c>
      <c r="I101" s="5" t="s">
        <v>42</v>
      </c>
      <c r="J101" s="5" t="s">
        <v>43</v>
      </c>
      <c r="K101" s="5">
        <v>8.7733785699E10</v>
      </c>
      <c r="L101" s="4" t="s">
        <v>44</v>
      </c>
      <c r="M101" s="5" t="s">
        <v>42</v>
      </c>
      <c r="N101" s="4" t="s">
        <v>45</v>
      </c>
      <c r="O101" s="4" t="s">
        <v>46</v>
      </c>
      <c r="P101" s="4" t="s">
        <v>187</v>
      </c>
      <c r="Q101" s="4">
        <v>16451.0</v>
      </c>
      <c r="R101" s="4" t="s">
        <v>644</v>
      </c>
      <c r="S101" s="8">
        <v>46161.0</v>
      </c>
      <c r="T101" s="9">
        <v>0.375</v>
      </c>
      <c r="U101" s="9">
        <v>0.9166666666666666</v>
      </c>
      <c r="V101" s="4" t="s">
        <v>49</v>
      </c>
      <c r="W101" s="5">
        <v>1.0</v>
      </c>
      <c r="X101" s="5" t="b">
        <v>1</v>
      </c>
      <c r="Y101" s="5" t="s">
        <v>189</v>
      </c>
      <c r="Z101" s="5" t="b">
        <v>0</v>
      </c>
      <c r="AA101" s="10"/>
      <c r="AB101" s="4">
        <v>1.0</v>
      </c>
      <c r="AC101" s="5" t="s">
        <v>645</v>
      </c>
      <c r="AD101" s="5">
        <v>0.0</v>
      </c>
      <c r="AE101" s="5">
        <v>1.0</v>
      </c>
      <c r="AF101" s="8">
        <v>46161.0</v>
      </c>
      <c r="AG101" s="9">
        <v>0.375</v>
      </c>
      <c r="AH101" s="9">
        <v>0.9166666666666666</v>
      </c>
      <c r="AI101" s="4" t="s">
        <v>49</v>
      </c>
      <c r="AJ101" s="5" t="s">
        <v>197</v>
      </c>
      <c r="AK101" s="12"/>
      <c r="AL101" s="12"/>
      <c r="AM101" s="12"/>
      <c r="AN101" s="12"/>
      <c r="AO101" s="12"/>
      <c r="AP101" s="12"/>
      <c r="AQ101" s="12"/>
    </row>
    <row r="102">
      <c r="A102" s="5" t="s">
        <v>646</v>
      </c>
      <c r="B102" s="5">
        <v>1.1398423E7</v>
      </c>
      <c r="C102" s="5" t="s">
        <v>37</v>
      </c>
      <c r="D102" s="5" t="s">
        <v>647</v>
      </c>
      <c r="E102" s="5" t="s">
        <v>39</v>
      </c>
      <c r="F102" s="4" t="s">
        <v>648</v>
      </c>
      <c r="G102" s="4">
        <v>8.1253548834E10</v>
      </c>
      <c r="H102" s="4" t="s">
        <v>649</v>
      </c>
      <c r="I102" s="5" t="s">
        <v>42</v>
      </c>
      <c r="J102" s="5" t="s">
        <v>43</v>
      </c>
      <c r="K102" s="5">
        <v>8.7733785699E10</v>
      </c>
      <c r="L102" s="4" t="s">
        <v>44</v>
      </c>
      <c r="M102" s="5" t="s">
        <v>42</v>
      </c>
      <c r="N102" s="4" t="s">
        <v>45</v>
      </c>
      <c r="O102" s="4" t="s">
        <v>46</v>
      </c>
      <c r="P102" s="4" t="s">
        <v>187</v>
      </c>
      <c r="Q102" s="4">
        <v>16451.0</v>
      </c>
      <c r="R102" s="4" t="s">
        <v>650</v>
      </c>
      <c r="S102" s="8">
        <v>46161.0</v>
      </c>
      <c r="T102" s="9">
        <v>0.375</v>
      </c>
      <c r="U102" s="9">
        <v>0.9166666666666666</v>
      </c>
      <c r="V102" s="4" t="s">
        <v>49</v>
      </c>
      <c r="W102" s="5">
        <v>1.0</v>
      </c>
      <c r="X102" s="5" t="b">
        <v>1</v>
      </c>
      <c r="Y102" s="5" t="s">
        <v>189</v>
      </c>
      <c r="Z102" s="5" t="b">
        <v>0</v>
      </c>
      <c r="AA102" s="10"/>
      <c r="AB102" s="4">
        <v>1.0</v>
      </c>
      <c r="AC102" s="5" t="s">
        <v>651</v>
      </c>
      <c r="AD102" s="5">
        <v>0.0</v>
      </c>
      <c r="AE102" s="5">
        <v>1.0</v>
      </c>
      <c r="AF102" s="8">
        <v>46161.0</v>
      </c>
      <c r="AG102" s="9">
        <v>0.375</v>
      </c>
      <c r="AH102" s="9">
        <v>0.9166666666666666</v>
      </c>
      <c r="AI102" s="4" t="s">
        <v>49</v>
      </c>
      <c r="AJ102" s="5" t="s">
        <v>197</v>
      </c>
      <c r="AK102" s="12"/>
      <c r="AL102" s="12"/>
      <c r="AM102" s="12"/>
      <c r="AN102" s="12"/>
      <c r="AO102" s="12"/>
      <c r="AP102" s="12"/>
      <c r="AQ102" s="12"/>
    </row>
    <row r="103">
      <c r="A103" s="5" t="s">
        <v>652</v>
      </c>
      <c r="B103" s="5">
        <v>1.1398423E7</v>
      </c>
      <c r="C103" s="5" t="s">
        <v>37</v>
      </c>
      <c r="D103" s="5" t="s">
        <v>653</v>
      </c>
      <c r="E103" s="5" t="s">
        <v>39</v>
      </c>
      <c r="F103" s="4" t="s">
        <v>654</v>
      </c>
      <c r="G103" s="6">
        <v>6.28788E17</v>
      </c>
      <c r="H103" s="4" t="s">
        <v>655</v>
      </c>
      <c r="I103" s="5" t="s">
        <v>42</v>
      </c>
      <c r="J103" s="5" t="s">
        <v>43</v>
      </c>
      <c r="K103" s="5">
        <v>8.7733785699E10</v>
      </c>
      <c r="L103" s="4" t="s">
        <v>44</v>
      </c>
      <c r="M103" s="5" t="s">
        <v>42</v>
      </c>
      <c r="N103" s="4" t="s">
        <v>45</v>
      </c>
      <c r="O103" s="4" t="s">
        <v>46</v>
      </c>
      <c r="P103" s="4" t="s">
        <v>187</v>
      </c>
      <c r="Q103" s="4">
        <v>16451.0</v>
      </c>
      <c r="R103" s="4" t="s">
        <v>656</v>
      </c>
      <c r="S103" s="8">
        <v>46161.0</v>
      </c>
      <c r="T103" s="9">
        <v>0.375</v>
      </c>
      <c r="U103" s="9">
        <v>0.9166666666666666</v>
      </c>
      <c r="V103" s="4" t="s">
        <v>49</v>
      </c>
      <c r="W103" s="5">
        <v>1.0</v>
      </c>
      <c r="X103" s="5" t="b">
        <v>1</v>
      </c>
      <c r="Y103" s="5" t="s">
        <v>189</v>
      </c>
      <c r="Z103" s="5" t="b">
        <v>0</v>
      </c>
      <c r="AA103" s="10"/>
      <c r="AB103" s="4">
        <v>1.0</v>
      </c>
      <c r="AC103" s="5" t="s">
        <v>657</v>
      </c>
      <c r="AD103" s="5">
        <v>0.0</v>
      </c>
      <c r="AE103" s="5">
        <v>1.0</v>
      </c>
      <c r="AF103" s="8">
        <v>46161.0</v>
      </c>
      <c r="AG103" s="9">
        <v>0.375</v>
      </c>
      <c r="AH103" s="9">
        <v>0.9166666666666666</v>
      </c>
      <c r="AI103" s="4" t="s">
        <v>49</v>
      </c>
      <c r="AJ103" s="5" t="s">
        <v>197</v>
      </c>
      <c r="AK103" s="12"/>
      <c r="AL103" s="12"/>
      <c r="AM103" s="12"/>
      <c r="AN103" s="12"/>
      <c r="AO103" s="12"/>
      <c r="AP103" s="12"/>
      <c r="AQ103" s="12"/>
    </row>
    <row r="104">
      <c r="A104" s="5" t="s">
        <v>658</v>
      </c>
      <c r="B104" s="5">
        <v>1.1398423E7</v>
      </c>
      <c r="C104" s="5" t="s">
        <v>37</v>
      </c>
      <c r="D104" s="5" t="s">
        <v>659</v>
      </c>
      <c r="E104" s="5" t="s">
        <v>39</v>
      </c>
      <c r="F104" s="4" t="s">
        <v>660</v>
      </c>
      <c r="G104" s="4">
        <v>8.7877209076E10</v>
      </c>
      <c r="H104" s="4" t="s">
        <v>661</v>
      </c>
      <c r="I104" s="5" t="s">
        <v>42</v>
      </c>
      <c r="J104" s="5" t="s">
        <v>43</v>
      </c>
      <c r="K104" s="5">
        <v>8.7733785699E10</v>
      </c>
      <c r="L104" s="4" t="s">
        <v>44</v>
      </c>
      <c r="M104" s="5" t="s">
        <v>42</v>
      </c>
      <c r="N104" s="4" t="s">
        <v>45</v>
      </c>
      <c r="O104" s="4" t="s">
        <v>46</v>
      </c>
      <c r="P104" s="4" t="s">
        <v>187</v>
      </c>
      <c r="Q104" s="4">
        <v>16451.0</v>
      </c>
      <c r="R104" s="4" t="s">
        <v>662</v>
      </c>
      <c r="S104" s="8">
        <v>46161.0</v>
      </c>
      <c r="T104" s="9">
        <v>0.375</v>
      </c>
      <c r="U104" s="9">
        <v>0.9166666666666666</v>
      </c>
      <c r="V104" s="4" t="s">
        <v>49</v>
      </c>
      <c r="W104" s="5">
        <v>1.0</v>
      </c>
      <c r="X104" s="5" t="b">
        <v>1</v>
      </c>
      <c r="Y104" s="5" t="s">
        <v>189</v>
      </c>
      <c r="Z104" s="5" t="b">
        <v>0</v>
      </c>
      <c r="AA104" s="10"/>
      <c r="AB104" s="4">
        <v>1.0</v>
      </c>
      <c r="AC104" s="5" t="s">
        <v>663</v>
      </c>
      <c r="AD104" s="5">
        <v>0.0</v>
      </c>
      <c r="AE104" s="5">
        <v>1.0</v>
      </c>
      <c r="AF104" s="8">
        <v>46161.0</v>
      </c>
      <c r="AG104" s="9">
        <v>0.375</v>
      </c>
      <c r="AH104" s="9">
        <v>0.9166666666666666</v>
      </c>
      <c r="AI104" s="4" t="s">
        <v>49</v>
      </c>
      <c r="AJ104" s="5" t="s">
        <v>197</v>
      </c>
      <c r="AK104" s="12"/>
      <c r="AL104" s="12"/>
      <c r="AM104" s="12"/>
      <c r="AN104" s="12"/>
      <c r="AO104" s="12"/>
      <c r="AP104" s="12"/>
      <c r="AQ104" s="12"/>
    </row>
    <row r="105">
      <c r="A105" s="5" t="s">
        <v>664</v>
      </c>
      <c r="B105" s="5">
        <v>1.1398423E7</v>
      </c>
      <c r="C105" s="5" t="s">
        <v>37</v>
      </c>
      <c r="D105" s="5" t="s">
        <v>665</v>
      </c>
      <c r="E105" s="5" t="s">
        <v>39</v>
      </c>
      <c r="F105" s="4" t="s">
        <v>666</v>
      </c>
      <c r="G105" s="6">
        <v>6.28162E16</v>
      </c>
      <c r="H105" s="4" t="s">
        <v>667</v>
      </c>
      <c r="I105" s="5" t="s">
        <v>42</v>
      </c>
      <c r="J105" s="5" t="s">
        <v>43</v>
      </c>
      <c r="K105" s="5">
        <v>8.7733785699E10</v>
      </c>
      <c r="L105" s="4" t="s">
        <v>44</v>
      </c>
      <c r="M105" s="5" t="s">
        <v>42</v>
      </c>
      <c r="N105" s="4" t="s">
        <v>45</v>
      </c>
      <c r="O105" s="4" t="s">
        <v>46</v>
      </c>
      <c r="P105" s="4" t="s">
        <v>187</v>
      </c>
      <c r="Q105" s="4">
        <v>16451.0</v>
      </c>
      <c r="R105" s="4" t="s">
        <v>668</v>
      </c>
      <c r="S105" s="8">
        <v>46161.0</v>
      </c>
      <c r="T105" s="9">
        <v>0.375</v>
      </c>
      <c r="U105" s="9">
        <v>0.9166666666666666</v>
      </c>
      <c r="V105" s="4" t="s">
        <v>49</v>
      </c>
      <c r="W105" s="5">
        <v>1.0</v>
      </c>
      <c r="X105" s="5" t="b">
        <v>1</v>
      </c>
      <c r="Y105" s="5" t="s">
        <v>189</v>
      </c>
      <c r="Z105" s="5" t="b">
        <v>0</v>
      </c>
      <c r="AA105" s="10"/>
      <c r="AB105" s="4">
        <v>1.0</v>
      </c>
      <c r="AC105" s="5" t="s">
        <v>669</v>
      </c>
      <c r="AD105" s="5">
        <v>0.0</v>
      </c>
      <c r="AE105" s="5">
        <v>1.0</v>
      </c>
      <c r="AF105" s="8">
        <v>46161.0</v>
      </c>
      <c r="AG105" s="9">
        <v>0.375</v>
      </c>
      <c r="AH105" s="9">
        <v>0.9166666666666666</v>
      </c>
      <c r="AI105" s="4" t="s">
        <v>49</v>
      </c>
      <c r="AJ105" s="5" t="s">
        <v>197</v>
      </c>
      <c r="AK105" s="12"/>
      <c r="AL105" s="12"/>
      <c r="AM105" s="12"/>
      <c r="AN105" s="12"/>
      <c r="AO105" s="12"/>
      <c r="AP105" s="12"/>
      <c r="AQ105" s="12"/>
    </row>
    <row r="106">
      <c r="A106" s="5" t="s">
        <v>670</v>
      </c>
      <c r="B106" s="5">
        <v>1.1398423E7</v>
      </c>
      <c r="C106" s="5" t="s">
        <v>37</v>
      </c>
      <c r="D106" s="5" t="s">
        <v>671</v>
      </c>
      <c r="E106" s="5" t="s">
        <v>39</v>
      </c>
      <c r="F106" s="4" t="s">
        <v>672</v>
      </c>
      <c r="G106" s="6">
        <v>6.28232E17</v>
      </c>
      <c r="H106" s="4" t="s">
        <v>673</v>
      </c>
      <c r="I106" s="5" t="s">
        <v>42</v>
      </c>
      <c r="J106" s="5" t="s">
        <v>43</v>
      </c>
      <c r="K106" s="5">
        <v>8.7733785699E10</v>
      </c>
      <c r="L106" s="4" t="s">
        <v>44</v>
      </c>
      <c r="M106" s="5" t="s">
        <v>42</v>
      </c>
      <c r="N106" s="4" t="s">
        <v>45</v>
      </c>
      <c r="O106" s="4" t="s">
        <v>46</v>
      </c>
      <c r="P106" s="4" t="s">
        <v>187</v>
      </c>
      <c r="Q106" s="4">
        <v>16451.0</v>
      </c>
      <c r="R106" s="4" t="s">
        <v>674</v>
      </c>
      <c r="S106" s="8">
        <v>46161.0</v>
      </c>
      <c r="T106" s="9">
        <v>0.375</v>
      </c>
      <c r="U106" s="9">
        <v>0.9166666666666666</v>
      </c>
      <c r="V106" s="4" t="s">
        <v>49</v>
      </c>
      <c r="W106" s="5">
        <v>1.0</v>
      </c>
      <c r="X106" s="5" t="b">
        <v>1</v>
      </c>
      <c r="Y106" s="5" t="s">
        <v>189</v>
      </c>
      <c r="Z106" s="5" t="b">
        <v>0</v>
      </c>
      <c r="AA106" s="10"/>
      <c r="AB106" s="4">
        <v>1.0</v>
      </c>
      <c r="AC106" s="5" t="s">
        <v>675</v>
      </c>
      <c r="AD106" s="5">
        <v>0.0</v>
      </c>
      <c r="AE106" s="5">
        <v>1.0</v>
      </c>
      <c r="AF106" s="8">
        <v>46161.0</v>
      </c>
      <c r="AG106" s="9">
        <v>0.375</v>
      </c>
      <c r="AH106" s="9">
        <v>0.9166666666666666</v>
      </c>
      <c r="AI106" s="4" t="s">
        <v>49</v>
      </c>
      <c r="AJ106" s="5" t="s">
        <v>197</v>
      </c>
      <c r="AK106" s="12"/>
      <c r="AL106" s="12"/>
      <c r="AM106" s="12"/>
      <c r="AN106" s="12"/>
      <c r="AO106" s="12"/>
      <c r="AP106" s="12"/>
      <c r="AQ106" s="12"/>
    </row>
    <row r="107">
      <c r="A107" s="5" t="s">
        <v>676</v>
      </c>
      <c r="B107" s="5">
        <v>1.1398423E7</v>
      </c>
      <c r="C107" s="5" t="s">
        <v>37</v>
      </c>
      <c r="D107" s="5" t="s">
        <v>677</v>
      </c>
      <c r="E107" s="5" t="s">
        <v>39</v>
      </c>
      <c r="F107" s="4" t="s">
        <v>678</v>
      </c>
      <c r="G107" s="6">
        <v>6.28589E17</v>
      </c>
      <c r="H107" s="4" t="s">
        <v>679</v>
      </c>
      <c r="I107" s="5" t="s">
        <v>42</v>
      </c>
      <c r="J107" s="5" t="s">
        <v>43</v>
      </c>
      <c r="K107" s="5">
        <v>8.7733785699E10</v>
      </c>
      <c r="L107" s="4" t="s">
        <v>44</v>
      </c>
      <c r="M107" s="5" t="s">
        <v>42</v>
      </c>
      <c r="N107" s="4" t="s">
        <v>45</v>
      </c>
      <c r="O107" s="4" t="s">
        <v>46</v>
      </c>
      <c r="P107" s="4" t="s">
        <v>187</v>
      </c>
      <c r="Q107" s="4">
        <v>16451.0</v>
      </c>
      <c r="R107" s="4" t="s">
        <v>680</v>
      </c>
      <c r="S107" s="8">
        <v>46161.0</v>
      </c>
      <c r="T107" s="9">
        <v>0.375</v>
      </c>
      <c r="U107" s="9">
        <v>0.9166666666666666</v>
      </c>
      <c r="V107" s="4" t="s">
        <v>49</v>
      </c>
      <c r="W107" s="5">
        <v>1.0</v>
      </c>
      <c r="X107" s="5" t="b">
        <v>1</v>
      </c>
      <c r="Y107" s="5" t="s">
        <v>189</v>
      </c>
      <c r="Z107" s="5" t="b">
        <v>0</v>
      </c>
      <c r="AA107" s="10"/>
      <c r="AB107" s="4">
        <v>1.0</v>
      </c>
      <c r="AC107" s="5" t="s">
        <v>681</v>
      </c>
      <c r="AD107" s="5">
        <v>0.0</v>
      </c>
      <c r="AE107" s="5">
        <v>1.0</v>
      </c>
      <c r="AF107" s="8">
        <v>46161.0</v>
      </c>
      <c r="AG107" s="9">
        <v>0.375</v>
      </c>
      <c r="AH107" s="9">
        <v>0.9166666666666666</v>
      </c>
      <c r="AI107" s="4" t="s">
        <v>49</v>
      </c>
      <c r="AJ107" s="5" t="s">
        <v>197</v>
      </c>
      <c r="AK107" s="12"/>
      <c r="AL107" s="12"/>
      <c r="AM107" s="12"/>
      <c r="AN107" s="12"/>
      <c r="AO107" s="12"/>
      <c r="AP107" s="12"/>
      <c r="AQ107" s="12"/>
    </row>
    <row r="108">
      <c r="A108" s="5" t="s">
        <v>682</v>
      </c>
      <c r="B108" s="5">
        <v>1.1398423E7</v>
      </c>
      <c r="C108" s="5" t="s">
        <v>37</v>
      </c>
      <c r="D108" s="5" t="s">
        <v>683</v>
      </c>
      <c r="E108" s="5" t="s">
        <v>39</v>
      </c>
      <c r="F108" s="4" t="s">
        <v>684</v>
      </c>
      <c r="G108" s="6">
        <v>6.28528E17</v>
      </c>
      <c r="H108" s="4" t="s">
        <v>685</v>
      </c>
      <c r="I108" s="5" t="s">
        <v>42</v>
      </c>
      <c r="J108" s="5" t="s">
        <v>43</v>
      </c>
      <c r="K108" s="5">
        <v>8.7733785699E10</v>
      </c>
      <c r="L108" s="4" t="s">
        <v>44</v>
      </c>
      <c r="M108" s="5" t="s">
        <v>42</v>
      </c>
      <c r="N108" s="4" t="s">
        <v>45</v>
      </c>
      <c r="O108" s="4" t="s">
        <v>46</v>
      </c>
      <c r="P108" s="4" t="s">
        <v>187</v>
      </c>
      <c r="Q108" s="4">
        <v>16451.0</v>
      </c>
      <c r="R108" s="4" t="s">
        <v>686</v>
      </c>
      <c r="S108" s="8">
        <v>46161.0</v>
      </c>
      <c r="T108" s="9">
        <v>0.375</v>
      </c>
      <c r="U108" s="9">
        <v>0.9166666666666666</v>
      </c>
      <c r="V108" s="4" t="s">
        <v>49</v>
      </c>
      <c r="W108" s="5">
        <v>1.0</v>
      </c>
      <c r="X108" s="5" t="b">
        <v>1</v>
      </c>
      <c r="Y108" s="5" t="s">
        <v>189</v>
      </c>
      <c r="Z108" s="5" t="b">
        <v>0</v>
      </c>
      <c r="AA108" s="10"/>
      <c r="AB108" s="4">
        <v>1.0</v>
      </c>
      <c r="AC108" s="5" t="s">
        <v>687</v>
      </c>
      <c r="AD108" s="5">
        <v>0.0</v>
      </c>
      <c r="AE108" s="5">
        <v>1.0</v>
      </c>
      <c r="AF108" s="8">
        <v>46161.0</v>
      </c>
      <c r="AG108" s="9">
        <v>0.375</v>
      </c>
      <c r="AH108" s="9">
        <v>0.9166666666666666</v>
      </c>
      <c r="AI108" s="4" t="s">
        <v>49</v>
      </c>
      <c r="AJ108" s="5" t="s">
        <v>197</v>
      </c>
      <c r="AK108" s="12"/>
      <c r="AL108" s="12"/>
      <c r="AM108" s="12"/>
      <c r="AN108" s="12"/>
      <c r="AO108" s="12"/>
      <c r="AP108" s="12"/>
      <c r="AQ108" s="12"/>
    </row>
    <row r="109">
      <c r="A109" s="5" t="s">
        <v>688</v>
      </c>
      <c r="B109" s="5">
        <v>1.1398423E7</v>
      </c>
      <c r="C109" s="5" t="s">
        <v>37</v>
      </c>
      <c r="D109" s="5" t="s">
        <v>689</v>
      </c>
      <c r="E109" s="5" t="s">
        <v>39</v>
      </c>
      <c r="F109" s="4" t="s">
        <v>690</v>
      </c>
      <c r="G109" s="6">
        <v>6.28582E17</v>
      </c>
      <c r="H109" s="4" t="s">
        <v>691</v>
      </c>
      <c r="I109" s="5" t="s">
        <v>42</v>
      </c>
      <c r="J109" s="5" t="s">
        <v>43</v>
      </c>
      <c r="K109" s="5">
        <v>8.7733785699E10</v>
      </c>
      <c r="L109" s="4" t="s">
        <v>44</v>
      </c>
      <c r="M109" s="5" t="s">
        <v>42</v>
      </c>
      <c r="N109" s="4" t="s">
        <v>45</v>
      </c>
      <c r="O109" s="4" t="s">
        <v>46</v>
      </c>
      <c r="P109" s="4" t="s">
        <v>187</v>
      </c>
      <c r="Q109" s="4">
        <v>16451.0</v>
      </c>
      <c r="R109" s="4" t="s">
        <v>692</v>
      </c>
      <c r="S109" s="8">
        <v>46161.0</v>
      </c>
      <c r="T109" s="9">
        <v>0.375</v>
      </c>
      <c r="U109" s="9">
        <v>0.9166666666666666</v>
      </c>
      <c r="V109" s="4" t="s">
        <v>49</v>
      </c>
      <c r="W109" s="5">
        <v>1.0</v>
      </c>
      <c r="X109" s="5" t="b">
        <v>1</v>
      </c>
      <c r="Y109" s="5" t="s">
        <v>189</v>
      </c>
      <c r="Z109" s="5" t="b">
        <v>0</v>
      </c>
      <c r="AA109" s="10"/>
      <c r="AB109" s="4">
        <v>1.0</v>
      </c>
      <c r="AC109" s="5" t="s">
        <v>693</v>
      </c>
      <c r="AD109" s="5">
        <v>0.0</v>
      </c>
      <c r="AE109" s="5">
        <v>1.0</v>
      </c>
      <c r="AF109" s="8">
        <v>46161.0</v>
      </c>
      <c r="AG109" s="9">
        <v>0.375</v>
      </c>
      <c r="AH109" s="9">
        <v>0.9166666666666666</v>
      </c>
      <c r="AI109" s="4" t="s">
        <v>49</v>
      </c>
      <c r="AJ109" s="5" t="s">
        <v>197</v>
      </c>
      <c r="AK109" s="12"/>
      <c r="AL109" s="12"/>
      <c r="AM109" s="12"/>
      <c r="AN109" s="12"/>
      <c r="AO109" s="12"/>
      <c r="AP109" s="12"/>
      <c r="AQ109" s="12"/>
    </row>
    <row r="110">
      <c r="A110" s="5" t="s">
        <v>694</v>
      </c>
      <c r="B110" s="5">
        <v>1.1398423E7</v>
      </c>
      <c r="C110" s="5" t="s">
        <v>37</v>
      </c>
      <c r="D110" s="5" t="s">
        <v>695</v>
      </c>
      <c r="E110" s="5" t="s">
        <v>39</v>
      </c>
      <c r="F110" s="4" t="s">
        <v>696</v>
      </c>
      <c r="G110" s="6">
        <v>6.28785E17</v>
      </c>
      <c r="H110" s="4" t="s">
        <v>697</v>
      </c>
      <c r="I110" s="5" t="s">
        <v>42</v>
      </c>
      <c r="J110" s="5" t="s">
        <v>43</v>
      </c>
      <c r="K110" s="5">
        <v>8.7733785699E10</v>
      </c>
      <c r="L110" s="4" t="s">
        <v>44</v>
      </c>
      <c r="M110" s="5" t="s">
        <v>42</v>
      </c>
      <c r="N110" s="4" t="s">
        <v>45</v>
      </c>
      <c r="O110" s="4" t="s">
        <v>46</v>
      </c>
      <c r="P110" s="4" t="s">
        <v>187</v>
      </c>
      <c r="Q110" s="4">
        <v>16451.0</v>
      </c>
      <c r="R110" s="4" t="s">
        <v>698</v>
      </c>
      <c r="S110" s="8">
        <v>46161.0</v>
      </c>
      <c r="T110" s="9">
        <v>0.375</v>
      </c>
      <c r="U110" s="9">
        <v>0.9166666666666666</v>
      </c>
      <c r="V110" s="4" t="s">
        <v>49</v>
      </c>
      <c r="W110" s="5">
        <v>1.0</v>
      </c>
      <c r="X110" s="5" t="b">
        <v>1</v>
      </c>
      <c r="Y110" s="5" t="s">
        <v>189</v>
      </c>
      <c r="Z110" s="5" t="b">
        <v>0</v>
      </c>
      <c r="AA110" s="10"/>
      <c r="AB110" s="4">
        <v>1.0</v>
      </c>
      <c r="AC110" s="5" t="s">
        <v>699</v>
      </c>
      <c r="AD110" s="5">
        <v>0.0</v>
      </c>
      <c r="AE110" s="5">
        <v>1.0</v>
      </c>
      <c r="AF110" s="8">
        <v>46161.0</v>
      </c>
      <c r="AG110" s="9">
        <v>0.375</v>
      </c>
      <c r="AH110" s="9">
        <v>0.9166666666666666</v>
      </c>
      <c r="AI110" s="4" t="s">
        <v>49</v>
      </c>
      <c r="AJ110" s="5" t="s">
        <v>197</v>
      </c>
      <c r="AK110" s="12"/>
      <c r="AL110" s="12"/>
      <c r="AM110" s="12"/>
      <c r="AN110" s="12"/>
      <c r="AO110" s="12"/>
      <c r="AP110" s="12"/>
      <c r="AQ110" s="12"/>
    </row>
    <row r="111">
      <c r="A111" s="5" t="s">
        <v>700</v>
      </c>
      <c r="B111" s="5">
        <v>1.1398423E7</v>
      </c>
      <c r="C111" s="5" t="s">
        <v>37</v>
      </c>
      <c r="D111" s="5" t="s">
        <v>701</v>
      </c>
      <c r="E111" s="5" t="s">
        <v>39</v>
      </c>
      <c r="F111" s="4" t="s">
        <v>702</v>
      </c>
      <c r="G111" s="6">
        <v>6.2881E17</v>
      </c>
      <c r="H111" s="4" t="s">
        <v>703</v>
      </c>
      <c r="I111" s="5" t="s">
        <v>42</v>
      </c>
      <c r="J111" s="5" t="s">
        <v>43</v>
      </c>
      <c r="K111" s="5">
        <v>8.7733785699E10</v>
      </c>
      <c r="L111" s="4" t="s">
        <v>44</v>
      </c>
      <c r="M111" s="5" t="s">
        <v>42</v>
      </c>
      <c r="N111" s="4" t="s">
        <v>45</v>
      </c>
      <c r="O111" s="4" t="s">
        <v>46</v>
      </c>
      <c r="P111" s="4" t="s">
        <v>187</v>
      </c>
      <c r="Q111" s="4">
        <v>16451.0</v>
      </c>
      <c r="R111" s="4" t="s">
        <v>704</v>
      </c>
      <c r="S111" s="8">
        <v>46161.0</v>
      </c>
      <c r="T111" s="9">
        <v>0.375</v>
      </c>
      <c r="U111" s="9">
        <v>0.9166666666666666</v>
      </c>
      <c r="V111" s="4" t="s">
        <v>49</v>
      </c>
      <c r="W111" s="5">
        <v>1.0</v>
      </c>
      <c r="X111" s="5" t="b">
        <v>1</v>
      </c>
      <c r="Y111" s="5" t="s">
        <v>189</v>
      </c>
      <c r="Z111" s="5" t="b">
        <v>0</v>
      </c>
      <c r="AA111" s="10"/>
      <c r="AB111" s="4">
        <v>1.0</v>
      </c>
      <c r="AC111" s="5" t="s">
        <v>705</v>
      </c>
      <c r="AD111" s="5">
        <v>0.0</v>
      </c>
      <c r="AE111" s="5">
        <v>1.0</v>
      </c>
      <c r="AF111" s="8">
        <v>46161.0</v>
      </c>
      <c r="AG111" s="9">
        <v>0.375</v>
      </c>
      <c r="AH111" s="9">
        <v>0.9166666666666666</v>
      </c>
      <c r="AI111" s="4" t="s">
        <v>49</v>
      </c>
      <c r="AJ111" s="5" t="s">
        <v>197</v>
      </c>
      <c r="AK111" s="12"/>
      <c r="AL111" s="12"/>
      <c r="AM111" s="12"/>
      <c r="AN111" s="12"/>
      <c r="AO111" s="12"/>
      <c r="AP111" s="12"/>
      <c r="AQ111" s="12"/>
    </row>
    <row r="112">
      <c r="A112" s="5" t="s">
        <v>706</v>
      </c>
      <c r="B112" s="5">
        <v>1.1398423E7</v>
      </c>
      <c r="C112" s="5" t="s">
        <v>37</v>
      </c>
      <c r="D112" s="5" t="s">
        <v>707</v>
      </c>
      <c r="E112" s="5" t="s">
        <v>39</v>
      </c>
      <c r="F112" s="4" t="s">
        <v>708</v>
      </c>
      <c r="G112" s="6">
        <v>6.28521E17</v>
      </c>
      <c r="H112" s="4" t="s">
        <v>709</v>
      </c>
      <c r="I112" s="5" t="s">
        <v>42</v>
      </c>
      <c r="J112" s="5" t="s">
        <v>43</v>
      </c>
      <c r="K112" s="5">
        <v>8.7733785699E10</v>
      </c>
      <c r="L112" s="4" t="s">
        <v>44</v>
      </c>
      <c r="M112" s="5" t="s">
        <v>42</v>
      </c>
      <c r="N112" s="4" t="s">
        <v>45</v>
      </c>
      <c r="O112" s="4" t="s">
        <v>46</v>
      </c>
      <c r="P112" s="4" t="s">
        <v>187</v>
      </c>
      <c r="Q112" s="4">
        <v>16451.0</v>
      </c>
      <c r="R112" s="4" t="s">
        <v>710</v>
      </c>
      <c r="S112" s="8">
        <v>46161.0</v>
      </c>
      <c r="T112" s="9">
        <v>0.375</v>
      </c>
      <c r="U112" s="9">
        <v>0.9166666666666666</v>
      </c>
      <c r="V112" s="4" t="s">
        <v>49</v>
      </c>
      <c r="W112" s="5">
        <v>1.0</v>
      </c>
      <c r="X112" s="5" t="b">
        <v>1</v>
      </c>
      <c r="Y112" s="5" t="s">
        <v>189</v>
      </c>
      <c r="Z112" s="5" t="b">
        <v>0</v>
      </c>
      <c r="AA112" s="10"/>
      <c r="AB112" s="4">
        <v>1.0</v>
      </c>
      <c r="AC112" s="5" t="s">
        <v>711</v>
      </c>
      <c r="AD112" s="5">
        <v>0.0</v>
      </c>
      <c r="AE112" s="5">
        <v>1.0</v>
      </c>
      <c r="AF112" s="8">
        <v>46161.0</v>
      </c>
      <c r="AG112" s="9">
        <v>0.375</v>
      </c>
      <c r="AH112" s="9">
        <v>0.9166666666666666</v>
      </c>
      <c r="AI112" s="4" t="s">
        <v>49</v>
      </c>
      <c r="AJ112" s="5" t="s">
        <v>197</v>
      </c>
      <c r="AK112" s="12"/>
      <c r="AL112" s="12"/>
      <c r="AM112" s="12"/>
      <c r="AN112" s="12"/>
      <c r="AO112" s="12"/>
      <c r="AP112" s="12"/>
      <c r="AQ112" s="12"/>
    </row>
    <row r="113">
      <c r="A113" s="5" t="s">
        <v>712</v>
      </c>
      <c r="B113" s="5">
        <v>1.1398423E7</v>
      </c>
      <c r="C113" s="5" t="s">
        <v>37</v>
      </c>
      <c r="D113" s="5" t="s">
        <v>713</v>
      </c>
      <c r="E113" s="5" t="s">
        <v>39</v>
      </c>
      <c r="F113" s="4" t="s">
        <v>714</v>
      </c>
      <c r="G113" s="6">
        <v>6.28572E17</v>
      </c>
      <c r="H113" s="4" t="s">
        <v>715</v>
      </c>
      <c r="I113" s="5" t="s">
        <v>42</v>
      </c>
      <c r="J113" s="5" t="s">
        <v>43</v>
      </c>
      <c r="K113" s="5">
        <v>8.7733785699E10</v>
      </c>
      <c r="L113" s="4" t="s">
        <v>44</v>
      </c>
      <c r="M113" s="5" t="s">
        <v>42</v>
      </c>
      <c r="N113" s="4" t="s">
        <v>45</v>
      </c>
      <c r="O113" s="4" t="s">
        <v>46</v>
      </c>
      <c r="P113" s="4" t="s">
        <v>187</v>
      </c>
      <c r="Q113" s="4">
        <v>16451.0</v>
      </c>
      <c r="R113" s="4" t="s">
        <v>716</v>
      </c>
      <c r="S113" s="8">
        <v>46161.0</v>
      </c>
      <c r="T113" s="9">
        <v>0.375</v>
      </c>
      <c r="U113" s="9">
        <v>0.9166666666666666</v>
      </c>
      <c r="V113" s="4" t="s">
        <v>49</v>
      </c>
      <c r="W113" s="5">
        <v>1.0</v>
      </c>
      <c r="X113" s="5" t="b">
        <v>1</v>
      </c>
      <c r="Y113" s="5" t="s">
        <v>189</v>
      </c>
      <c r="Z113" s="5" t="b">
        <v>0</v>
      </c>
      <c r="AA113" s="10"/>
      <c r="AB113" s="4">
        <v>1.0</v>
      </c>
      <c r="AC113" s="5" t="s">
        <v>717</v>
      </c>
      <c r="AD113" s="5">
        <v>0.0</v>
      </c>
      <c r="AE113" s="5">
        <v>1.0</v>
      </c>
      <c r="AF113" s="8">
        <v>46161.0</v>
      </c>
      <c r="AG113" s="9">
        <v>0.375</v>
      </c>
      <c r="AH113" s="9">
        <v>0.9166666666666666</v>
      </c>
      <c r="AI113" s="4" t="s">
        <v>49</v>
      </c>
      <c r="AJ113" s="5" t="s">
        <v>197</v>
      </c>
      <c r="AK113" s="12"/>
      <c r="AL113" s="12"/>
      <c r="AM113" s="12"/>
      <c r="AN113" s="12"/>
      <c r="AO113" s="12"/>
      <c r="AP113" s="12"/>
      <c r="AQ113" s="12"/>
    </row>
    <row r="114">
      <c r="A114" s="5" t="s">
        <v>718</v>
      </c>
      <c r="B114" s="5">
        <v>1.1398423E7</v>
      </c>
      <c r="C114" s="5" t="s">
        <v>37</v>
      </c>
      <c r="D114" s="5" t="s">
        <v>719</v>
      </c>
      <c r="E114" s="5" t="s">
        <v>39</v>
      </c>
      <c r="F114" s="4" t="s">
        <v>720</v>
      </c>
      <c r="G114" s="6">
        <v>6.28132E16</v>
      </c>
      <c r="H114" s="4" t="s">
        <v>721</v>
      </c>
      <c r="I114" s="5" t="s">
        <v>42</v>
      </c>
      <c r="J114" s="5" t="s">
        <v>43</v>
      </c>
      <c r="K114" s="5">
        <v>8.7733785699E10</v>
      </c>
      <c r="L114" s="4" t="s">
        <v>44</v>
      </c>
      <c r="M114" s="5" t="s">
        <v>42</v>
      </c>
      <c r="N114" s="4" t="s">
        <v>45</v>
      </c>
      <c r="O114" s="4" t="s">
        <v>46</v>
      </c>
      <c r="P114" s="4" t="s">
        <v>187</v>
      </c>
      <c r="Q114" s="4">
        <v>16451.0</v>
      </c>
      <c r="R114" s="4" t="s">
        <v>722</v>
      </c>
      <c r="S114" s="8">
        <v>46161.0</v>
      </c>
      <c r="T114" s="9">
        <v>0.375</v>
      </c>
      <c r="U114" s="9">
        <v>0.9166666666666666</v>
      </c>
      <c r="V114" s="4" t="s">
        <v>49</v>
      </c>
      <c r="W114" s="5">
        <v>1.0</v>
      </c>
      <c r="X114" s="5" t="b">
        <v>1</v>
      </c>
      <c r="Y114" s="5" t="s">
        <v>189</v>
      </c>
      <c r="Z114" s="5" t="b">
        <v>0</v>
      </c>
      <c r="AA114" s="10"/>
      <c r="AB114" s="4">
        <v>1.0</v>
      </c>
      <c r="AC114" s="5" t="s">
        <v>723</v>
      </c>
      <c r="AD114" s="5">
        <v>0.0</v>
      </c>
      <c r="AE114" s="5">
        <v>1.0</v>
      </c>
      <c r="AF114" s="8">
        <v>46161.0</v>
      </c>
      <c r="AG114" s="9">
        <v>0.375</v>
      </c>
      <c r="AH114" s="9">
        <v>0.9166666666666666</v>
      </c>
      <c r="AI114" s="4" t="s">
        <v>49</v>
      </c>
      <c r="AJ114" s="5" t="s">
        <v>197</v>
      </c>
      <c r="AK114" s="12"/>
      <c r="AL114" s="12"/>
      <c r="AM114" s="12"/>
      <c r="AN114" s="12"/>
      <c r="AO114" s="12"/>
      <c r="AP114" s="12"/>
      <c r="AQ114" s="12"/>
    </row>
    <row r="115">
      <c r="A115" s="5" t="s">
        <v>724</v>
      </c>
      <c r="B115" s="5">
        <v>1.1398423E7</v>
      </c>
      <c r="C115" s="5" t="s">
        <v>37</v>
      </c>
      <c r="D115" s="5" t="s">
        <v>725</v>
      </c>
      <c r="E115" s="5" t="s">
        <v>39</v>
      </c>
      <c r="F115" s="4" t="s">
        <v>726</v>
      </c>
      <c r="G115" s="4">
        <v>8.5210033446E10</v>
      </c>
      <c r="H115" s="4" t="s">
        <v>727</v>
      </c>
      <c r="I115" s="5" t="s">
        <v>42</v>
      </c>
      <c r="J115" s="5" t="s">
        <v>43</v>
      </c>
      <c r="K115" s="5">
        <v>8.7733785699E10</v>
      </c>
      <c r="L115" s="4" t="s">
        <v>44</v>
      </c>
      <c r="M115" s="5" t="s">
        <v>42</v>
      </c>
      <c r="N115" s="4" t="s">
        <v>45</v>
      </c>
      <c r="O115" s="4" t="s">
        <v>46</v>
      </c>
      <c r="P115" s="4" t="s">
        <v>187</v>
      </c>
      <c r="Q115" s="4">
        <v>16451.0</v>
      </c>
      <c r="R115" s="4" t="s">
        <v>728</v>
      </c>
      <c r="S115" s="8">
        <v>46161.0</v>
      </c>
      <c r="T115" s="9">
        <v>0.375</v>
      </c>
      <c r="U115" s="9">
        <v>0.9166666666666666</v>
      </c>
      <c r="V115" s="4" t="s">
        <v>49</v>
      </c>
      <c r="W115" s="5">
        <v>1.0</v>
      </c>
      <c r="X115" s="5" t="b">
        <v>1</v>
      </c>
      <c r="Y115" s="5" t="s">
        <v>189</v>
      </c>
      <c r="Z115" s="5" t="b">
        <v>0</v>
      </c>
      <c r="AA115" s="10"/>
      <c r="AB115" s="4">
        <v>1.0</v>
      </c>
      <c r="AC115" s="5" t="s">
        <v>729</v>
      </c>
      <c r="AD115" s="5">
        <v>0.0</v>
      </c>
      <c r="AE115" s="5">
        <v>1.0</v>
      </c>
      <c r="AF115" s="8">
        <v>46161.0</v>
      </c>
      <c r="AG115" s="9">
        <v>0.375</v>
      </c>
      <c r="AH115" s="9">
        <v>0.9166666666666666</v>
      </c>
      <c r="AI115" s="4" t="s">
        <v>49</v>
      </c>
      <c r="AJ115" s="5" t="s">
        <v>197</v>
      </c>
      <c r="AK115" s="12"/>
      <c r="AL115" s="12"/>
      <c r="AM115" s="12"/>
      <c r="AN115" s="12"/>
      <c r="AO115" s="12"/>
      <c r="AP115" s="12"/>
      <c r="AQ115" s="12"/>
    </row>
    <row r="116">
      <c r="A116" s="5" t="s">
        <v>730</v>
      </c>
      <c r="B116" s="5">
        <v>1.1398423E7</v>
      </c>
      <c r="C116" s="5" t="s">
        <v>37</v>
      </c>
      <c r="D116" s="5" t="s">
        <v>731</v>
      </c>
      <c r="E116" s="5" t="s">
        <v>39</v>
      </c>
      <c r="F116" s="4" t="s">
        <v>732</v>
      </c>
      <c r="G116" s="4">
        <v>8.1315641123E10</v>
      </c>
      <c r="H116" s="4" t="s">
        <v>733</v>
      </c>
      <c r="I116" s="5" t="s">
        <v>42</v>
      </c>
      <c r="J116" s="5" t="s">
        <v>43</v>
      </c>
      <c r="K116" s="5">
        <v>8.7733785699E10</v>
      </c>
      <c r="L116" s="4" t="s">
        <v>44</v>
      </c>
      <c r="M116" s="5" t="s">
        <v>42</v>
      </c>
      <c r="N116" s="4" t="s">
        <v>45</v>
      </c>
      <c r="O116" s="4" t="s">
        <v>46</v>
      </c>
      <c r="P116" s="4" t="s">
        <v>187</v>
      </c>
      <c r="Q116" s="4">
        <v>16451.0</v>
      </c>
      <c r="R116" s="4" t="s">
        <v>734</v>
      </c>
      <c r="S116" s="8">
        <v>46161.0</v>
      </c>
      <c r="T116" s="9">
        <v>0.375</v>
      </c>
      <c r="U116" s="9">
        <v>0.9166666666666666</v>
      </c>
      <c r="V116" s="4" t="s">
        <v>49</v>
      </c>
      <c r="W116" s="5">
        <v>1.0</v>
      </c>
      <c r="X116" s="5" t="b">
        <v>1</v>
      </c>
      <c r="Y116" s="5" t="s">
        <v>189</v>
      </c>
      <c r="Z116" s="5" t="b">
        <v>0</v>
      </c>
      <c r="AA116" s="10"/>
      <c r="AB116" s="4">
        <v>1.0</v>
      </c>
      <c r="AC116" s="5" t="s">
        <v>735</v>
      </c>
      <c r="AD116" s="5">
        <v>0.0</v>
      </c>
      <c r="AE116" s="5">
        <v>1.0</v>
      </c>
      <c r="AF116" s="8">
        <v>46161.0</v>
      </c>
      <c r="AG116" s="9">
        <v>0.375</v>
      </c>
      <c r="AH116" s="9">
        <v>0.9166666666666666</v>
      </c>
      <c r="AI116" s="4" t="s">
        <v>49</v>
      </c>
      <c r="AJ116" s="5" t="s">
        <v>197</v>
      </c>
      <c r="AK116" s="12"/>
      <c r="AL116" s="12"/>
      <c r="AM116" s="12"/>
      <c r="AN116" s="12"/>
      <c r="AO116" s="12"/>
      <c r="AP116" s="12"/>
      <c r="AQ116" s="12"/>
    </row>
    <row r="117">
      <c r="A117" s="5" t="s">
        <v>736</v>
      </c>
      <c r="B117" s="5">
        <v>1.1398423E7</v>
      </c>
      <c r="C117" s="5" t="s">
        <v>37</v>
      </c>
      <c r="D117" s="5" t="s">
        <v>737</v>
      </c>
      <c r="E117" s="5" t="s">
        <v>39</v>
      </c>
      <c r="F117" s="4" t="s">
        <v>738</v>
      </c>
      <c r="G117" s="4">
        <v>8.12670075E9</v>
      </c>
      <c r="H117" s="4" t="s">
        <v>739</v>
      </c>
      <c r="I117" s="5" t="s">
        <v>42</v>
      </c>
      <c r="J117" s="5" t="s">
        <v>43</v>
      </c>
      <c r="K117" s="5">
        <v>8.7733785699E10</v>
      </c>
      <c r="L117" s="4" t="s">
        <v>44</v>
      </c>
      <c r="M117" s="5" t="s">
        <v>42</v>
      </c>
      <c r="N117" s="4" t="s">
        <v>45</v>
      </c>
      <c r="O117" s="4" t="s">
        <v>46</v>
      </c>
      <c r="P117" s="4" t="s">
        <v>187</v>
      </c>
      <c r="Q117" s="4">
        <v>16451.0</v>
      </c>
      <c r="R117" s="4" t="s">
        <v>740</v>
      </c>
      <c r="S117" s="8">
        <v>46161.0</v>
      </c>
      <c r="T117" s="9">
        <v>0.375</v>
      </c>
      <c r="U117" s="9">
        <v>0.9166666666666666</v>
      </c>
      <c r="V117" s="4" t="s">
        <v>49</v>
      </c>
      <c r="W117" s="5">
        <v>1.0</v>
      </c>
      <c r="X117" s="5" t="b">
        <v>1</v>
      </c>
      <c r="Y117" s="5" t="s">
        <v>189</v>
      </c>
      <c r="Z117" s="5" t="b">
        <v>0</v>
      </c>
      <c r="AA117" s="10"/>
      <c r="AB117" s="4">
        <v>1.0</v>
      </c>
      <c r="AC117" s="5" t="s">
        <v>741</v>
      </c>
      <c r="AD117" s="5">
        <v>0.0</v>
      </c>
      <c r="AE117" s="5">
        <v>1.0</v>
      </c>
      <c r="AF117" s="8">
        <v>46161.0</v>
      </c>
      <c r="AG117" s="9">
        <v>0.375</v>
      </c>
      <c r="AH117" s="9">
        <v>0.9166666666666666</v>
      </c>
      <c r="AI117" s="4" t="s">
        <v>49</v>
      </c>
      <c r="AJ117" s="5" t="s">
        <v>197</v>
      </c>
      <c r="AK117" s="12"/>
      <c r="AL117" s="12"/>
      <c r="AM117" s="12"/>
      <c r="AN117" s="12"/>
      <c r="AO117" s="12"/>
      <c r="AP117" s="12"/>
      <c r="AQ117" s="12"/>
    </row>
    <row r="118">
      <c r="A118" s="5" t="s">
        <v>742</v>
      </c>
      <c r="B118" s="5">
        <v>1.1398423E7</v>
      </c>
      <c r="C118" s="5" t="s">
        <v>37</v>
      </c>
      <c r="D118" s="5" t="s">
        <v>743</v>
      </c>
      <c r="E118" s="5" t="s">
        <v>39</v>
      </c>
      <c r="F118" s="4" t="s">
        <v>744</v>
      </c>
      <c r="G118" s="6">
        <v>6.28122E17</v>
      </c>
      <c r="H118" s="4" t="s">
        <v>745</v>
      </c>
      <c r="I118" s="5" t="s">
        <v>42</v>
      </c>
      <c r="J118" s="5" t="s">
        <v>43</v>
      </c>
      <c r="K118" s="5">
        <v>8.7733785699E10</v>
      </c>
      <c r="L118" s="4" t="s">
        <v>44</v>
      </c>
      <c r="M118" s="5" t="s">
        <v>42</v>
      </c>
      <c r="N118" s="4" t="s">
        <v>45</v>
      </c>
      <c r="O118" s="4" t="s">
        <v>46</v>
      </c>
      <c r="P118" s="4" t="s">
        <v>187</v>
      </c>
      <c r="Q118" s="4">
        <v>16451.0</v>
      </c>
      <c r="R118" s="4" t="s">
        <v>746</v>
      </c>
      <c r="S118" s="8">
        <v>46161.0</v>
      </c>
      <c r="T118" s="9">
        <v>0.375</v>
      </c>
      <c r="U118" s="9">
        <v>0.9166666666666666</v>
      </c>
      <c r="V118" s="4" t="s">
        <v>49</v>
      </c>
      <c r="W118" s="5">
        <v>1.0</v>
      </c>
      <c r="X118" s="5" t="b">
        <v>1</v>
      </c>
      <c r="Y118" s="5" t="s">
        <v>189</v>
      </c>
      <c r="Z118" s="5" t="b">
        <v>0</v>
      </c>
      <c r="AA118" s="10"/>
      <c r="AB118" s="4">
        <v>1.0</v>
      </c>
      <c r="AC118" s="5" t="s">
        <v>747</v>
      </c>
      <c r="AD118" s="5">
        <v>0.0</v>
      </c>
      <c r="AE118" s="5">
        <v>1.0</v>
      </c>
      <c r="AF118" s="8">
        <v>46161.0</v>
      </c>
      <c r="AG118" s="9">
        <v>0.375</v>
      </c>
      <c r="AH118" s="9">
        <v>0.9166666666666666</v>
      </c>
      <c r="AI118" s="4" t="s">
        <v>49</v>
      </c>
      <c r="AJ118" s="5" t="s">
        <v>197</v>
      </c>
      <c r="AK118" s="12"/>
      <c r="AL118" s="12"/>
      <c r="AM118" s="12"/>
      <c r="AN118" s="12"/>
      <c r="AO118" s="12"/>
      <c r="AP118" s="12"/>
      <c r="AQ118" s="12"/>
    </row>
    <row r="119">
      <c r="A119" s="5" t="s">
        <v>748</v>
      </c>
      <c r="B119" s="5">
        <v>1.1398423E7</v>
      </c>
      <c r="C119" s="5" t="s">
        <v>37</v>
      </c>
      <c r="D119" s="5" t="s">
        <v>749</v>
      </c>
      <c r="E119" s="5" t="s">
        <v>39</v>
      </c>
      <c r="F119" s="4" t="s">
        <v>750</v>
      </c>
      <c r="G119" s="6">
        <v>6.28112E16</v>
      </c>
      <c r="H119" s="4" t="s">
        <v>751</v>
      </c>
      <c r="I119" s="5" t="s">
        <v>42</v>
      </c>
      <c r="J119" s="5" t="s">
        <v>43</v>
      </c>
      <c r="K119" s="5">
        <v>8.7733785699E10</v>
      </c>
      <c r="L119" s="4" t="s">
        <v>44</v>
      </c>
      <c r="M119" s="5" t="s">
        <v>42</v>
      </c>
      <c r="N119" s="4" t="s">
        <v>45</v>
      </c>
      <c r="O119" s="4" t="s">
        <v>46</v>
      </c>
      <c r="P119" s="4" t="s">
        <v>187</v>
      </c>
      <c r="Q119" s="4">
        <v>16451.0</v>
      </c>
      <c r="R119" s="4" t="s">
        <v>752</v>
      </c>
      <c r="S119" s="8">
        <v>46161.0</v>
      </c>
      <c r="T119" s="9">
        <v>0.375</v>
      </c>
      <c r="U119" s="9">
        <v>0.9166666666666666</v>
      </c>
      <c r="V119" s="4" t="s">
        <v>49</v>
      </c>
      <c r="W119" s="5">
        <v>1.0</v>
      </c>
      <c r="X119" s="5" t="b">
        <v>1</v>
      </c>
      <c r="Y119" s="5" t="s">
        <v>189</v>
      </c>
      <c r="Z119" s="5" t="b">
        <v>0</v>
      </c>
      <c r="AA119" s="10"/>
      <c r="AB119" s="4">
        <v>1.0</v>
      </c>
      <c r="AC119" s="5" t="s">
        <v>753</v>
      </c>
      <c r="AD119" s="5">
        <v>0.0</v>
      </c>
      <c r="AE119" s="5">
        <v>1.0</v>
      </c>
      <c r="AF119" s="8">
        <v>46161.0</v>
      </c>
      <c r="AG119" s="9">
        <v>0.375</v>
      </c>
      <c r="AH119" s="9">
        <v>0.9166666666666666</v>
      </c>
      <c r="AI119" s="4" t="s">
        <v>49</v>
      </c>
      <c r="AJ119" s="5" t="s">
        <v>197</v>
      </c>
      <c r="AK119" s="12"/>
      <c r="AL119" s="12"/>
      <c r="AM119" s="12"/>
      <c r="AN119" s="12"/>
      <c r="AO119" s="12"/>
      <c r="AP119" s="12"/>
      <c r="AQ119" s="12"/>
    </row>
    <row r="120">
      <c r="A120" s="5" t="s">
        <v>754</v>
      </c>
      <c r="B120" s="5">
        <v>1.1398423E7</v>
      </c>
      <c r="C120" s="5" t="s">
        <v>37</v>
      </c>
      <c r="D120" s="5" t="s">
        <v>755</v>
      </c>
      <c r="E120" s="5" t="s">
        <v>39</v>
      </c>
      <c r="F120" s="4" t="s">
        <v>756</v>
      </c>
      <c r="G120" s="6">
        <v>6.28181E17</v>
      </c>
      <c r="H120" s="4" t="s">
        <v>757</v>
      </c>
      <c r="I120" s="5" t="s">
        <v>42</v>
      </c>
      <c r="J120" s="5" t="s">
        <v>43</v>
      </c>
      <c r="K120" s="5">
        <v>8.7733785699E10</v>
      </c>
      <c r="L120" s="4" t="s">
        <v>44</v>
      </c>
      <c r="M120" s="5" t="s">
        <v>42</v>
      </c>
      <c r="N120" s="4" t="s">
        <v>45</v>
      </c>
      <c r="O120" s="4" t="s">
        <v>46</v>
      </c>
      <c r="P120" s="4" t="s">
        <v>187</v>
      </c>
      <c r="Q120" s="4">
        <v>16451.0</v>
      </c>
      <c r="R120" s="4" t="s">
        <v>758</v>
      </c>
      <c r="S120" s="8">
        <v>46161.0</v>
      </c>
      <c r="T120" s="9">
        <v>0.375</v>
      </c>
      <c r="U120" s="9">
        <v>0.9166666666666666</v>
      </c>
      <c r="V120" s="4" t="s">
        <v>49</v>
      </c>
      <c r="W120" s="5">
        <v>1.0</v>
      </c>
      <c r="X120" s="5" t="b">
        <v>1</v>
      </c>
      <c r="Y120" s="5" t="s">
        <v>189</v>
      </c>
      <c r="Z120" s="5" t="b">
        <v>0</v>
      </c>
      <c r="AA120" s="10"/>
      <c r="AB120" s="4">
        <v>1.0</v>
      </c>
      <c r="AC120" s="5" t="s">
        <v>759</v>
      </c>
      <c r="AD120" s="5">
        <v>0.0</v>
      </c>
      <c r="AE120" s="5">
        <v>1.0</v>
      </c>
      <c r="AF120" s="8">
        <v>46161.0</v>
      </c>
      <c r="AG120" s="9">
        <v>0.375</v>
      </c>
      <c r="AH120" s="9">
        <v>0.9166666666666666</v>
      </c>
      <c r="AI120" s="4" t="s">
        <v>49</v>
      </c>
      <c r="AJ120" s="5" t="s">
        <v>197</v>
      </c>
      <c r="AK120" s="12"/>
      <c r="AL120" s="12"/>
      <c r="AM120" s="12"/>
      <c r="AN120" s="12"/>
      <c r="AO120" s="12"/>
      <c r="AP120" s="12"/>
      <c r="AQ120" s="12"/>
    </row>
    <row r="121">
      <c r="A121" s="5" t="s">
        <v>760</v>
      </c>
      <c r="B121" s="5">
        <v>1.1398423E7</v>
      </c>
      <c r="C121" s="5" t="s">
        <v>37</v>
      </c>
      <c r="D121" s="5" t="s">
        <v>761</v>
      </c>
      <c r="E121" s="5" t="s">
        <v>39</v>
      </c>
      <c r="F121" s="4" t="s">
        <v>762</v>
      </c>
      <c r="G121" s="6">
        <v>6.28579E17</v>
      </c>
      <c r="H121" s="4" t="s">
        <v>763</v>
      </c>
      <c r="I121" s="5" t="s">
        <v>42</v>
      </c>
      <c r="J121" s="5" t="s">
        <v>43</v>
      </c>
      <c r="K121" s="5">
        <v>8.7733785699E10</v>
      </c>
      <c r="L121" s="4" t="s">
        <v>44</v>
      </c>
      <c r="M121" s="5" t="s">
        <v>42</v>
      </c>
      <c r="N121" s="4" t="s">
        <v>45</v>
      </c>
      <c r="O121" s="4" t="s">
        <v>46</v>
      </c>
      <c r="P121" s="4" t="s">
        <v>187</v>
      </c>
      <c r="Q121" s="4">
        <v>16451.0</v>
      </c>
      <c r="R121" s="4" t="s">
        <v>764</v>
      </c>
      <c r="S121" s="8">
        <v>46161.0</v>
      </c>
      <c r="T121" s="9">
        <v>0.375</v>
      </c>
      <c r="U121" s="9">
        <v>0.9166666666666666</v>
      </c>
      <c r="V121" s="4" t="s">
        <v>49</v>
      </c>
      <c r="W121" s="5">
        <v>1.0</v>
      </c>
      <c r="X121" s="5" t="b">
        <v>1</v>
      </c>
      <c r="Y121" s="5" t="s">
        <v>189</v>
      </c>
      <c r="Z121" s="5" t="b">
        <v>0</v>
      </c>
      <c r="AA121" s="10"/>
      <c r="AB121" s="4">
        <v>1.0</v>
      </c>
      <c r="AC121" s="5" t="s">
        <v>765</v>
      </c>
      <c r="AD121" s="5">
        <v>0.0</v>
      </c>
      <c r="AE121" s="5">
        <v>1.0</v>
      </c>
      <c r="AF121" s="8">
        <v>46161.0</v>
      </c>
      <c r="AG121" s="9">
        <v>0.375</v>
      </c>
      <c r="AH121" s="9">
        <v>0.9166666666666666</v>
      </c>
      <c r="AI121" s="4" t="s">
        <v>49</v>
      </c>
      <c r="AJ121" s="5" t="s">
        <v>197</v>
      </c>
      <c r="AK121" s="12"/>
      <c r="AL121" s="12"/>
      <c r="AM121" s="12"/>
      <c r="AN121" s="12"/>
      <c r="AO121" s="12"/>
      <c r="AP121" s="12"/>
      <c r="AQ121" s="12"/>
    </row>
    <row r="122">
      <c r="A122" s="5" t="s">
        <v>766</v>
      </c>
      <c r="B122" s="5">
        <v>1.1398423E7</v>
      </c>
      <c r="C122" s="5" t="s">
        <v>37</v>
      </c>
      <c r="D122" s="5" t="s">
        <v>767</v>
      </c>
      <c r="E122" s="5" t="s">
        <v>39</v>
      </c>
      <c r="F122" s="4" t="s">
        <v>768</v>
      </c>
      <c r="G122" s="6">
        <v>6.28191E17</v>
      </c>
      <c r="H122" s="4" t="s">
        <v>769</v>
      </c>
      <c r="I122" s="5" t="s">
        <v>42</v>
      </c>
      <c r="J122" s="5" t="s">
        <v>43</v>
      </c>
      <c r="K122" s="5">
        <v>8.7733785699E10</v>
      </c>
      <c r="L122" s="4" t="s">
        <v>44</v>
      </c>
      <c r="M122" s="5" t="s">
        <v>42</v>
      </c>
      <c r="N122" s="4" t="s">
        <v>45</v>
      </c>
      <c r="O122" s="4" t="s">
        <v>46</v>
      </c>
      <c r="P122" s="4" t="s">
        <v>187</v>
      </c>
      <c r="Q122" s="4">
        <v>16451.0</v>
      </c>
      <c r="R122" s="4" t="s">
        <v>770</v>
      </c>
      <c r="S122" s="8">
        <v>46161.0</v>
      </c>
      <c r="T122" s="9">
        <v>0.375</v>
      </c>
      <c r="U122" s="9">
        <v>0.9166666666666666</v>
      </c>
      <c r="V122" s="4" t="s">
        <v>49</v>
      </c>
      <c r="W122" s="5">
        <v>1.0</v>
      </c>
      <c r="X122" s="5" t="b">
        <v>1</v>
      </c>
      <c r="Y122" s="5" t="s">
        <v>189</v>
      </c>
      <c r="Z122" s="5" t="b">
        <v>0</v>
      </c>
      <c r="AA122" s="10"/>
      <c r="AB122" s="4">
        <v>1.0</v>
      </c>
      <c r="AC122" s="5" t="s">
        <v>771</v>
      </c>
      <c r="AD122" s="5">
        <v>0.0</v>
      </c>
      <c r="AE122" s="5">
        <v>1.0</v>
      </c>
      <c r="AF122" s="8">
        <v>46161.0</v>
      </c>
      <c r="AG122" s="9">
        <v>0.375</v>
      </c>
      <c r="AH122" s="9">
        <v>0.9166666666666666</v>
      </c>
      <c r="AI122" s="4" t="s">
        <v>49</v>
      </c>
      <c r="AJ122" s="5" t="s">
        <v>197</v>
      </c>
      <c r="AK122" s="12"/>
      <c r="AL122" s="12"/>
      <c r="AM122" s="12"/>
      <c r="AN122" s="12"/>
      <c r="AO122" s="12"/>
      <c r="AP122" s="12"/>
      <c r="AQ122" s="12"/>
    </row>
    <row r="123">
      <c r="A123" s="5" t="s">
        <v>772</v>
      </c>
      <c r="B123" s="5">
        <v>1.1398423E7</v>
      </c>
      <c r="C123" s="5" t="s">
        <v>37</v>
      </c>
      <c r="D123" s="5" t="s">
        <v>773</v>
      </c>
      <c r="E123" s="5" t="s">
        <v>39</v>
      </c>
      <c r="F123" s="4" t="s">
        <v>774</v>
      </c>
      <c r="G123" s="6">
        <v>6.28774E17</v>
      </c>
      <c r="H123" s="4" t="s">
        <v>775</v>
      </c>
      <c r="I123" s="5" t="s">
        <v>42</v>
      </c>
      <c r="J123" s="5" t="s">
        <v>43</v>
      </c>
      <c r="K123" s="5">
        <v>8.7733785699E10</v>
      </c>
      <c r="L123" s="4" t="s">
        <v>44</v>
      </c>
      <c r="M123" s="5" t="s">
        <v>42</v>
      </c>
      <c r="N123" s="4" t="s">
        <v>45</v>
      </c>
      <c r="O123" s="4" t="s">
        <v>46</v>
      </c>
      <c r="P123" s="4" t="s">
        <v>187</v>
      </c>
      <c r="Q123" s="4">
        <v>16451.0</v>
      </c>
      <c r="R123" s="4" t="s">
        <v>776</v>
      </c>
      <c r="S123" s="8">
        <v>46161.0</v>
      </c>
      <c r="T123" s="9">
        <v>0.375</v>
      </c>
      <c r="U123" s="9">
        <v>0.9166666666666666</v>
      </c>
      <c r="V123" s="4" t="s">
        <v>49</v>
      </c>
      <c r="W123" s="5">
        <v>1.0</v>
      </c>
      <c r="X123" s="5" t="b">
        <v>1</v>
      </c>
      <c r="Y123" s="5" t="s">
        <v>189</v>
      </c>
      <c r="Z123" s="5" t="b">
        <v>0</v>
      </c>
      <c r="AA123" s="10"/>
      <c r="AB123" s="4">
        <v>1.0</v>
      </c>
      <c r="AC123" s="5" t="s">
        <v>777</v>
      </c>
      <c r="AD123" s="5">
        <v>0.0</v>
      </c>
      <c r="AE123" s="5">
        <v>1.0</v>
      </c>
      <c r="AF123" s="8">
        <v>46161.0</v>
      </c>
      <c r="AG123" s="9">
        <v>0.375</v>
      </c>
      <c r="AH123" s="9">
        <v>0.9166666666666666</v>
      </c>
      <c r="AI123" s="4" t="s">
        <v>49</v>
      </c>
      <c r="AJ123" s="5" t="s">
        <v>197</v>
      </c>
      <c r="AK123" s="12"/>
      <c r="AL123" s="12"/>
      <c r="AM123" s="12"/>
      <c r="AN123" s="12"/>
      <c r="AO123" s="12"/>
      <c r="AP123" s="12"/>
      <c r="AQ123" s="12"/>
    </row>
    <row r="124">
      <c r="A124" s="5" t="s">
        <v>778</v>
      </c>
      <c r="B124" s="5">
        <v>1.1398423E7</v>
      </c>
      <c r="C124" s="5" t="s">
        <v>37</v>
      </c>
      <c r="D124" s="5" t="s">
        <v>779</v>
      </c>
      <c r="E124" s="5" t="s">
        <v>39</v>
      </c>
      <c r="F124" s="4" t="s">
        <v>780</v>
      </c>
      <c r="G124" s="4">
        <v>8.1380094078E10</v>
      </c>
      <c r="H124" s="4" t="s">
        <v>781</v>
      </c>
      <c r="I124" s="5" t="s">
        <v>42</v>
      </c>
      <c r="J124" s="5" t="s">
        <v>43</v>
      </c>
      <c r="K124" s="5">
        <v>8.7733785699E10</v>
      </c>
      <c r="L124" s="4" t="s">
        <v>44</v>
      </c>
      <c r="M124" s="5" t="s">
        <v>42</v>
      </c>
      <c r="N124" s="4" t="s">
        <v>45</v>
      </c>
      <c r="O124" s="4" t="s">
        <v>46</v>
      </c>
      <c r="P124" s="4" t="s">
        <v>187</v>
      </c>
      <c r="Q124" s="4">
        <v>16451.0</v>
      </c>
      <c r="R124" s="4" t="s">
        <v>782</v>
      </c>
      <c r="S124" s="8">
        <v>46161.0</v>
      </c>
      <c r="T124" s="9">
        <v>0.375</v>
      </c>
      <c r="U124" s="9">
        <v>0.9166666666666666</v>
      </c>
      <c r="V124" s="4" t="s">
        <v>49</v>
      </c>
      <c r="W124" s="5">
        <v>1.0</v>
      </c>
      <c r="X124" s="5" t="b">
        <v>1</v>
      </c>
      <c r="Y124" s="5" t="s">
        <v>189</v>
      </c>
      <c r="Z124" s="5" t="b">
        <v>0</v>
      </c>
      <c r="AA124" s="10"/>
      <c r="AB124" s="4">
        <v>1.0</v>
      </c>
      <c r="AC124" s="5" t="s">
        <v>783</v>
      </c>
      <c r="AD124" s="5">
        <v>0.0</v>
      </c>
      <c r="AE124" s="5">
        <v>1.0</v>
      </c>
      <c r="AF124" s="8">
        <v>46161.0</v>
      </c>
      <c r="AG124" s="9">
        <v>0.375</v>
      </c>
      <c r="AH124" s="9">
        <v>0.9166666666666666</v>
      </c>
      <c r="AI124" s="4" t="s">
        <v>49</v>
      </c>
      <c r="AJ124" s="5" t="s">
        <v>197</v>
      </c>
      <c r="AK124" s="12"/>
      <c r="AL124" s="12"/>
      <c r="AM124" s="12"/>
      <c r="AN124" s="12"/>
      <c r="AO124" s="12"/>
      <c r="AP124" s="12"/>
      <c r="AQ124" s="12"/>
    </row>
    <row r="125">
      <c r="A125" s="5" t="s">
        <v>784</v>
      </c>
      <c r="B125" s="5">
        <v>1.1398423E7</v>
      </c>
      <c r="C125" s="5" t="s">
        <v>37</v>
      </c>
      <c r="D125" s="5" t="s">
        <v>785</v>
      </c>
      <c r="E125" s="5" t="s">
        <v>39</v>
      </c>
      <c r="F125" s="4" t="s">
        <v>786</v>
      </c>
      <c r="G125" s="4">
        <v>8.3877483103E10</v>
      </c>
      <c r="H125" s="4" t="s">
        <v>787</v>
      </c>
      <c r="I125" s="5" t="s">
        <v>42</v>
      </c>
      <c r="J125" s="5" t="s">
        <v>43</v>
      </c>
      <c r="K125" s="5">
        <v>8.7733785699E10</v>
      </c>
      <c r="L125" s="4" t="s">
        <v>44</v>
      </c>
      <c r="M125" s="5" t="s">
        <v>42</v>
      </c>
      <c r="N125" s="4" t="s">
        <v>45</v>
      </c>
      <c r="O125" s="4" t="s">
        <v>46</v>
      </c>
      <c r="P125" s="4" t="s">
        <v>187</v>
      </c>
      <c r="Q125" s="4">
        <v>16451.0</v>
      </c>
      <c r="R125" s="4" t="s">
        <v>788</v>
      </c>
      <c r="S125" s="8">
        <v>46161.0</v>
      </c>
      <c r="T125" s="9">
        <v>0.375</v>
      </c>
      <c r="U125" s="9">
        <v>0.9166666666666666</v>
      </c>
      <c r="V125" s="4" t="s">
        <v>49</v>
      </c>
      <c r="W125" s="5">
        <v>1.0</v>
      </c>
      <c r="X125" s="5" t="b">
        <v>1</v>
      </c>
      <c r="Y125" s="5" t="s">
        <v>189</v>
      </c>
      <c r="Z125" s="5" t="b">
        <v>0</v>
      </c>
      <c r="AA125" s="10"/>
      <c r="AB125" s="4">
        <v>1.0</v>
      </c>
      <c r="AC125" s="5" t="s">
        <v>789</v>
      </c>
      <c r="AD125" s="5">
        <v>0.0</v>
      </c>
      <c r="AE125" s="5">
        <v>1.0</v>
      </c>
      <c r="AF125" s="8">
        <v>46161.0</v>
      </c>
      <c r="AG125" s="9">
        <v>0.375</v>
      </c>
      <c r="AH125" s="9">
        <v>0.9166666666666666</v>
      </c>
      <c r="AI125" s="4" t="s">
        <v>49</v>
      </c>
      <c r="AJ125" s="5" t="s">
        <v>197</v>
      </c>
      <c r="AK125" s="12"/>
      <c r="AL125" s="12"/>
      <c r="AM125" s="12"/>
      <c r="AN125" s="12"/>
      <c r="AO125" s="12"/>
      <c r="AP125" s="12"/>
      <c r="AQ125" s="12"/>
    </row>
    <row r="126">
      <c r="A126" s="4" t="s">
        <v>790</v>
      </c>
      <c r="B126" s="5">
        <v>1.1398423E7</v>
      </c>
      <c r="C126" s="5" t="s">
        <v>37</v>
      </c>
      <c r="D126" s="4" t="s">
        <v>791</v>
      </c>
      <c r="E126" s="5" t="s">
        <v>39</v>
      </c>
      <c r="F126" s="4" t="s">
        <v>792</v>
      </c>
      <c r="G126" s="6">
        <v>6.28573E17</v>
      </c>
      <c r="H126" s="4" t="s">
        <v>793</v>
      </c>
      <c r="I126" s="5" t="s">
        <v>42</v>
      </c>
      <c r="J126" s="13" t="s">
        <v>43</v>
      </c>
      <c r="K126" s="14">
        <v>6.28514E17</v>
      </c>
      <c r="L126" s="13" t="s">
        <v>57</v>
      </c>
      <c r="M126" s="5" t="s">
        <v>42</v>
      </c>
      <c r="N126" s="4" t="s">
        <v>58</v>
      </c>
      <c r="O126" s="4" t="s">
        <v>59</v>
      </c>
      <c r="P126" s="4" t="s">
        <v>60</v>
      </c>
      <c r="Q126" s="4">
        <v>60291.0</v>
      </c>
      <c r="R126" s="4" t="s">
        <v>794</v>
      </c>
      <c r="S126" s="8">
        <v>46161.0</v>
      </c>
      <c r="T126" s="9">
        <v>0.375</v>
      </c>
      <c r="U126" s="9">
        <v>0.9166666666666666</v>
      </c>
      <c r="V126" s="4" t="s">
        <v>49</v>
      </c>
      <c r="W126" s="5">
        <v>1.0</v>
      </c>
      <c r="X126" s="5" t="b">
        <v>1</v>
      </c>
      <c r="Y126" s="5" t="s">
        <v>50</v>
      </c>
      <c r="Z126" s="5" t="b">
        <v>0</v>
      </c>
      <c r="AA126" s="10"/>
      <c r="AB126" s="4">
        <v>1.0</v>
      </c>
      <c r="AC126" s="11" t="s">
        <v>795</v>
      </c>
      <c r="AD126" s="5">
        <v>0.0</v>
      </c>
      <c r="AE126" s="5">
        <v>1.0</v>
      </c>
      <c r="AF126" s="8">
        <v>46161.0</v>
      </c>
      <c r="AG126" s="9">
        <v>0.375</v>
      </c>
      <c r="AH126" s="9">
        <v>0.9166666666666666</v>
      </c>
      <c r="AI126" s="4" t="s">
        <v>49</v>
      </c>
      <c r="AJ126" s="5" t="s">
        <v>52</v>
      </c>
      <c r="AK126" s="12"/>
      <c r="AL126" s="12"/>
      <c r="AM126" s="12"/>
      <c r="AN126" s="12"/>
      <c r="AO126" s="12"/>
      <c r="AP126" s="12"/>
      <c r="AQ126" s="12"/>
    </row>
    <row r="127">
      <c r="A127" s="4" t="s">
        <v>796</v>
      </c>
      <c r="B127" s="5">
        <v>1.1398423E7</v>
      </c>
      <c r="C127" s="5" t="s">
        <v>37</v>
      </c>
      <c r="D127" s="4" t="s">
        <v>797</v>
      </c>
      <c r="E127" s="5" t="s">
        <v>39</v>
      </c>
      <c r="F127" s="4" t="s">
        <v>798</v>
      </c>
      <c r="G127" s="6">
        <v>6.28578E16</v>
      </c>
      <c r="H127" s="4" t="s">
        <v>799</v>
      </c>
      <c r="I127" s="5" t="s">
        <v>42</v>
      </c>
      <c r="J127" s="5" t="s">
        <v>43</v>
      </c>
      <c r="K127" s="5">
        <v>8.7733785699E10</v>
      </c>
      <c r="L127" s="4" t="s">
        <v>44</v>
      </c>
      <c r="M127" s="5" t="s">
        <v>42</v>
      </c>
      <c r="N127" s="4" t="s">
        <v>45</v>
      </c>
      <c r="O127" s="4" t="s">
        <v>46</v>
      </c>
      <c r="P127" s="4" t="s">
        <v>47</v>
      </c>
      <c r="Q127" s="4">
        <v>16451.0</v>
      </c>
      <c r="R127" s="4" t="s">
        <v>800</v>
      </c>
      <c r="S127" s="8">
        <v>46163.0</v>
      </c>
      <c r="T127" s="9">
        <v>0.375</v>
      </c>
      <c r="U127" s="9">
        <v>0.9166666666666666</v>
      </c>
      <c r="V127" s="4" t="s">
        <v>49</v>
      </c>
      <c r="W127" s="5">
        <v>1.0</v>
      </c>
      <c r="X127" s="5" t="b">
        <v>1</v>
      </c>
      <c r="Y127" s="5" t="s">
        <v>50</v>
      </c>
      <c r="Z127" s="5" t="b">
        <v>0</v>
      </c>
      <c r="AA127" s="10"/>
      <c r="AB127" s="4">
        <v>1.0</v>
      </c>
      <c r="AC127" s="11" t="s">
        <v>801</v>
      </c>
      <c r="AD127" s="5">
        <v>0.0</v>
      </c>
      <c r="AE127" s="5">
        <v>1.0</v>
      </c>
      <c r="AF127" s="8">
        <v>46163.0</v>
      </c>
      <c r="AG127" s="9">
        <v>0.375</v>
      </c>
      <c r="AH127" s="9">
        <v>0.9166666666666666</v>
      </c>
      <c r="AI127" s="4" t="s">
        <v>49</v>
      </c>
      <c r="AJ127" s="5" t="s">
        <v>52</v>
      </c>
      <c r="AK127" s="12"/>
      <c r="AL127" s="12"/>
      <c r="AM127" s="12"/>
      <c r="AN127" s="12"/>
      <c r="AO127" s="12"/>
      <c r="AP127" s="12"/>
      <c r="AQ127" s="12"/>
    </row>
    <row r="128">
      <c r="A128" s="4" t="s">
        <v>802</v>
      </c>
      <c r="B128" s="5">
        <v>1.1398423E7</v>
      </c>
      <c r="C128" s="5" t="s">
        <v>37</v>
      </c>
      <c r="D128" s="4" t="s">
        <v>803</v>
      </c>
      <c r="E128" s="5" t="s">
        <v>39</v>
      </c>
      <c r="F128" s="4" t="s">
        <v>804</v>
      </c>
      <c r="G128" s="4">
        <v>8.7808713439E10</v>
      </c>
      <c r="H128" s="4" t="s">
        <v>805</v>
      </c>
      <c r="I128" s="5" t="s">
        <v>42</v>
      </c>
      <c r="J128" s="5" t="s">
        <v>43</v>
      </c>
      <c r="K128" s="5">
        <v>8.7733785699E10</v>
      </c>
      <c r="L128" s="4" t="s">
        <v>44</v>
      </c>
      <c r="M128" s="5" t="s">
        <v>42</v>
      </c>
      <c r="N128" s="4" t="s">
        <v>45</v>
      </c>
      <c r="O128" s="4" t="s">
        <v>46</v>
      </c>
      <c r="P128" s="4" t="s">
        <v>187</v>
      </c>
      <c r="Q128" s="4">
        <v>16451.0</v>
      </c>
      <c r="R128" s="7" t="s">
        <v>806</v>
      </c>
      <c r="S128" s="8">
        <v>46164.0</v>
      </c>
      <c r="T128" s="9">
        <v>0.375</v>
      </c>
      <c r="U128" s="9">
        <v>0.9166666666666666</v>
      </c>
      <c r="V128" s="4" t="s">
        <v>49</v>
      </c>
      <c r="W128" s="5">
        <v>1.0</v>
      </c>
      <c r="X128" s="5" t="b">
        <v>1</v>
      </c>
      <c r="Y128" s="5" t="s">
        <v>189</v>
      </c>
      <c r="Z128" s="5" t="b">
        <v>0</v>
      </c>
      <c r="AA128" s="10"/>
      <c r="AB128" s="4">
        <v>1.0</v>
      </c>
      <c r="AC128" s="11" t="s">
        <v>807</v>
      </c>
      <c r="AD128" s="5">
        <v>0.0</v>
      </c>
      <c r="AE128" s="5">
        <v>1.0</v>
      </c>
      <c r="AF128" s="8">
        <v>46164.0</v>
      </c>
      <c r="AG128" s="9">
        <v>0.375</v>
      </c>
      <c r="AH128" s="9">
        <v>0.9166666666666666</v>
      </c>
      <c r="AI128" s="4" t="s">
        <v>49</v>
      </c>
      <c r="AJ128" s="5" t="s">
        <v>52</v>
      </c>
      <c r="AK128" s="12"/>
      <c r="AL128" s="12"/>
      <c r="AM128" s="12"/>
      <c r="AN128" s="12"/>
      <c r="AO128" s="12"/>
      <c r="AP128" s="12"/>
      <c r="AQ128" s="12"/>
    </row>
    <row r="129">
      <c r="A129" s="4" t="s">
        <v>808</v>
      </c>
      <c r="B129" s="5">
        <v>1.1398423E7</v>
      </c>
      <c r="C129" s="5" t="s">
        <v>37</v>
      </c>
      <c r="D129" s="4" t="s">
        <v>809</v>
      </c>
      <c r="E129" s="5" t="s">
        <v>39</v>
      </c>
      <c r="F129" s="4" t="s">
        <v>810</v>
      </c>
      <c r="G129" s="4">
        <v>8.2111139669E10</v>
      </c>
      <c r="H129" s="4" t="s">
        <v>811</v>
      </c>
      <c r="I129" s="5" t="s">
        <v>42</v>
      </c>
      <c r="J129" s="5" t="s">
        <v>43</v>
      </c>
      <c r="K129" s="5">
        <v>8.7733785699E10</v>
      </c>
      <c r="L129" s="4" t="s">
        <v>44</v>
      </c>
      <c r="M129" s="5" t="s">
        <v>42</v>
      </c>
      <c r="N129" s="4" t="s">
        <v>45</v>
      </c>
      <c r="O129" s="4" t="s">
        <v>46</v>
      </c>
      <c r="P129" s="4" t="s">
        <v>47</v>
      </c>
      <c r="Q129" s="4">
        <v>16451.0</v>
      </c>
      <c r="R129" s="4" t="s">
        <v>812</v>
      </c>
      <c r="S129" s="8">
        <v>46164.0</v>
      </c>
      <c r="T129" s="9">
        <v>0.375</v>
      </c>
      <c r="U129" s="9">
        <v>0.9166666666666666</v>
      </c>
      <c r="V129" s="4" t="s">
        <v>49</v>
      </c>
      <c r="W129" s="5">
        <v>1.0</v>
      </c>
      <c r="X129" s="5" t="b">
        <v>1</v>
      </c>
      <c r="Y129" s="5" t="s">
        <v>50</v>
      </c>
      <c r="Z129" s="5" t="b">
        <v>0</v>
      </c>
      <c r="AA129" s="10"/>
      <c r="AB129" s="4">
        <v>1.0</v>
      </c>
      <c r="AC129" s="11" t="s">
        <v>813</v>
      </c>
      <c r="AD129" s="5">
        <v>0.0</v>
      </c>
      <c r="AE129" s="5">
        <v>1.0</v>
      </c>
      <c r="AF129" s="8">
        <v>46164.0</v>
      </c>
      <c r="AG129" s="9">
        <v>0.375</v>
      </c>
      <c r="AH129" s="9">
        <v>0.9166666666666666</v>
      </c>
      <c r="AI129" s="4" t="s">
        <v>49</v>
      </c>
      <c r="AJ129" s="5" t="s">
        <v>52</v>
      </c>
      <c r="AK129" s="12"/>
      <c r="AL129" s="12"/>
      <c r="AM129" s="12"/>
      <c r="AN129" s="12"/>
      <c r="AO129" s="12"/>
      <c r="AP129" s="12"/>
      <c r="AQ129" s="12"/>
    </row>
    <row r="130">
      <c r="A130" s="4" t="s">
        <v>814</v>
      </c>
      <c r="B130" s="5">
        <v>1.1398423E7</v>
      </c>
      <c r="C130" s="5" t="s">
        <v>37</v>
      </c>
      <c r="D130" s="4" t="s">
        <v>815</v>
      </c>
      <c r="E130" s="5" t="s">
        <v>39</v>
      </c>
      <c r="F130" s="4" t="s">
        <v>376</v>
      </c>
      <c r="G130" s="4">
        <v>8.121925699E9</v>
      </c>
      <c r="H130" s="4" t="s">
        <v>377</v>
      </c>
      <c r="I130" s="5" t="s">
        <v>42</v>
      </c>
      <c r="J130" s="5" t="s">
        <v>43</v>
      </c>
      <c r="K130" s="5">
        <v>8.7733785699E10</v>
      </c>
      <c r="L130" s="4" t="s">
        <v>44</v>
      </c>
      <c r="M130" s="5" t="s">
        <v>42</v>
      </c>
      <c r="N130" s="4" t="s">
        <v>45</v>
      </c>
      <c r="O130" s="4" t="s">
        <v>46</v>
      </c>
      <c r="P130" s="4" t="s">
        <v>47</v>
      </c>
      <c r="Q130" s="4">
        <v>16451.0</v>
      </c>
      <c r="R130" s="4" t="s">
        <v>816</v>
      </c>
      <c r="S130" s="8">
        <v>46164.0</v>
      </c>
      <c r="T130" s="9">
        <v>0.375</v>
      </c>
      <c r="U130" s="9">
        <v>0.9166666666666666</v>
      </c>
      <c r="V130" s="4" t="s">
        <v>49</v>
      </c>
      <c r="W130" s="5">
        <v>1.0</v>
      </c>
      <c r="X130" s="5" t="b">
        <v>1</v>
      </c>
      <c r="Y130" s="5" t="s">
        <v>50</v>
      </c>
      <c r="Z130" s="5" t="b">
        <v>0</v>
      </c>
      <c r="AA130" s="10"/>
      <c r="AB130" s="4">
        <v>1.0</v>
      </c>
      <c r="AC130" s="11" t="s">
        <v>817</v>
      </c>
      <c r="AD130" s="5">
        <v>0.0</v>
      </c>
      <c r="AE130" s="5">
        <v>1.0</v>
      </c>
      <c r="AF130" s="8">
        <v>46164.0</v>
      </c>
      <c r="AG130" s="9">
        <v>0.375</v>
      </c>
      <c r="AH130" s="9">
        <v>0.9166666666666666</v>
      </c>
      <c r="AI130" s="4" t="s">
        <v>49</v>
      </c>
      <c r="AJ130" s="5" t="s">
        <v>52</v>
      </c>
      <c r="AK130" s="12"/>
      <c r="AL130" s="12"/>
      <c r="AM130" s="12"/>
      <c r="AN130" s="12"/>
      <c r="AO130" s="12"/>
      <c r="AP130" s="12"/>
      <c r="AQ130" s="12"/>
    </row>
    <row r="131">
      <c r="A131" s="4" t="s">
        <v>818</v>
      </c>
      <c r="B131" s="5">
        <v>1.1398423E7</v>
      </c>
      <c r="C131" s="5" t="s">
        <v>37</v>
      </c>
      <c r="D131" s="4" t="s">
        <v>819</v>
      </c>
      <c r="E131" s="5" t="s">
        <v>39</v>
      </c>
      <c r="F131" s="4" t="s">
        <v>131</v>
      </c>
      <c r="G131" s="4">
        <v>8.787935578E10</v>
      </c>
      <c r="H131" s="4" t="s">
        <v>132</v>
      </c>
      <c r="I131" s="5" t="s">
        <v>42</v>
      </c>
      <c r="J131" s="5" t="s">
        <v>43</v>
      </c>
      <c r="K131" s="5">
        <v>8.7733785699E10</v>
      </c>
      <c r="L131" s="4" t="s">
        <v>44</v>
      </c>
      <c r="M131" s="5" t="s">
        <v>42</v>
      </c>
      <c r="N131" s="4" t="s">
        <v>45</v>
      </c>
      <c r="O131" s="4" t="s">
        <v>46</v>
      </c>
      <c r="P131" s="4" t="s">
        <v>47</v>
      </c>
      <c r="Q131" s="4">
        <v>16451.0</v>
      </c>
      <c r="R131" s="4" t="s">
        <v>820</v>
      </c>
      <c r="S131" s="8">
        <v>46164.0</v>
      </c>
      <c r="T131" s="9">
        <v>0.375</v>
      </c>
      <c r="U131" s="9">
        <v>0.9166666666666666</v>
      </c>
      <c r="V131" s="4" t="s">
        <v>49</v>
      </c>
      <c r="W131" s="5">
        <v>1.0</v>
      </c>
      <c r="X131" s="5" t="b">
        <v>1</v>
      </c>
      <c r="Y131" s="5" t="s">
        <v>50</v>
      </c>
      <c r="Z131" s="5" t="b">
        <v>0</v>
      </c>
      <c r="AA131" s="10"/>
      <c r="AB131" s="4">
        <v>1.0</v>
      </c>
      <c r="AC131" s="11" t="s">
        <v>821</v>
      </c>
      <c r="AD131" s="5">
        <v>0.0</v>
      </c>
      <c r="AE131" s="5">
        <v>1.0</v>
      </c>
      <c r="AF131" s="8">
        <v>46164.0</v>
      </c>
      <c r="AG131" s="9">
        <v>0.375</v>
      </c>
      <c r="AH131" s="9">
        <v>0.9166666666666666</v>
      </c>
      <c r="AI131" s="4" t="s">
        <v>49</v>
      </c>
      <c r="AJ131" s="5" t="s">
        <v>52</v>
      </c>
      <c r="AK131" s="12"/>
      <c r="AL131" s="12"/>
      <c r="AM131" s="12"/>
      <c r="AN131" s="12"/>
      <c r="AO131" s="12"/>
      <c r="AP131" s="12"/>
      <c r="AQ131" s="12"/>
    </row>
    <row r="132">
      <c r="A132" s="4" t="s">
        <v>822</v>
      </c>
      <c r="B132" s="5">
        <v>1.1398423E7</v>
      </c>
      <c r="C132" s="5" t="s">
        <v>37</v>
      </c>
      <c r="D132" s="4" t="s">
        <v>823</v>
      </c>
      <c r="E132" s="5" t="s">
        <v>39</v>
      </c>
      <c r="F132" s="4" t="s">
        <v>193</v>
      </c>
      <c r="G132" s="4">
        <v>8.5374101944E10</v>
      </c>
      <c r="H132" s="4" t="s">
        <v>194</v>
      </c>
      <c r="I132" s="5" t="s">
        <v>42</v>
      </c>
      <c r="J132" s="5" t="s">
        <v>43</v>
      </c>
      <c r="K132" s="5">
        <v>8.7733785699E10</v>
      </c>
      <c r="L132" s="4" t="s">
        <v>44</v>
      </c>
      <c r="M132" s="5" t="s">
        <v>42</v>
      </c>
      <c r="N132" s="4" t="s">
        <v>45</v>
      </c>
      <c r="O132" s="4" t="s">
        <v>46</v>
      </c>
      <c r="P132" s="4" t="s">
        <v>47</v>
      </c>
      <c r="Q132" s="4">
        <v>16451.0</v>
      </c>
      <c r="R132" s="4" t="s">
        <v>824</v>
      </c>
      <c r="S132" s="8">
        <v>46165.0</v>
      </c>
      <c r="T132" s="9">
        <v>0.375</v>
      </c>
      <c r="U132" s="9">
        <v>0.9166666666666666</v>
      </c>
      <c r="V132" s="4" t="s">
        <v>49</v>
      </c>
      <c r="W132" s="5">
        <v>1.0</v>
      </c>
      <c r="X132" s="5" t="b">
        <v>1</v>
      </c>
      <c r="Y132" s="5" t="s">
        <v>50</v>
      </c>
      <c r="Z132" s="5" t="b">
        <v>0</v>
      </c>
      <c r="AA132" s="10"/>
      <c r="AB132" s="4">
        <v>1.0</v>
      </c>
      <c r="AC132" s="11" t="s">
        <v>825</v>
      </c>
      <c r="AD132" s="5">
        <v>0.0</v>
      </c>
      <c r="AE132" s="5">
        <v>1.0</v>
      </c>
      <c r="AF132" s="8">
        <v>46165.0</v>
      </c>
      <c r="AG132" s="9">
        <v>0.375</v>
      </c>
      <c r="AH132" s="9">
        <v>0.9166666666666666</v>
      </c>
      <c r="AI132" s="4" t="s">
        <v>49</v>
      </c>
      <c r="AJ132" s="5" t="s">
        <v>52</v>
      </c>
      <c r="AK132" s="12"/>
      <c r="AL132" s="12"/>
      <c r="AM132" s="12"/>
      <c r="AN132" s="12"/>
      <c r="AO132" s="12"/>
      <c r="AP132" s="12"/>
      <c r="AQ132" s="12"/>
    </row>
    <row r="133">
      <c r="A133" s="4" t="s">
        <v>826</v>
      </c>
      <c r="B133" s="5">
        <v>1.1398423E7</v>
      </c>
      <c r="C133" s="5" t="s">
        <v>37</v>
      </c>
      <c r="D133" s="4" t="s">
        <v>827</v>
      </c>
      <c r="E133" s="5" t="s">
        <v>39</v>
      </c>
      <c r="F133" s="4" t="s">
        <v>828</v>
      </c>
      <c r="G133" s="4">
        <v>8.176684929E9</v>
      </c>
      <c r="H133" s="4" t="s">
        <v>829</v>
      </c>
      <c r="I133" s="5" t="s">
        <v>42</v>
      </c>
      <c r="J133" s="5" t="s">
        <v>43</v>
      </c>
      <c r="K133" s="5">
        <v>8.7733785699E10</v>
      </c>
      <c r="L133" s="4" t="s">
        <v>44</v>
      </c>
      <c r="M133" s="5" t="s">
        <v>42</v>
      </c>
      <c r="N133" s="4" t="s">
        <v>45</v>
      </c>
      <c r="O133" s="4" t="s">
        <v>46</v>
      </c>
      <c r="P133" s="4" t="s">
        <v>47</v>
      </c>
      <c r="Q133" s="4">
        <v>16451.0</v>
      </c>
      <c r="R133" s="4" t="s">
        <v>830</v>
      </c>
      <c r="S133" s="8">
        <v>46165.0</v>
      </c>
      <c r="T133" s="9">
        <v>0.375</v>
      </c>
      <c r="U133" s="9">
        <v>0.9166666666666666</v>
      </c>
      <c r="V133" s="4" t="s">
        <v>49</v>
      </c>
      <c r="W133" s="5">
        <v>1.0</v>
      </c>
      <c r="X133" s="5" t="b">
        <v>1</v>
      </c>
      <c r="Y133" s="5" t="s">
        <v>50</v>
      </c>
      <c r="Z133" s="5" t="b">
        <v>0</v>
      </c>
      <c r="AA133" s="10"/>
      <c r="AB133" s="4">
        <v>1.0</v>
      </c>
      <c r="AC133" s="11" t="s">
        <v>831</v>
      </c>
      <c r="AD133" s="5">
        <v>0.0</v>
      </c>
      <c r="AE133" s="5">
        <v>1.0</v>
      </c>
      <c r="AF133" s="8">
        <v>46165.0</v>
      </c>
      <c r="AG133" s="9">
        <v>0.375</v>
      </c>
      <c r="AH133" s="9">
        <v>0.9166666666666666</v>
      </c>
      <c r="AI133" s="4" t="s">
        <v>49</v>
      </c>
      <c r="AJ133" s="5" t="s">
        <v>52</v>
      </c>
      <c r="AK133" s="12"/>
      <c r="AL133" s="12"/>
      <c r="AM133" s="12"/>
      <c r="AN133" s="12"/>
      <c r="AO133" s="12"/>
      <c r="AP133" s="12"/>
      <c r="AQ133" s="12"/>
    </row>
    <row r="134">
      <c r="A134" s="4" t="s">
        <v>832</v>
      </c>
      <c r="B134" s="5">
        <v>1.1398423E7</v>
      </c>
      <c r="C134" s="5" t="s">
        <v>37</v>
      </c>
      <c r="D134" s="4" t="s">
        <v>833</v>
      </c>
      <c r="E134" s="5" t="s">
        <v>39</v>
      </c>
      <c r="F134" s="4" t="s">
        <v>834</v>
      </c>
      <c r="G134" s="6">
        <v>6.28121E17</v>
      </c>
      <c r="H134" s="4" t="s">
        <v>835</v>
      </c>
      <c r="I134" s="5" t="s">
        <v>42</v>
      </c>
      <c r="J134" s="5" t="s">
        <v>43</v>
      </c>
      <c r="K134" s="5">
        <v>8.7733785699E10</v>
      </c>
      <c r="L134" s="4" t="s">
        <v>44</v>
      </c>
      <c r="M134" s="5" t="s">
        <v>42</v>
      </c>
      <c r="N134" s="4" t="s">
        <v>45</v>
      </c>
      <c r="O134" s="4" t="s">
        <v>46</v>
      </c>
      <c r="P134" s="4" t="s">
        <v>47</v>
      </c>
      <c r="Q134" s="4">
        <v>16451.0</v>
      </c>
      <c r="R134" s="4" t="s">
        <v>836</v>
      </c>
      <c r="S134" s="8">
        <v>46165.0</v>
      </c>
      <c r="T134" s="9">
        <v>0.375</v>
      </c>
      <c r="U134" s="9">
        <v>0.9166666666666666</v>
      </c>
      <c r="V134" s="4" t="s">
        <v>49</v>
      </c>
      <c r="W134" s="5">
        <v>1.0</v>
      </c>
      <c r="X134" s="5" t="b">
        <v>1</v>
      </c>
      <c r="Y134" s="5" t="s">
        <v>50</v>
      </c>
      <c r="Z134" s="5" t="b">
        <v>0</v>
      </c>
      <c r="AA134" s="10"/>
      <c r="AB134" s="4">
        <v>1.0</v>
      </c>
      <c r="AC134" s="11" t="s">
        <v>837</v>
      </c>
      <c r="AD134" s="5">
        <v>0.0</v>
      </c>
      <c r="AE134" s="5">
        <v>1.0</v>
      </c>
      <c r="AF134" s="8">
        <v>46165.0</v>
      </c>
      <c r="AG134" s="9">
        <v>0.375</v>
      </c>
      <c r="AH134" s="9">
        <v>0.9166666666666666</v>
      </c>
      <c r="AI134" s="4" t="s">
        <v>49</v>
      </c>
      <c r="AJ134" s="5" t="s">
        <v>52</v>
      </c>
      <c r="AK134" s="12"/>
      <c r="AL134" s="12"/>
      <c r="AM134" s="12"/>
      <c r="AN134" s="12"/>
      <c r="AO134" s="12"/>
      <c r="AP134" s="12"/>
      <c r="AQ134" s="12"/>
    </row>
    <row r="135">
      <c r="A135" s="4" t="s">
        <v>838</v>
      </c>
      <c r="B135" s="5">
        <v>1.1398423E7</v>
      </c>
      <c r="C135" s="5" t="s">
        <v>37</v>
      </c>
      <c r="D135" s="4" t="s">
        <v>839</v>
      </c>
      <c r="E135" s="5" t="s">
        <v>39</v>
      </c>
      <c r="F135" s="4" t="s">
        <v>179</v>
      </c>
      <c r="G135" s="6">
        <v>6.28222E17</v>
      </c>
      <c r="H135" s="4" t="s">
        <v>180</v>
      </c>
      <c r="I135" s="5" t="s">
        <v>42</v>
      </c>
      <c r="J135" s="5" t="s">
        <v>43</v>
      </c>
      <c r="K135" s="5">
        <v>8.7733785699E10</v>
      </c>
      <c r="L135" s="4" t="s">
        <v>44</v>
      </c>
      <c r="M135" s="5" t="s">
        <v>42</v>
      </c>
      <c r="N135" s="4" t="s">
        <v>45</v>
      </c>
      <c r="O135" s="4" t="s">
        <v>46</v>
      </c>
      <c r="P135" s="4" t="s">
        <v>47</v>
      </c>
      <c r="Q135" s="4">
        <v>16451.0</v>
      </c>
      <c r="R135" s="4" t="s">
        <v>840</v>
      </c>
      <c r="S135" s="8">
        <v>46165.0</v>
      </c>
      <c r="T135" s="9">
        <v>0.375</v>
      </c>
      <c r="U135" s="9">
        <v>0.9166666666666666</v>
      </c>
      <c r="V135" s="4" t="s">
        <v>49</v>
      </c>
      <c r="W135" s="5">
        <v>1.0</v>
      </c>
      <c r="X135" s="5" t="b">
        <v>1</v>
      </c>
      <c r="Y135" s="5" t="s">
        <v>50</v>
      </c>
      <c r="Z135" s="5" t="b">
        <v>0</v>
      </c>
      <c r="AA135" s="10"/>
      <c r="AB135" s="4">
        <v>1.0</v>
      </c>
      <c r="AC135" s="11" t="s">
        <v>841</v>
      </c>
      <c r="AD135" s="5">
        <v>0.0</v>
      </c>
      <c r="AE135" s="5">
        <v>1.0</v>
      </c>
      <c r="AF135" s="8">
        <v>46165.0</v>
      </c>
      <c r="AG135" s="9">
        <v>0.375</v>
      </c>
      <c r="AH135" s="9">
        <v>0.9166666666666666</v>
      </c>
      <c r="AI135" s="4" t="s">
        <v>49</v>
      </c>
      <c r="AJ135" s="5" t="s">
        <v>52</v>
      </c>
      <c r="AK135" s="12"/>
      <c r="AL135" s="12"/>
      <c r="AM135" s="12"/>
      <c r="AN135" s="12"/>
      <c r="AO135" s="12"/>
      <c r="AP135" s="12"/>
      <c r="AQ135" s="12"/>
    </row>
    <row r="136">
      <c r="A136" s="4" t="s">
        <v>842</v>
      </c>
      <c r="B136" s="5">
        <v>1.1398423E7</v>
      </c>
      <c r="C136" s="5" t="s">
        <v>37</v>
      </c>
      <c r="D136" s="4" t="s">
        <v>843</v>
      </c>
      <c r="E136" s="5" t="s">
        <v>39</v>
      </c>
      <c r="F136" s="4" t="s">
        <v>844</v>
      </c>
      <c r="G136" s="6">
        <v>6.28138E17</v>
      </c>
      <c r="H136" s="4" t="s">
        <v>845</v>
      </c>
      <c r="I136" s="5" t="s">
        <v>42</v>
      </c>
      <c r="J136" s="5" t="s">
        <v>43</v>
      </c>
      <c r="K136" s="5">
        <v>8.7733785699E10</v>
      </c>
      <c r="L136" s="4" t="s">
        <v>44</v>
      </c>
      <c r="M136" s="5" t="s">
        <v>42</v>
      </c>
      <c r="N136" s="4" t="s">
        <v>45</v>
      </c>
      <c r="O136" s="4" t="s">
        <v>46</v>
      </c>
      <c r="P136" s="4" t="s">
        <v>47</v>
      </c>
      <c r="Q136" s="4">
        <v>16451.0</v>
      </c>
      <c r="R136" s="4" t="s">
        <v>846</v>
      </c>
      <c r="S136" s="8">
        <v>46165.0</v>
      </c>
      <c r="T136" s="9">
        <v>0.375</v>
      </c>
      <c r="U136" s="9">
        <v>0.9166666666666666</v>
      </c>
      <c r="V136" s="4" t="s">
        <v>49</v>
      </c>
      <c r="W136" s="5">
        <v>1.0</v>
      </c>
      <c r="X136" s="5" t="b">
        <v>1</v>
      </c>
      <c r="Y136" s="5" t="s">
        <v>50</v>
      </c>
      <c r="Z136" s="5" t="b">
        <v>0</v>
      </c>
      <c r="AA136" s="10"/>
      <c r="AB136" s="4">
        <v>1.0</v>
      </c>
      <c r="AC136" s="11" t="s">
        <v>847</v>
      </c>
      <c r="AD136" s="5">
        <v>0.0</v>
      </c>
      <c r="AE136" s="5">
        <v>1.0</v>
      </c>
      <c r="AF136" s="8">
        <v>46165.0</v>
      </c>
      <c r="AG136" s="9">
        <v>0.375</v>
      </c>
      <c r="AH136" s="9">
        <v>0.9166666666666666</v>
      </c>
      <c r="AI136" s="4" t="s">
        <v>49</v>
      </c>
      <c r="AJ136" s="5" t="s">
        <v>52</v>
      </c>
      <c r="AK136" s="12"/>
      <c r="AL136" s="12"/>
      <c r="AM136" s="12"/>
      <c r="AN136" s="12"/>
      <c r="AO136" s="12"/>
      <c r="AP136" s="12"/>
      <c r="AQ136" s="12"/>
    </row>
    <row r="137">
      <c r="A137" s="4" t="s">
        <v>848</v>
      </c>
      <c r="B137" s="5">
        <v>1.1398423E7</v>
      </c>
      <c r="C137" s="5" t="s">
        <v>37</v>
      </c>
      <c r="D137" s="4" t="s">
        <v>849</v>
      </c>
      <c r="E137" s="5" t="s">
        <v>39</v>
      </c>
      <c r="F137" s="4" t="s">
        <v>474</v>
      </c>
      <c r="G137" s="4">
        <v>8.1314522941E10</v>
      </c>
      <c r="H137" s="4" t="s">
        <v>475</v>
      </c>
      <c r="I137" s="5" t="s">
        <v>42</v>
      </c>
      <c r="J137" s="5" t="s">
        <v>43</v>
      </c>
      <c r="K137" s="5">
        <v>8.7733785699E10</v>
      </c>
      <c r="L137" s="4" t="s">
        <v>44</v>
      </c>
      <c r="M137" s="5" t="s">
        <v>42</v>
      </c>
      <c r="N137" s="4" t="s">
        <v>45</v>
      </c>
      <c r="O137" s="4" t="s">
        <v>46</v>
      </c>
      <c r="P137" s="4" t="s">
        <v>47</v>
      </c>
      <c r="Q137" s="4">
        <v>16451.0</v>
      </c>
      <c r="R137" s="4" t="s">
        <v>850</v>
      </c>
      <c r="S137" s="8">
        <v>46165.0</v>
      </c>
      <c r="T137" s="9">
        <v>0.375</v>
      </c>
      <c r="U137" s="9">
        <v>0.9166666666666666</v>
      </c>
      <c r="V137" s="4" t="s">
        <v>49</v>
      </c>
      <c r="W137" s="5">
        <v>1.0</v>
      </c>
      <c r="X137" s="5" t="b">
        <v>1</v>
      </c>
      <c r="Y137" s="5" t="s">
        <v>50</v>
      </c>
      <c r="Z137" s="5" t="b">
        <v>0</v>
      </c>
      <c r="AA137" s="10"/>
      <c r="AB137" s="4">
        <v>1.0</v>
      </c>
      <c r="AC137" s="11" t="s">
        <v>851</v>
      </c>
      <c r="AD137" s="5">
        <v>0.0</v>
      </c>
      <c r="AE137" s="5">
        <v>1.0</v>
      </c>
      <c r="AF137" s="8">
        <v>46165.0</v>
      </c>
      <c r="AG137" s="9">
        <v>0.375</v>
      </c>
      <c r="AH137" s="9">
        <v>0.9166666666666666</v>
      </c>
      <c r="AI137" s="4" t="s">
        <v>49</v>
      </c>
      <c r="AJ137" s="5" t="s">
        <v>52</v>
      </c>
      <c r="AK137" s="12"/>
      <c r="AL137" s="12"/>
      <c r="AM137" s="12"/>
      <c r="AN137" s="12"/>
      <c r="AO137" s="12"/>
      <c r="AP137" s="12"/>
      <c r="AQ137" s="12"/>
    </row>
    <row r="138">
      <c r="A138" s="4" t="s">
        <v>852</v>
      </c>
      <c r="B138" s="5">
        <v>1.1398423E7</v>
      </c>
      <c r="C138" s="5" t="s">
        <v>37</v>
      </c>
      <c r="D138" s="4" t="s">
        <v>853</v>
      </c>
      <c r="E138" s="5" t="s">
        <v>39</v>
      </c>
      <c r="F138" s="4" t="s">
        <v>854</v>
      </c>
      <c r="G138" s="6">
        <v>6.28213E17</v>
      </c>
      <c r="H138" s="4" t="s">
        <v>855</v>
      </c>
      <c r="I138" s="5" t="s">
        <v>42</v>
      </c>
      <c r="J138" s="5" t="s">
        <v>43</v>
      </c>
      <c r="K138" s="5">
        <v>8.7733785699E10</v>
      </c>
      <c r="L138" s="4" t="s">
        <v>44</v>
      </c>
      <c r="M138" s="5" t="s">
        <v>42</v>
      </c>
      <c r="N138" s="4" t="s">
        <v>45</v>
      </c>
      <c r="O138" s="4" t="s">
        <v>46</v>
      </c>
      <c r="P138" s="4" t="s">
        <v>47</v>
      </c>
      <c r="Q138" s="4">
        <v>16451.0</v>
      </c>
      <c r="R138" s="4" t="s">
        <v>856</v>
      </c>
      <c r="S138" s="8">
        <v>46165.0</v>
      </c>
      <c r="T138" s="9">
        <v>0.375</v>
      </c>
      <c r="U138" s="9">
        <v>0.9166666666666666</v>
      </c>
      <c r="V138" s="4" t="s">
        <v>49</v>
      </c>
      <c r="W138" s="5">
        <v>1.0</v>
      </c>
      <c r="X138" s="5" t="b">
        <v>1</v>
      </c>
      <c r="Y138" s="5" t="s">
        <v>50</v>
      </c>
      <c r="Z138" s="5" t="b">
        <v>0</v>
      </c>
      <c r="AA138" s="10"/>
      <c r="AB138" s="4">
        <v>1.0</v>
      </c>
      <c r="AC138" s="11" t="s">
        <v>857</v>
      </c>
      <c r="AD138" s="5">
        <v>0.0</v>
      </c>
      <c r="AE138" s="5">
        <v>1.0</v>
      </c>
      <c r="AF138" s="8">
        <v>46165.0</v>
      </c>
      <c r="AG138" s="9">
        <v>0.375</v>
      </c>
      <c r="AH138" s="9">
        <v>0.9166666666666666</v>
      </c>
      <c r="AI138" s="4" t="s">
        <v>49</v>
      </c>
      <c r="AJ138" s="5" t="s">
        <v>52</v>
      </c>
      <c r="AK138" s="12"/>
      <c r="AL138" s="12"/>
      <c r="AM138" s="12"/>
      <c r="AN138" s="12"/>
      <c r="AO138" s="12"/>
      <c r="AP138" s="12"/>
      <c r="AQ138" s="12"/>
    </row>
    <row r="139">
      <c r="A139" s="4" t="s">
        <v>858</v>
      </c>
      <c r="B139" s="5">
        <v>1.1398423E7</v>
      </c>
      <c r="C139" s="5" t="s">
        <v>37</v>
      </c>
      <c r="D139" s="4" t="s">
        <v>859</v>
      </c>
      <c r="E139" s="5" t="s">
        <v>39</v>
      </c>
      <c r="F139" s="4" t="s">
        <v>860</v>
      </c>
      <c r="G139" s="6">
        <v>6.28198E16</v>
      </c>
      <c r="H139" s="4" t="s">
        <v>861</v>
      </c>
      <c r="I139" s="5" t="s">
        <v>42</v>
      </c>
      <c r="J139" s="5" t="s">
        <v>43</v>
      </c>
      <c r="K139" s="5">
        <v>8.7733785699E10</v>
      </c>
      <c r="L139" s="4" t="s">
        <v>44</v>
      </c>
      <c r="M139" s="5" t="s">
        <v>42</v>
      </c>
      <c r="N139" s="4" t="s">
        <v>45</v>
      </c>
      <c r="O139" s="4" t="s">
        <v>46</v>
      </c>
      <c r="P139" s="4" t="s">
        <v>47</v>
      </c>
      <c r="Q139" s="4">
        <v>16451.0</v>
      </c>
      <c r="R139" s="4" t="s">
        <v>862</v>
      </c>
      <c r="S139" s="8">
        <v>46165.0</v>
      </c>
      <c r="T139" s="9">
        <v>0.375</v>
      </c>
      <c r="U139" s="9">
        <v>0.9166666666666666</v>
      </c>
      <c r="V139" s="4" t="s">
        <v>49</v>
      </c>
      <c r="W139" s="5">
        <v>1.0</v>
      </c>
      <c r="X139" s="5" t="b">
        <v>1</v>
      </c>
      <c r="Y139" s="5" t="s">
        <v>50</v>
      </c>
      <c r="Z139" s="5" t="b">
        <v>0</v>
      </c>
      <c r="AA139" s="10"/>
      <c r="AB139" s="4">
        <v>1.0</v>
      </c>
      <c r="AC139" s="11" t="s">
        <v>863</v>
      </c>
      <c r="AD139" s="5">
        <v>0.0</v>
      </c>
      <c r="AE139" s="5">
        <v>1.0</v>
      </c>
      <c r="AF139" s="8">
        <v>46165.0</v>
      </c>
      <c r="AG139" s="9">
        <v>0.375</v>
      </c>
      <c r="AH139" s="9">
        <v>0.9166666666666666</v>
      </c>
      <c r="AI139" s="4" t="s">
        <v>49</v>
      </c>
      <c r="AJ139" s="5" t="s">
        <v>52</v>
      </c>
      <c r="AK139" s="12"/>
      <c r="AL139" s="12"/>
      <c r="AM139" s="12"/>
      <c r="AN139" s="12"/>
      <c r="AO139" s="12"/>
      <c r="AP139" s="12"/>
      <c r="AQ139" s="12"/>
    </row>
    <row r="140">
      <c r="A140" s="4" t="s">
        <v>864</v>
      </c>
      <c r="B140" s="5">
        <v>1.1398423E7</v>
      </c>
      <c r="C140" s="5" t="s">
        <v>37</v>
      </c>
      <c r="D140" s="4" t="s">
        <v>865</v>
      </c>
      <c r="E140" s="5" t="s">
        <v>39</v>
      </c>
      <c r="F140" s="4" t="s">
        <v>866</v>
      </c>
      <c r="G140" s="6">
        <v>6.28516E17</v>
      </c>
      <c r="H140" s="4" t="s">
        <v>867</v>
      </c>
      <c r="I140" s="5" t="s">
        <v>42</v>
      </c>
      <c r="J140" s="5" t="s">
        <v>43</v>
      </c>
      <c r="K140" s="5">
        <v>8.7733785699E10</v>
      </c>
      <c r="L140" s="4" t="s">
        <v>44</v>
      </c>
      <c r="M140" s="5" t="s">
        <v>42</v>
      </c>
      <c r="N140" s="4" t="s">
        <v>45</v>
      </c>
      <c r="O140" s="4" t="s">
        <v>46</v>
      </c>
      <c r="P140" s="4" t="s">
        <v>47</v>
      </c>
      <c r="Q140" s="4">
        <v>16451.0</v>
      </c>
      <c r="R140" s="4" t="s">
        <v>868</v>
      </c>
      <c r="S140" s="8">
        <v>46165.0</v>
      </c>
      <c r="T140" s="9">
        <v>0.375</v>
      </c>
      <c r="U140" s="9">
        <v>0.9166666666666666</v>
      </c>
      <c r="V140" s="4" t="s">
        <v>49</v>
      </c>
      <c r="W140" s="5">
        <v>1.0</v>
      </c>
      <c r="X140" s="5" t="b">
        <v>1</v>
      </c>
      <c r="Y140" s="5" t="s">
        <v>50</v>
      </c>
      <c r="Z140" s="5" t="b">
        <v>0</v>
      </c>
      <c r="AA140" s="10"/>
      <c r="AB140" s="4">
        <v>1.0</v>
      </c>
      <c r="AC140" s="11" t="s">
        <v>869</v>
      </c>
      <c r="AD140" s="5">
        <v>0.0</v>
      </c>
      <c r="AE140" s="5">
        <v>1.0</v>
      </c>
      <c r="AF140" s="8">
        <v>46165.0</v>
      </c>
      <c r="AG140" s="9">
        <v>0.375</v>
      </c>
      <c r="AH140" s="9">
        <v>0.9166666666666666</v>
      </c>
      <c r="AI140" s="4" t="s">
        <v>49</v>
      </c>
      <c r="AJ140" s="5" t="s">
        <v>52</v>
      </c>
      <c r="AK140" s="12"/>
      <c r="AL140" s="12"/>
      <c r="AM140" s="12"/>
      <c r="AN140" s="12"/>
      <c r="AO140" s="12"/>
      <c r="AP140" s="12"/>
      <c r="AQ140" s="12"/>
    </row>
    <row r="141">
      <c r="A141" s="4" t="s">
        <v>870</v>
      </c>
      <c r="B141" s="5">
        <v>1.1398423E7</v>
      </c>
      <c r="C141" s="5" t="s">
        <v>37</v>
      </c>
      <c r="D141" s="4" t="s">
        <v>871</v>
      </c>
      <c r="E141" s="5" t="s">
        <v>39</v>
      </c>
      <c r="F141" s="4" t="s">
        <v>872</v>
      </c>
      <c r="G141" s="6">
        <v>6.28528E17</v>
      </c>
      <c r="H141" s="4" t="s">
        <v>873</v>
      </c>
      <c r="I141" s="5" t="s">
        <v>42</v>
      </c>
      <c r="J141" s="5" t="s">
        <v>43</v>
      </c>
      <c r="K141" s="5">
        <v>8.7733785699E10</v>
      </c>
      <c r="L141" s="4" t="s">
        <v>44</v>
      </c>
      <c r="M141" s="5" t="s">
        <v>42</v>
      </c>
      <c r="N141" s="4" t="s">
        <v>45</v>
      </c>
      <c r="O141" s="4" t="s">
        <v>46</v>
      </c>
      <c r="P141" s="4" t="s">
        <v>47</v>
      </c>
      <c r="Q141" s="4">
        <v>16451.0</v>
      </c>
      <c r="R141" s="4" t="s">
        <v>874</v>
      </c>
      <c r="S141" s="8">
        <v>46165.0</v>
      </c>
      <c r="T141" s="9">
        <v>0.375</v>
      </c>
      <c r="U141" s="9">
        <v>0.9166666666666666</v>
      </c>
      <c r="V141" s="4" t="s">
        <v>49</v>
      </c>
      <c r="W141" s="5">
        <v>1.0</v>
      </c>
      <c r="X141" s="5" t="b">
        <v>1</v>
      </c>
      <c r="Y141" s="5" t="s">
        <v>50</v>
      </c>
      <c r="Z141" s="5" t="b">
        <v>0</v>
      </c>
      <c r="AA141" s="10"/>
      <c r="AB141" s="4">
        <v>1.0</v>
      </c>
      <c r="AC141" s="11" t="s">
        <v>875</v>
      </c>
      <c r="AD141" s="5">
        <v>0.0</v>
      </c>
      <c r="AE141" s="5">
        <v>1.0</v>
      </c>
      <c r="AF141" s="8">
        <v>46165.0</v>
      </c>
      <c r="AG141" s="9">
        <v>0.375</v>
      </c>
      <c r="AH141" s="9">
        <v>0.9166666666666666</v>
      </c>
      <c r="AI141" s="4" t="s">
        <v>49</v>
      </c>
      <c r="AJ141" s="5" t="s">
        <v>52</v>
      </c>
      <c r="AK141" s="12"/>
      <c r="AL141" s="12"/>
      <c r="AM141" s="12"/>
      <c r="AN141" s="12"/>
      <c r="AO141" s="12"/>
      <c r="AP141" s="12"/>
      <c r="AQ141" s="12"/>
    </row>
    <row r="142">
      <c r="A142" s="4" t="s">
        <v>876</v>
      </c>
      <c r="B142" s="5">
        <v>1.1398423E7</v>
      </c>
      <c r="C142" s="5" t="s">
        <v>37</v>
      </c>
      <c r="D142" s="4" t="s">
        <v>877</v>
      </c>
      <c r="E142" s="5" t="s">
        <v>39</v>
      </c>
      <c r="F142" s="4" t="s">
        <v>71</v>
      </c>
      <c r="G142" s="6">
        <v>6.28125E17</v>
      </c>
      <c r="H142" s="4" t="s">
        <v>72</v>
      </c>
      <c r="I142" s="5" t="s">
        <v>42</v>
      </c>
      <c r="J142" s="5" t="s">
        <v>43</v>
      </c>
      <c r="K142" s="5">
        <v>8.7733785699E10</v>
      </c>
      <c r="L142" s="4" t="s">
        <v>44</v>
      </c>
      <c r="M142" s="5" t="s">
        <v>42</v>
      </c>
      <c r="N142" s="4" t="s">
        <v>45</v>
      </c>
      <c r="O142" s="4" t="s">
        <v>46</v>
      </c>
      <c r="P142" s="4" t="s">
        <v>47</v>
      </c>
      <c r="Q142" s="4">
        <v>16451.0</v>
      </c>
      <c r="R142" s="4" t="s">
        <v>878</v>
      </c>
      <c r="S142" s="8">
        <v>46165.0</v>
      </c>
      <c r="T142" s="9">
        <v>0.375</v>
      </c>
      <c r="U142" s="9">
        <v>0.9166666666666666</v>
      </c>
      <c r="V142" s="4" t="s">
        <v>49</v>
      </c>
      <c r="W142" s="5">
        <v>1.0</v>
      </c>
      <c r="X142" s="5" t="b">
        <v>1</v>
      </c>
      <c r="Y142" s="5" t="s">
        <v>50</v>
      </c>
      <c r="Z142" s="5" t="b">
        <v>0</v>
      </c>
      <c r="AA142" s="10"/>
      <c r="AB142" s="4">
        <v>1.0</v>
      </c>
      <c r="AC142" s="11" t="s">
        <v>879</v>
      </c>
      <c r="AD142" s="5">
        <v>0.0</v>
      </c>
      <c r="AE142" s="5">
        <v>1.0</v>
      </c>
      <c r="AF142" s="8">
        <v>46165.0</v>
      </c>
      <c r="AG142" s="9">
        <v>0.375</v>
      </c>
      <c r="AH142" s="9">
        <v>0.9166666666666666</v>
      </c>
      <c r="AI142" s="4" t="s">
        <v>49</v>
      </c>
      <c r="AJ142" s="5" t="s">
        <v>52</v>
      </c>
      <c r="AK142" s="12"/>
      <c r="AL142" s="12"/>
      <c r="AM142" s="12"/>
      <c r="AN142" s="12"/>
      <c r="AO142" s="12"/>
      <c r="AP142" s="12"/>
      <c r="AQ142" s="12"/>
    </row>
    <row r="143" ht="15.75" customHeight="1">
      <c r="A143" s="4" t="s">
        <v>880</v>
      </c>
      <c r="B143" s="5">
        <v>1.1398423E7</v>
      </c>
      <c r="C143" s="5" t="s">
        <v>37</v>
      </c>
      <c r="D143" s="4" t="s">
        <v>881</v>
      </c>
      <c r="E143" s="5" t="s">
        <v>39</v>
      </c>
      <c r="F143" s="4" t="s">
        <v>882</v>
      </c>
      <c r="G143" s="6">
        <v>6.28784E17</v>
      </c>
      <c r="H143" s="4" t="s">
        <v>883</v>
      </c>
      <c r="I143" s="5" t="s">
        <v>42</v>
      </c>
      <c r="J143" s="13" t="s">
        <v>43</v>
      </c>
      <c r="K143" s="14">
        <v>6.28514E17</v>
      </c>
      <c r="L143" s="13" t="s">
        <v>57</v>
      </c>
      <c r="M143" s="5" t="s">
        <v>42</v>
      </c>
      <c r="N143" s="4" t="s">
        <v>58</v>
      </c>
      <c r="O143" s="4" t="s">
        <v>59</v>
      </c>
      <c r="P143" s="4" t="s">
        <v>60</v>
      </c>
      <c r="Q143" s="4">
        <v>60291.0</v>
      </c>
      <c r="R143" s="7" t="s">
        <v>884</v>
      </c>
      <c r="S143" s="8">
        <v>46165.0</v>
      </c>
      <c r="T143" s="9">
        <v>0.375</v>
      </c>
      <c r="U143" s="9">
        <v>0.9166666666666666</v>
      </c>
      <c r="V143" s="4" t="s">
        <v>49</v>
      </c>
      <c r="W143" s="5">
        <v>1.0</v>
      </c>
      <c r="X143" s="5" t="b">
        <v>1</v>
      </c>
      <c r="Y143" s="5" t="s">
        <v>50</v>
      </c>
      <c r="Z143" s="5" t="b">
        <v>0</v>
      </c>
      <c r="AA143" s="10"/>
      <c r="AB143" s="4">
        <v>1.0</v>
      </c>
      <c r="AC143" s="11" t="s">
        <v>885</v>
      </c>
      <c r="AD143" s="5">
        <v>0.0</v>
      </c>
      <c r="AE143" s="5">
        <v>1.0</v>
      </c>
      <c r="AF143" s="8">
        <v>46165.0</v>
      </c>
      <c r="AG143" s="9">
        <v>0.375</v>
      </c>
      <c r="AH143" s="9">
        <v>0.9166666666666666</v>
      </c>
      <c r="AI143" s="4" t="s">
        <v>49</v>
      </c>
      <c r="AJ143" s="5" t="s">
        <v>52</v>
      </c>
      <c r="AK143" s="12"/>
      <c r="AL143" s="12"/>
      <c r="AM143" s="12"/>
      <c r="AN143" s="12"/>
      <c r="AO143" s="12"/>
      <c r="AP143" s="12"/>
      <c r="AQ143" s="12"/>
    </row>
    <row r="144">
      <c r="A144" s="4" t="s">
        <v>886</v>
      </c>
      <c r="B144" s="5">
        <v>1.1398423E7</v>
      </c>
      <c r="C144" s="5" t="s">
        <v>37</v>
      </c>
      <c r="D144" s="4" t="s">
        <v>823</v>
      </c>
      <c r="E144" s="5" t="s">
        <v>39</v>
      </c>
      <c r="F144" s="4" t="s">
        <v>828</v>
      </c>
      <c r="G144" s="4">
        <v>8.176684929E9</v>
      </c>
      <c r="H144" s="4" t="s">
        <v>829</v>
      </c>
      <c r="I144" s="5" t="s">
        <v>42</v>
      </c>
      <c r="J144" s="5" t="s">
        <v>43</v>
      </c>
      <c r="K144" s="5">
        <v>8.7733785699E10</v>
      </c>
      <c r="L144" s="4" t="s">
        <v>44</v>
      </c>
      <c r="M144" s="5" t="s">
        <v>42</v>
      </c>
      <c r="N144" s="4" t="s">
        <v>45</v>
      </c>
      <c r="O144" s="4" t="s">
        <v>46</v>
      </c>
      <c r="P144" s="4" t="s">
        <v>47</v>
      </c>
      <c r="Q144" s="4">
        <v>16451.0</v>
      </c>
      <c r="R144" s="4" t="s">
        <v>887</v>
      </c>
      <c r="S144" s="8">
        <v>46166.0</v>
      </c>
      <c r="T144" s="9">
        <v>0.375</v>
      </c>
      <c r="U144" s="9">
        <v>0.9166666666666666</v>
      </c>
      <c r="V144" s="4" t="s">
        <v>49</v>
      </c>
      <c r="W144" s="5">
        <v>1.0</v>
      </c>
      <c r="X144" s="5" t="b">
        <v>1</v>
      </c>
      <c r="Y144" s="5" t="s">
        <v>50</v>
      </c>
      <c r="Z144" s="5" t="b">
        <v>0</v>
      </c>
      <c r="AA144" s="10"/>
      <c r="AB144" s="4">
        <v>1.0</v>
      </c>
      <c r="AC144" s="11" t="s">
        <v>888</v>
      </c>
      <c r="AD144" s="5">
        <v>0.0</v>
      </c>
      <c r="AE144" s="5">
        <v>1.0</v>
      </c>
      <c r="AF144" s="8">
        <v>46166.0</v>
      </c>
      <c r="AG144" s="9">
        <v>0.375</v>
      </c>
      <c r="AH144" s="9">
        <v>0.9166666666666666</v>
      </c>
      <c r="AI144" s="4" t="s">
        <v>49</v>
      </c>
      <c r="AJ144" s="5" t="s">
        <v>52</v>
      </c>
      <c r="AK144" s="12"/>
      <c r="AL144" s="12"/>
      <c r="AM144" s="12"/>
      <c r="AN144" s="12"/>
      <c r="AO144" s="12"/>
      <c r="AP144" s="12"/>
      <c r="AQ144" s="12"/>
    </row>
    <row r="145" ht="14.25" customHeight="1">
      <c r="A145" s="4" t="s">
        <v>889</v>
      </c>
      <c r="B145" s="5">
        <v>1.1398423E7</v>
      </c>
      <c r="C145" s="5" t="s">
        <v>37</v>
      </c>
      <c r="D145" s="4" t="s">
        <v>827</v>
      </c>
      <c r="E145" s="5" t="s">
        <v>39</v>
      </c>
      <c r="F145" s="4" t="s">
        <v>890</v>
      </c>
      <c r="G145" s="4">
        <v>2.18410085E8</v>
      </c>
      <c r="H145" s="4" t="s">
        <v>891</v>
      </c>
      <c r="I145" s="5" t="s">
        <v>42</v>
      </c>
      <c r="J145" s="5" t="s">
        <v>43</v>
      </c>
      <c r="K145" s="5">
        <v>8.7733785699E10</v>
      </c>
      <c r="L145" s="4" t="s">
        <v>44</v>
      </c>
      <c r="M145" s="5" t="s">
        <v>42</v>
      </c>
      <c r="N145" s="4" t="s">
        <v>45</v>
      </c>
      <c r="O145" s="4" t="s">
        <v>46</v>
      </c>
      <c r="P145" s="4" t="s">
        <v>47</v>
      </c>
      <c r="Q145" s="4">
        <v>16451.0</v>
      </c>
      <c r="R145" s="4" t="s">
        <v>892</v>
      </c>
      <c r="S145" s="8">
        <v>46166.0</v>
      </c>
      <c r="T145" s="9">
        <v>0.375</v>
      </c>
      <c r="U145" s="9">
        <v>0.9166666666666666</v>
      </c>
      <c r="V145" s="4" t="s">
        <v>49</v>
      </c>
      <c r="W145" s="5">
        <v>1.0</v>
      </c>
      <c r="X145" s="5" t="b">
        <v>1</v>
      </c>
      <c r="Y145" s="5" t="s">
        <v>50</v>
      </c>
      <c r="Z145" s="5" t="b">
        <v>0</v>
      </c>
      <c r="AA145" s="10"/>
      <c r="AB145" s="4">
        <v>1.0</v>
      </c>
      <c r="AC145" s="11" t="s">
        <v>893</v>
      </c>
      <c r="AD145" s="5">
        <v>0.0</v>
      </c>
      <c r="AE145" s="5">
        <v>1.0</v>
      </c>
      <c r="AF145" s="8">
        <v>46166.0</v>
      </c>
      <c r="AG145" s="9">
        <v>0.375</v>
      </c>
      <c r="AH145" s="9">
        <v>0.9166666666666666</v>
      </c>
      <c r="AI145" s="4" t="s">
        <v>49</v>
      </c>
      <c r="AJ145" s="5" t="s">
        <v>52</v>
      </c>
      <c r="AK145" s="12"/>
      <c r="AL145" s="12"/>
      <c r="AM145" s="12"/>
      <c r="AN145" s="12"/>
      <c r="AO145" s="12"/>
      <c r="AP145" s="12"/>
      <c r="AQ145" s="12"/>
    </row>
    <row r="146">
      <c r="A146" s="4" t="s">
        <v>894</v>
      </c>
      <c r="B146" s="5">
        <v>1.1398423E7</v>
      </c>
      <c r="C146" s="5" t="s">
        <v>37</v>
      </c>
      <c r="D146" s="4" t="s">
        <v>833</v>
      </c>
      <c r="E146" s="5" t="s">
        <v>39</v>
      </c>
      <c r="F146" s="4" t="s">
        <v>895</v>
      </c>
      <c r="G146" s="6">
        <v>6.28822E17</v>
      </c>
      <c r="H146" s="4" t="s">
        <v>896</v>
      </c>
      <c r="I146" s="5" t="s">
        <v>42</v>
      </c>
      <c r="J146" s="5" t="s">
        <v>43</v>
      </c>
      <c r="K146" s="5">
        <v>8.7733785699E10</v>
      </c>
      <c r="L146" s="4" t="s">
        <v>44</v>
      </c>
      <c r="M146" s="5" t="s">
        <v>42</v>
      </c>
      <c r="N146" s="4" t="s">
        <v>45</v>
      </c>
      <c r="O146" s="4" t="s">
        <v>46</v>
      </c>
      <c r="P146" s="4" t="s">
        <v>47</v>
      </c>
      <c r="Q146" s="4">
        <v>16451.0</v>
      </c>
      <c r="R146" s="4" t="s">
        <v>897</v>
      </c>
      <c r="S146" s="8">
        <v>46166.0</v>
      </c>
      <c r="T146" s="9">
        <v>0.375</v>
      </c>
      <c r="U146" s="9">
        <v>0.9166666666666666</v>
      </c>
      <c r="V146" s="4" t="s">
        <v>49</v>
      </c>
      <c r="W146" s="5">
        <v>1.0</v>
      </c>
      <c r="X146" s="5" t="b">
        <v>1</v>
      </c>
      <c r="Y146" s="5" t="s">
        <v>50</v>
      </c>
      <c r="Z146" s="5" t="b">
        <v>0</v>
      </c>
      <c r="AA146" s="10"/>
      <c r="AB146" s="4">
        <v>1.0</v>
      </c>
      <c r="AC146" s="11" t="s">
        <v>898</v>
      </c>
      <c r="AD146" s="5">
        <v>0.0</v>
      </c>
      <c r="AE146" s="5">
        <v>1.0</v>
      </c>
      <c r="AF146" s="8">
        <v>46166.0</v>
      </c>
      <c r="AG146" s="9">
        <v>0.375</v>
      </c>
      <c r="AH146" s="9">
        <v>0.9166666666666666</v>
      </c>
      <c r="AI146" s="4" t="s">
        <v>49</v>
      </c>
      <c r="AJ146" s="5" t="s">
        <v>52</v>
      </c>
      <c r="AK146" s="12"/>
      <c r="AL146" s="12"/>
      <c r="AM146" s="12"/>
      <c r="AN146" s="12"/>
      <c r="AO146" s="12"/>
      <c r="AP146" s="12"/>
      <c r="AQ146" s="12"/>
    </row>
    <row r="147">
      <c r="A147" s="4" t="s">
        <v>899</v>
      </c>
      <c r="B147" s="5">
        <v>1.1398423E7</v>
      </c>
      <c r="C147" s="5" t="s">
        <v>37</v>
      </c>
      <c r="D147" s="4" t="s">
        <v>900</v>
      </c>
      <c r="E147" s="5" t="s">
        <v>39</v>
      </c>
      <c r="F147" s="4" t="s">
        <v>901</v>
      </c>
      <c r="G147" s="6">
        <v>6.28226E17</v>
      </c>
      <c r="H147" s="4" t="s">
        <v>902</v>
      </c>
      <c r="I147" s="5" t="s">
        <v>42</v>
      </c>
      <c r="J147" s="13" t="s">
        <v>43</v>
      </c>
      <c r="K147" s="14">
        <v>6.28514E17</v>
      </c>
      <c r="L147" s="13" t="s">
        <v>57</v>
      </c>
      <c r="M147" s="5" t="s">
        <v>42</v>
      </c>
      <c r="N147" s="4" t="s">
        <v>58</v>
      </c>
      <c r="O147" s="4" t="s">
        <v>59</v>
      </c>
      <c r="P147" s="4" t="s">
        <v>60</v>
      </c>
      <c r="Q147" s="4">
        <v>60291.0</v>
      </c>
      <c r="R147" s="4" t="s">
        <v>903</v>
      </c>
      <c r="S147" s="8">
        <v>46167.0</v>
      </c>
      <c r="T147" s="9">
        <v>0.375</v>
      </c>
      <c r="U147" s="9">
        <v>0.9166666666666666</v>
      </c>
      <c r="V147" s="4" t="s">
        <v>49</v>
      </c>
      <c r="W147" s="5">
        <v>1.0</v>
      </c>
      <c r="X147" s="5" t="b">
        <v>1</v>
      </c>
      <c r="Y147" s="5" t="s">
        <v>50</v>
      </c>
      <c r="Z147" s="5" t="b">
        <v>0</v>
      </c>
      <c r="AA147" s="10"/>
      <c r="AB147" s="4">
        <v>1.0</v>
      </c>
      <c r="AC147" s="11" t="s">
        <v>904</v>
      </c>
      <c r="AD147" s="5">
        <v>0.0</v>
      </c>
      <c r="AE147" s="5">
        <v>1.0</v>
      </c>
      <c r="AF147" s="8">
        <v>46167.0</v>
      </c>
      <c r="AG147" s="9">
        <v>0.375</v>
      </c>
      <c r="AH147" s="9">
        <v>0.9166666666666666</v>
      </c>
      <c r="AI147" s="4" t="s">
        <v>49</v>
      </c>
      <c r="AJ147" s="5" t="s">
        <v>52</v>
      </c>
      <c r="AK147" s="12"/>
      <c r="AL147" s="12"/>
      <c r="AM147" s="12"/>
      <c r="AN147" s="12"/>
      <c r="AO147" s="12"/>
      <c r="AP147" s="12"/>
      <c r="AQ147" s="12"/>
    </row>
    <row r="148">
      <c r="A148" s="4" t="s">
        <v>905</v>
      </c>
      <c r="B148" s="5">
        <v>1.1398423E7</v>
      </c>
      <c r="C148" s="5" t="s">
        <v>37</v>
      </c>
      <c r="D148" s="4" t="s">
        <v>906</v>
      </c>
      <c r="E148" s="5" t="s">
        <v>39</v>
      </c>
      <c r="F148" s="4" t="s">
        <v>907</v>
      </c>
      <c r="G148" s="4">
        <v>8.5647789448E10</v>
      </c>
      <c r="H148" s="4" t="s">
        <v>908</v>
      </c>
      <c r="I148" s="5" t="s">
        <v>42</v>
      </c>
      <c r="J148" s="5" t="s">
        <v>43</v>
      </c>
      <c r="K148" s="5">
        <v>8.5143002578E10</v>
      </c>
      <c r="L148" s="4" t="s">
        <v>57</v>
      </c>
      <c r="M148" s="5" t="s">
        <v>42</v>
      </c>
      <c r="N148" s="4" t="s">
        <v>58</v>
      </c>
      <c r="O148" s="4" t="s">
        <v>59</v>
      </c>
      <c r="P148" s="4" t="s">
        <v>60</v>
      </c>
      <c r="Q148" s="4">
        <v>60291.0</v>
      </c>
      <c r="R148" s="4" t="s">
        <v>909</v>
      </c>
      <c r="S148" s="8">
        <v>46170.0</v>
      </c>
      <c r="T148" s="9">
        <v>0.375</v>
      </c>
      <c r="U148" s="9">
        <v>0.9166666666666666</v>
      </c>
      <c r="V148" s="4" t="s">
        <v>49</v>
      </c>
      <c r="W148" s="5">
        <v>1.0</v>
      </c>
      <c r="X148" s="5" t="b">
        <v>1</v>
      </c>
      <c r="Y148" s="5" t="s">
        <v>189</v>
      </c>
      <c r="Z148" s="5" t="b">
        <v>0</v>
      </c>
      <c r="AA148" s="10"/>
      <c r="AB148" s="4">
        <v>1.0</v>
      </c>
      <c r="AC148" s="11" t="s">
        <v>910</v>
      </c>
      <c r="AD148" s="5">
        <v>0.0</v>
      </c>
      <c r="AE148" s="5">
        <v>1.0</v>
      </c>
      <c r="AF148" s="8">
        <v>46170.0</v>
      </c>
      <c r="AG148" s="9">
        <v>0.375</v>
      </c>
      <c r="AH148" s="9">
        <v>0.9166666666666666</v>
      </c>
      <c r="AI148" s="4" t="s">
        <v>49</v>
      </c>
      <c r="AJ148" s="16"/>
      <c r="AK148" s="17"/>
      <c r="AL148" s="17"/>
      <c r="AM148" s="17"/>
      <c r="AN148" s="17"/>
      <c r="AO148" s="17"/>
      <c r="AP148" s="17"/>
      <c r="AQ148" s="17"/>
    </row>
    <row r="149">
      <c r="A149" s="4" t="s">
        <v>911</v>
      </c>
      <c r="B149" s="5">
        <v>1.1398423E7</v>
      </c>
      <c r="C149" s="5" t="s">
        <v>37</v>
      </c>
      <c r="D149" s="4" t="s">
        <v>912</v>
      </c>
      <c r="E149" s="5" t="s">
        <v>39</v>
      </c>
      <c r="F149" s="4" t="s">
        <v>71</v>
      </c>
      <c r="G149" s="6">
        <v>6.28125E17</v>
      </c>
      <c r="H149" s="4" t="s">
        <v>72</v>
      </c>
      <c r="I149" s="5" t="s">
        <v>42</v>
      </c>
      <c r="J149" s="5" t="s">
        <v>43</v>
      </c>
      <c r="K149" s="5">
        <v>8.7733785699E10</v>
      </c>
      <c r="L149" s="4" t="s">
        <v>44</v>
      </c>
      <c r="M149" s="5" t="s">
        <v>42</v>
      </c>
      <c r="N149" s="4" t="s">
        <v>45</v>
      </c>
      <c r="O149" s="4" t="s">
        <v>46</v>
      </c>
      <c r="P149" s="4" t="s">
        <v>187</v>
      </c>
      <c r="Q149" s="4">
        <v>16451.0</v>
      </c>
      <c r="R149" s="4" t="s">
        <v>913</v>
      </c>
      <c r="S149" s="8">
        <v>46170.0</v>
      </c>
      <c r="T149" s="9">
        <v>0.375</v>
      </c>
      <c r="U149" s="9">
        <v>0.9166666666666666</v>
      </c>
      <c r="V149" s="4" t="s">
        <v>49</v>
      </c>
      <c r="W149" s="5">
        <v>1.0</v>
      </c>
      <c r="X149" s="5" t="b">
        <v>1</v>
      </c>
      <c r="Y149" s="5" t="s">
        <v>189</v>
      </c>
      <c r="Z149" s="5" t="b">
        <v>0</v>
      </c>
      <c r="AA149" s="10"/>
      <c r="AB149" s="4">
        <v>1.0</v>
      </c>
      <c r="AC149" s="11" t="s">
        <v>914</v>
      </c>
      <c r="AD149" s="5">
        <v>0.0</v>
      </c>
      <c r="AE149" s="5">
        <v>1.0</v>
      </c>
      <c r="AF149" s="8">
        <v>46170.0</v>
      </c>
      <c r="AG149" s="9">
        <v>0.375</v>
      </c>
      <c r="AH149" s="9">
        <v>0.9166666666666666</v>
      </c>
      <c r="AI149" s="4" t="s">
        <v>49</v>
      </c>
      <c r="AJ149" s="5" t="s">
        <v>52</v>
      </c>
      <c r="AK149" s="12"/>
      <c r="AL149" s="12"/>
      <c r="AM149" s="12"/>
      <c r="AN149" s="12"/>
      <c r="AO149" s="12"/>
      <c r="AP149" s="12"/>
      <c r="AQ149" s="12"/>
    </row>
    <row r="150">
      <c r="A150" s="4" t="s">
        <v>915</v>
      </c>
      <c r="B150" s="5">
        <v>1.1398423E7</v>
      </c>
      <c r="C150" s="5" t="s">
        <v>37</v>
      </c>
      <c r="D150" s="4" t="s">
        <v>916</v>
      </c>
      <c r="E150" s="5" t="s">
        <v>39</v>
      </c>
      <c r="F150" s="4" t="s">
        <v>917</v>
      </c>
      <c r="G150" s="6">
        <v>6.2822E16</v>
      </c>
      <c r="H150" s="4" t="s">
        <v>918</v>
      </c>
      <c r="I150" s="5" t="s">
        <v>42</v>
      </c>
      <c r="J150" s="5" t="s">
        <v>43</v>
      </c>
      <c r="K150" s="5">
        <v>8.7733785699E10</v>
      </c>
      <c r="L150" s="4" t="s">
        <v>44</v>
      </c>
      <c r="M150" s="5" t="s">
        <v>42</v>
      </c>
      <c r="N150" s="4" t="s">
        <v>45</v>
      </c>
      <c r="O150" s="4" t="s">
        <v>46</v>
      </c>
      <c r="P150" s="4" t="s">
        <v>187</v>
      </c>
      <c r="Q150" s="4">
        <v>16451.0</v>
      </c>
      <c r="R150" s="4" t="s">
        <v>919</v>
      </c>
      <c r="S150" s="8">
        <v>46170.0</v>
      </c>
      <c r="T150" s="9">
        <v>0.375</v>
      </c>
      <c r="U150" s="9">
        <v>0.9166666666666666</v>
      </c>
      <c r="V150" s="4" t="s">
        <v>49</v>
      </c>
      <c r="W150" s="5">
        <v>1.0</v>
      </c>
      <c r="X150" s="5" t="b">
        <v>1</v>
      </c>
      <c r="Y150" s="5" t="s">
        <v>189</v>
      </c>
      <c r="Z150" s="5" t="b">
        <v>0</v>
      </c>
      <c r="AA150" s="10"/>
      <c r="AB150" s="4">
        <v>1.0</v>
      </c>
      <c r="AC150" s="11" t="s">
        <v>920</v>
      </c>
      <c r="AD150" s="5">
        <v>0.0</v>
      </c>
      <c r="AE150" s="5">
        <v>1.0</v>
      </c>
      <c r="AF150" s="8">
        <v>46170.0</v>
      </c>
      <c r="AG150" s="9">
        <v>0.375</v>
      </c>
      <c r="AH150" s="9">
        <v>0.9166666666666666</v>
      </c>
      <c r="AI150" s="4" t="s">
        <v>49</v>
      </c>
      <c r="AJ150" s="5" t="s">
        <v>52</v>
      </c>
      <c r="AK150" s="12"/>
      <c r="AL150" s="12"/>
      <c r="AM150" s="12"/>
      <c r="AN150" s="12"/>
      <c r="AO150" s="12"/>
      <c r="AP150" s="12"/>
      <c r="AQ150" s="12"/>
    </row>
    <row r="151">
      <c r="A151" s="4" t="s">
        <v>921</v>
      </c>
      <c r="B151" s="5">
        <v>1.1398423E7</v>
      </c>
      <c r="C151" s="5" t="s">
        <v>37</v>
      </c>
      <c r="D151" s="4" t="s">
        <v>922</v>
      </c>
      <c r="E151" s="5" t="s">
        <v>39</v>
      </c>
      <c r="F151" s="4" t="s">
        <v>923</v>
      </c>
      <c r="G151" s="6">
        <v>6.28584E17</v>
      </c>
      <c r="H151" s="4" t="s">
        <v>924</v>
      </c>
      <c r="I151" s="5" t="s">
        <v>42</v>
      </c>
      <c r="J151" s="5" t="s">
        <v>43</v>
      </c>
      <c r="K151" s="5">
        <v>8.7733785699E10</v>
      </c>
      <c r="L151" s="4" t="s">
        <v>44</v>
      </c>
      <c r="M151" s="5" t="s">
        <v>42</v>
      </c>
      <c r="N151" s="4" t="s">
        <v>45</v>
      </c>
      <c r="O151" s="4" t="s">
        <v>46</v>
      </c>
      <c r="P151" s="4" t="s">
        <v>187</v>
      </c>
      <c r="Q151" s="4">
        <v>16451.0</v>
      </c>
      <c r="R151" s="4" t="s">
        <v>925</v>
      </c>
      <c r="S151" s="8">
        <v>46170.0</v>
      </c>
      <c r="T151" s="9">
        <v>0.375</v>
      </c>
      <c r="U151" s="9">
        <v>0.9166666666666666</v>
      </c>
      <c r="V151" s="4" t="s">
        <v>49</v>
      </c>
      <c r="W151" s="5">
        <v>1.0</v>
      </c>
      <c r="X151" s="5" t="b">
        <v>1</v>
      </c>
      <c r="Y151" s="5" t="s">
        <v>189</v>
      </c>
      <c r="Z151" s="5" t="b">
        <v>0</v>
      </c>
      <c r="AA151" s="10"/>
      <c r="AB151" s="4">
        <v>1.0</v>
      </c>
      <c r="AC151" s="11" t="s">
        <v>926</v>
      </c>
      <c r="AD151" s="5">
        <v>0.0</v>
      </c>
      <c r="AE151" s="5">
        <v>1.0</v>
      </c>
      <c r="AF151" s="8">
        <v>46170.0</v>
      </c>
      <c r="AG151" s="9">
        <v>0.375</v>
      </c>
      <c r="AH151" s="9">
        <v>0.9166666666666666</v>
      </c>
      <c r="AI151" s="4" t="s">
        <v>49</v>
      </c>
      <c r="AJ151" s="5" t="s">
        <v>52</v>
      </c>
      <c r="AK151" s="12"/>
      <c r="AL151" s="12"/>
      <c r="AM151" s="12"/>
      <c r="AN151" s="12"/>
      <c r="AO151" s="12"/>
      <c r="AP151" s="12"/>
      <c r="AQ151" s="12"/>
    </row>
    <row r="152">
      <c r="A152" s="4" t="s">
        <v>927</v>
      </c>
      <c r="B152" s="5">
        <v>1.1398423E7</v>
      </c>
      <c r="C152" s="5" t="s">
        <v>37</v>
      </c>
      <c r="D152" s="4" t="s">
        <v>928</v>
      </c>
      <c r="E152" s="5" t="s">
        <v>39</v>
      </c>
      <c r="F152" s="4" t="s">
        <v>660</v>
      </c>
      <c r="G152" s="4">
        <v>8.7877209076E10</v>
      </c>
      <c r="H152" s="4" t="s">
        <v>661</v>
      </c>
      <c r="I152" s="5" t="s">
        <v>42</v>
      </c>
      <c r="J152" s="5" t="s">
        <v>43</v>
      </c>
      <c r="K152" s="5">
        <v>8.7733785699E10</v>
      </c>
      <c r="L152" s="4" t="s">
        <v>44</v>
      </c>
      <c r="M152" s="5" t="s">
        <v>42</v>
      </c>
      <c r="N152" s="4" t="s">
        <v>45</v>
      </c>
      <c r="O152" s="4" t="s">
        <v>46</v>
      </c>
      <c r="P152" s="4" t="s">
        <v>187</v>
      </c>
      <c r="Q152" s="4">
        <v>16451.0</v>
      </c>
      <c r="R152" s="4" t="s">
        <v>929</v>
      </c>
      <c r="S152" s="8">
        <v>46170.0</v>
      </c>
      <c r="T152" s="9">
        <v>0.375</v>
      </c>
      <c r="U152" s="9">
        <v>0.9166666666666666</v>
      </c>
      <c r="V152" s="4" t="s">
        <v>49</v>
      </c>
      <c r="W152" s="5">
        <v>1.0</v>
      </c>
      <c r="X152" s="5" t="b">
        <v>1</v>
      </c>
      <c r="Y152" s="5" t="s">
        <v>189</v>
      </c>
      <c r="Z152" s="5" t="b">
        <v>0</v>
      </c>
      <c r="AA152" s="10"/>
      <c r="AB152" s="4">
        <v>1.0</v>
      </c>
      <c r="AC152" s="11" t="s">
        <v>930</v>
      </c>
      <c r="AD152" s="5">
        <v>0.0</v>
      </c>
      <c r="AE152" s="5">
        <v>1.0</v>
      </c>
      <c r="AF152" s="8">
        <v>46170.0</v>
      </c>
      <c r="AG152" s="9">
        <v>0.375</v>
      </c>
      <c r="AH152" s="9">
        <v>0.9166666666666666</v>
      </c>
      <c r="AI152" s="4" t="s">
        <v>49</v>
      </c>
      <c r="AJ152" s="5" t="s">
        <v>52</v>
      </c>
      <c r="AK152" s="12"/>
      <c r="AL152" s="12"/>
      <c r="AM152" s="12"/>
      <c r="AN152" s="12"/>
      <c r="AO152" s="12"/>
      <c r="AP152" s="12"/>
      <c r="AQ152" s="12"/>
    </row>
    <row r="153">
      <c r="A153" s="4" t="s">
        <v>931</v>
      </c>
      <c r="B153" s="5">
        <v>1.1398423E7</v>
      </c>
      <c r="C153" s="5" t="s">
        <v>37</v>
      </c>
      <c r="D153" s="4" t="s">
        <v>932</v>
      </c>
      <c r="E153" s="5" t="s">
        <v>39</v>
      </c>
      <c r="F153" s="4" t="s">
        <v>933</v>
      </c>
      <c r="G153" s="4">
        <v>8.5294437759E10</v>
      </c>
      <c r="H153" s="4" t="s">
        <v>934</v>
      </c>
      <c r="I153" s="5" t="s">
        <v>42</v>
      </c>
      <c r="J153" s="5" t="s">
        <v>43</v>
      </c>
      <c r="K153" s="5">
        <v>8.7733785699E10</v>
      </c>
      <c r="L153" s="4" t="s">
        <v>44</v>
      </c>
      <c r="M153" s="5" t="s">
        <v>42</v>
      </c>
      <c r="N153" s="4" t="s">
        <v>45</v>
      </c>
      <c r="O153" s="4" t="s">
        <v>46</v>
      </c>
      <c r="P153" s="4" t="s">
        <v>187</v>
      </c>
      <c r="Q153" s="4">
        <v>16451.0</v>
      </c>
      <c r="R153" s="4" t="s">
        <v>935</v>
      </c>
      <c r="S153" s="8">
        <v>46170.0</v>
      </c>
      <c r="T153" s="9">
        <v>0.375</v>
      </c>
      <c r="U153" s="9">
        <v>0.9166666666666666</v>
      </c>
      <c r="V153" s="4" t="s">
        <v>49</v>
      </c>
      <c r="W153" s="5">
        <v>1.0</v>
      </c>
      <c r="X153" s="5" t="b">
        <v>1</v>
      </c>
      <c r="Y153" s="5" t="s">
        <v>189</v>
      </c>
      <c r="Z153" s="5" t="b">
        <v>0</v>
      </c>
      <c r="AA153" s="10"/>
      <c r="AB153" s="4">
        <v>1.0</v>
      </c>
      <c r="AC153" s="11" t="s">
        <v>936</v>
      </c>
      <c r="AD153" s="5">
        <v>0.0</v>
      </c>
      <c r="AE153" s="5">
        <v>1.0</v>
      </c>
      <c r="AF153" s="8">
        <v>46170.0</v>
      </c>
      <c r="AG153" s="9">
        <v>0.375</v>
      </c>
      <c r="AH153" s="9">
        <v>0.9166666666666666</v>
      </c>
      <c r="AI153" s="4" t="s">
        <v>49</v>
      </c>
      <c r="AJ153" s="5" t="s">
        <v>52</v>
      </c>
      <c r="AK153" s="12"/>
      <c r="AL153" s="12"/>
      <c r="AM153" s="12"/>
      <c r="AN153" s="12"/>
      <c r="AO153" s="12"/>
      <c r="AP153" s="12"/>
      <c r="AQ153" s="12"/>
    </row>
    <row r="154">
      <c r="A154" s="4" t="s">
        <v>937</v>
      </c>
      <c r="B154" s="5">
        <v>1.1398423E7</v>
      </c>
      <c r="C154" s="5" t="s">
        <v>37</v>
      </c>
      <c r="D154" s="4" t="s">
        <v>938</v>
      </c>
      <c r="E154" s="5" t="s">
        <v>39</v>
      </c>
      <c r="F154" s="4" t="s">
        <v>939</v>
      </c>
      <c r="G154" s="6">
        <v>6.28589E17</v>
      </c>
      <c r="H154" s="4" t="s">
        <v>940</v>
      </c>
      <c r="I154" s="5" t="s">
        <v>42</v>
      </c>
      <c r="J154" s="5" t="s">
        <v>43</v>
      </c>
      <c r="K154" s="5">
        <v>8.7733785699E10</v>
      </c>
      <c r="L154" s="4" t="s">
        <v>44</v>
      </c>
      <c r="M154" s="5" t="s">
        <v>42</v>
      </c>
      <c r="N154" s="4" t="s">
        <v>45</v>
      </c>
      <c r="O154" s="4" t="s">
        <v>46</v>
      </c>
      <c r="P154" s="4" t="s">
        <v>187</v>
      </c>
      <c r="Q154" s="4">
        <v>16451.0</v>
      </c>
      <c r="R154" s="4" t="s">
        <v>941</v>
      </c>
      <c r="S154" s="8">
        <v>46170.0</v>
      </c>
      <c r="T154" s="9">
        <v>0.375</v>
      </c>
      <c r="U154" s="9">
        <v>0.9166666666666666</v>
      </c>
      <c r="V154" s="4" t="s">
        <v>49</v>
      </c>
      <c r="W154" s="5">
        <v>1.0</v>
      </c>
      <c r="X154" s="5" t="b">
        <v>1</v>
      </c>
      <c r="Y154" s="5" t="s">
        <v>189</v>
      </c>
      <c r="Z154" s="5" t="b">
        <v>0</v>
      </c>
      <c r="AA154" s="10"/>
      <c r="AB154" s="4">
        <v>1.0</v>
      </c>
      <c r="AC154" s="11" t="s">
        <v>942</v>
      </c>
      <c r="AD154" s="5">
        <v>0.0</v>
      </c>
      <c r="AE154" s="5">
        <v>1.0</v>
      </c>
      <c r="AF154" s="8">
        <v>46170.0</v>
      </c>
      <c r="AG154" s="9">
        <v>0.375</v>
      </c>
      <c r="AH154" s="9">
        <v>0.9166666666666666</v>
      </c>
      <c r="AI154" s="4" t="s">
        <v>49</v>
      </c>
      <c r="AJ154" s="5" t="s">
        <v>52</v>
      </c>
      <c r="AK154" s="12"/>
      <c r="AL154" s="12"/>
      <c r="AM154" s="12"/>
      <c r="AN154" s="12"/>
      <c r="AO154" s="12"/>
      <c r="AP154" s="12"/>
      <c r="AQ154" s="12"/>
    </row>
    <row r="155">
      <c r="A155" s="4" t="s">
        <v>943</v>
      </c>
      <c r="B155" s="5">
        <v>1.1398423E7</v>
      </c>
      <c r="C155" s="5" t="s">
        <v>37</v>
      </c>
      <c r="D155" s="4" t="s">
        <v>944</v>
      </c>
      <c r="E155" s="5" t="s">
        <v>39</v>
      </c>
      <c r="F155" s="4" t="s">
        <v>945</v>
      </c>
      <c r="G155" s="4">
        <v>6.281286536306E12</v>
      </c>
      <c r="H155" s="4" t="s">
        <v>946</v>
      </c>
      <c r="I155" s="5" t="s">
        <v>42</v>
      </c>
      <c r="J155" s="5" t="s">
        <v>43</v>
      </c>
      <c r="K155" s="5">
        <v>8.7733785699E10</v>
      </c>
      <c r="L155" s="4" t="s">
        <v>44</v>
      </c>
      <c r="M155" s="5" t="s">
        <v>42</v>
      </c>
      <c r="N155" s="4" t="s">
        <v>45</v>
      </c>
      <c r="O155" s="4" t="s">
        <v>46</v>
      </c>
      <c r="P155" s="4" t="s">
        <v>187</v>
      </c>
      <c r="Q155" s="4">
        <v>16451.0</v>
      </c>
      <c r="R155" s="4" t="s">
        <v>947</v>
      </c>
      <c r="S155" s="8">
        <v>46170.0</v>
      </c>
      <c r="T155" s="9">
        <v>0.375</v>
      </c>
      <c r="U155" s="9">
        <v>0.9166666666666666</v>
      </c>
      <c r="V155" s="4" t="s">
        <v>49</v>
      </c>
      <c r="W155" s="5">
        <v>1.0</v>
      </c>
      <c r="X155" s="5" t="b">
        <v>1</v>
      </c>
      <c r="Y155" s="5" t="s">
        <v>189</v>
      </c>
      <c r="Z155" s="5" t="b">
        <v>0</v>
      </c>
      <c r="AA155" s="10"/>
      <c r="AB155" s="4">
        <v>1.0</v>
      </c>
      <c r="AC155" s="11" t="s">
        <v>948</v>
      </c>
      <c r="AD155" s="5">
        <v>0.0</v>
      </c>
      <c r="AE155" s="5">
        <v>1.0</v>
      </c>
      <c r="AF155" s="8">
        <v>46170.0</v>
      </c>
      <c r="AG155" s="9">
        <v>0.375</v>
      </c>
      <c r="AH155" s="9">
        <v>0.9166666666666666</v>
      </c>
      <c r="AI155" s="4" t="s">
        <v>49</v>
      </c>
      <c r="AJ155" s="5" t="s">
        <v>52</v>
      </c>
      <c r="AK155" s="12"/>
      <c r="AL155" s="12"/>
      <c r="AM155" s="12"/>
      <c r="AN155" s="12"/>
      <c r="AO155" s="12"/>
      <c r="AP155" s="12"/>
      <c r="AQ155" s="12"/>
    </row>
    <row r="156">
      <c r="A156" s="4" t="s">
        <v>949</v>
      </c>
      <c r="B156" s="5">
        <v>1.1398423E7</v>
      </c>
      <c r="C156" s="5" t="s">
        <v>37</v>
      </c>
      <c r="D156" s="4" t="s">
        <v>950</v>
      </c>
      <c r="E156" s="5" t="s">
        <v>39</v>
      </c>
      <c r="F156" s="4" t="s">
        <v>462</v>
      </c>
      <c r="G156" s="6">
        <v>6.28122E17</v>
      </c>
      <c r="H156" s="4" t="s">
        <v>463</v>
      </c>
      <c r="I156" s="5" t="s">
        <v>42</v>
      </c>
      <c r="J156" s="5" t="s">
        <v>43</v>
      </c>
      <c r="K156" s="5">
        <v>8.7733785699E10</v>
      </c>
      <c r="L156" s="4" t="s">
        <v>44</v>
      </c>
      <c r="M156" s="5" t="s">
        <v>42</v>
      </c>
      <c r="N156" s="4" t="s">
        <v>45</v>
      </c>
      <c r="O156" s="4" t="s">
        <v>46</v>
      </c>
      <c r="P156" s="4" t="s">
        <v>187</v>
      </c>
      <c r="Q156" s="4">
        <v>16451.0</v>
      </c>
      <c r="R156" s="4" t="s">
        <v>951</v>
      </c>
      <c r="S156" s="8">
        <v>46170.0</v>
      </c>
      <c r="T156" s="9">
        <v>0.375</v>
      </c>
      <c r="U156" s="9">
        <v>0.9166666666666666</v>
      </c>
      <c r="V156" s="4" t="s">
        <v>49</v>
      </c>
      <c r="W156" s="5">
        <v>1.0</v>
      </c>
      <c r="X156" s="5" t="b">
        <v>1</v>
      </c>
      <c r="Y156" s="5" t="s">
        <v>189</v>
      </c>
      <c r="Z156" s="5" t="b">
        <v>0</v>
      </c>
      <c r="AA156" s="10"/>
      <c r="AB156" s="4">
        <v>1.0</v>
      </c>
      <c r="AC156" s="11" t="s">
        <v>952</v>
      </c>
      <c r="AD156" s="5">
        <v>0.0</v>
      </c>
      <c r="AE156" s="5">
        <v>1.0</v>
      </c>
      <c r="AF156" s="8">
        <v>46170.0</v>
      </c>
      <c r="AG156" s="9">
        <v>0.375</v>
      </c>
      <c r="AH156" s="9">
        <v>0.9166666666666666</v>
      </c>
      <c r="AI156" s="4" t="s">
        <v>49</v>
      </c>
      <c r="AJ156" s="5" t="s">
        <v>52</v>
      </c>
      <c r="AK156" s="12"/>
      <c r="AL156" s="12"/>
      <c r="AM156" s="12"/>
      <c r="AN156" s="12"/>
      <c r="AO156" s="12"/>
      <c r="AP156" s="12"/>
      <c r="AQ156" s="12"/>
    </row>
    <row r="157">
      <c r="A157" s="4" t="s">
        <v>953</v>
      </c>
      <c r="B157" s="5">
        <v>1.1398423E7</v>
      </c>
      <c r="C157" s="5" t="s">
        <v>37</v>
      </c>
      <c r="D157" s="4" t="s">
        <v>954</v>
      </c>
      <c r="E157" s="5" t="s">
        <v>39</v>
      </c>
      <c r="F157" s="4" t="s">
        <v>955</v>
      </c>
      <c r="G157" s="6">
        <v>6.28786E17</v>
      </c>
      <c r="H157" s="4" t="s">
        <v>956</v>
      </c>
      <c r="I157" s="5" t="s">
        <v>42</v>
      </c>
      <c r="J157" s="5" t="s">
        <v>43</v>
      </c>
      <c r="K157" s="5">
        <v>8.7733785699E10</v>
      </c>
      <c r="L157" s="4" t="s">
        <v>44</v>
      </c>
      <c r="M157" s="5" t="s">
        <v>42</v>
      </c>
      <c r="N157" s="4" t="s">
        <v>45</v>
      </c>
      <c r="O157" s="4" t="s">
        <v>46</v>
      </c>
      <c r="P157" s="4" t="s">
        <v>187</v>
      </c>
      <c r="Q157" s="4">
        <v>16451.0</v>
      </c>
      <c r="R157" s="4" t="s">
        <v>957</v>
      </c>
      <c r="S157" s="8">
        <v>46170.0</v>
      </c>
      <c r="T157" s="9">
        <v>0.375</v>
      </c>
      <c r="U157" s="9">
        <v>0.9166666666666666</v>
      </c>
      <c r="V157" s="4" t="s">
        <v>49</v>
      </c>
      <c r="W157" s="5">
        <v>1.0</v>
      </c>
      <c r="X157" s="5" t="b">
        <v>1</v>
      </c>
      <c r="Y157" s="5" t="s">
        <v>189</v>
      </c>
      <c r="Z157" s="5" t="b">
        <v>0</v>
      </c>
      <c r="AA157" s="10"/>
      <c r="AB157" s="4">
        <v>1.0</v>
      </c>
      <c r="AC157" s="11" t="s">
        <v>958</v>
      </c>
      <c r="AD157" s="5">
        <v>0.0</v>
      </c>
      <c r="AE157" s="5">
        <v>1.0</v>
      </c>
      <c r="AF157" s="8">
        <v>46170.0</v>
      </c>
      <c r="AG157" s="9">
        <v>0.375</v>
      </c>
      <c r="AH157" s="9">
        <v>0.9166666666666666</v>
      </c>
      <c r="AI157" s="4" t="s">
        <v>49</v>
      </c>
      <c r="AJ157" s="5" t="s">
        <v>52</v>
      </c>
      <c r="AK157" s="12"/>
      <c r="AL157" s="12"/>
      <c r="AM157" s="12"/>
      <c r="AN157" s="12"/>
      <c r="AO157" s="12"/>
      <c r="AP157" s="12"/>
      <c r="AQ157" s="12"/>
    </row>
    <row r="158">
      <c r="A158" s="4" t="s">
        <v>959</v>
      </c>
      <c r="B158" s="5">
        <v>1.1398423E7</v>
      </c>
      <c r="C158" s="5" t="s">
        <v>37</v>
      </c>
      <c r="D158" s="4" t="s">
        <v>960</v>
      </c>
      <c r="E158" s="5" t="s">
        <v>39</v>
      </c>
      <c r="F158" s="4" t="s">
        <v>193</v>
      </c>
      <c r="G158" s="4">
        <v>8.5374101944E10</v>
      </c>
      <c r="H158" s="4" t="s">
        <v>194</v>
      </c>
      <c r="I158" s="5" t="s">
        <v>42</v>
      </c>
      <c r="J158" s="5" t="s">
        <v>43</v>
      </c>
      <c r="K158" s="5">
        <v>8.7733785699E10</v>
      </c>
      <c r="L158" s="4" t="s">
        <v>44</v>
      </c>
      <c r="M158" s="5" t="s">
        <v>42</v>
      </c>
      <c r="N158" s="4" t="s">
        <v>45</v>
      </c>
      <c r="O158" s="4" t="s">
        <v>46</v>
      </c>
      <c r="P158" s="4" t="s">
        <v>187</v>
      </c>
      <c r="Q158" s="4">
        <v>16451.0</v>
      </c>
      <c r="R158" s="4" t="s">
        <v>961</v>
      </c>
      <c r="S158" s="8">
        <v>46170.0</v>
      </c>
      <c r="T158" s="9">
        <v>0.375</v>
      </c>
      <c r="U158" s="9">
        <v>0.9166666666666666</v>
      </c>
      <c r="V158" s="4" t="s">
        <v>49</v>
      </c>
      <c r="W158" s="5">
        <v>1.0</v>
      </c>
      <c r="X158" s="5" t="b">
        <v>1</v>
      </c>
      <c r="Y158" s="5" t="s">
        <v>189</v>
      </c>
      <c r="Z158" s="5" t="b">
        <v>0</v>
      </c>
      <c r="AA158" s="10"/>
      <c r="AB158" s="4">
        <v>1.0</v>
      </c>
      <c r="AC158" s="11" t="s">
        <v>962</v>
      </c>
      <c r="AD158" s="5">
        <v>0.0</v>
      </c>
      <c r="AE158" s="5">
        <v>1.0</v>
      </c>
      <c r="AF158" s="8">
        <v>46170.0</v>
      </c>
      <c r="AG158" s="9">
        <v>0.375</v>
      </c>
      <c r="AH158" s="9">
        <v>0.9166666666666666</v>
      </c>
      <c r="AI158" s="4" t="s">
        <v>49</v>
      </c>
      <c r="AJ158" s="5" t="s">
        <v>52</v>
      </c>
      <c r="AK158" s="12"/>
      <c r="AL158" s="12"/>
      <c r="AM158" s="12"/>
      <c r="AN158" s="12"/>
      <c r="AO158" s="12"/>
      <c r="AP158" s="12"/>
      <c r="AQ158" s="12"/>
    </row>
    <row r="159">
      <c r="A159" s="4" t="s">
        <v>963</v>
      </c>
      <c r="B159" s="5">
        <v>1.1398423E7</v>
      </c>
      <c r="C159" s="5" t="s">
        <v>37</v>
      </c>
      <c r="D159" s="4" t="s">
        <v>964</v>
      </c>
      <c r="E159" s="5" t="s">
        <v>39</v>
      </c>
      <c r="F159" s="4" t="s">
        <v>294</v>
      </c>
      <c r="G159" s="4">
        <v>8.5283705505E10</v>
      </c>
      <c r="H159" s="4" t="s">
        <v>295</v>
      </c>
      <c r="I159" s="5" t="s">
        <v>42</v>
      </c>
      <c r="J159" s="5" t="s">
        <v>43</v>
      </c>
      <c r="K159" s="5">
        <v>8.7733785699E10</v>
      </c>
      <c r="L159" s="4" t="s">
        <v>44</v>
      </c>
      <c r="M159" s="5" t="s">
        <v>42</v>
      </c>
      <c r="N159" s="4" t="s">
        <v>45</v>
      </c>
      <c r="O159" s="4" t="s">
        <v>46</v>
      </c>
      <c r="P159" s="4" t="s">
        <v>187</v>
      </c>
      <c r="Q159" s="4">
        <v>16451.0</v>
      </c>
      <c r="R159" s="4" t="s">
        <v>965</v>
      </c>
      <c r="S159" s="8">
        <v>46170.0</v>
      </c>
      <c r="T159" s="9">
        <v>0.375</v>
      </c>
      <c r="U159" s="9">
        <v>0.9166666666666666</v>
      </c>
      <c r="V159" s="4" t="s">
        <v>49</v>
      </c>
      <c r="W159" s="5">
        <v>1.0</v>
      </c>
      <c r="X159" s="5" t="b">
        <v>1</v>
      </c>
      <c r="Y159" s="5" t="s">
        <v>189</v>
      </c>
      <c r="Z159" s="5" t="b">
        <v>0</v>
      </c>
      <c r="AA159" s="10"/>
      <c r="AB159" s="4">
        <v>1.0</v>
      </c>
      <c r="AC159" s="11" t="s">
        <v>966</v>
      </c>
      <c r="AD159" s="5">
        <v>0.0</v>
      </c>
      <c r="AE159" s="5">
        <v>1.0</v>
      </c>
      <c r="AF159" s="8">
        <v>46170.0</v>
      </c>
      <c r="AG159" s="9">
        <v>0.375</v>
      </c>
      <c r="AH159" s="9">
        <v>0.9166666666666666</v>
      </c>
      <c r="AI159" s="4" t="s">
        <v>49</v>
      </c>
      <c r="AJ159" s="5" t="s">
        <v>52</v>
      </c>
      <c r="AK159" s="12"/>
      <c r="AL159" s="12"/>
      <c r="AM159" s="12"/>
      <c r="AN159" s="12"/>
      <c r="AO159" s="12"/>
      <c r="AP159" s="12"/>
      <c r="AQ159" s="12"/>
    </row>
    <row r="160">
      <c r="A160" s="4" t="s">
        <v>967</v>
      </c>
      <c r="B160" s="5">
        <v>1.1398423E7</v>
      </c>
      <c r="C160" s="5" t="s">
        <v>37</v>
      </c>
      <c r="D160" s="4" t="s">
        <v>968</v>
      </c>
      <c r="E160" s="5" t="s">
        <v>39</v>
      </c>
      <c r="F160" s="4" t="s">
        <v>969</v>
      </c>
      <c r="G160" s="6">
        <v>6.28211E17</v>
      </c>
      <c r="H160" s="4" t="s">
        <v>970</v>
      </c>
      <c r="I160" s="5" t="s">
        <v>42</v>
      </c>
      <c r="J160" s="5" t="s">
        <v>43</v>
      </c>
      <c r="K160" s="5">
        <v>8.7733785699E10</v>
      </c>
      <c r="L160" s="4" t="s">
        <v>44</v>
      </c>
      <c r="M160" s="5" t="s">
        <v>42</v>
      </c>
      <c r="N160" s="4" t="s">
        <v>45</v>
      </c>
      <c r="O160" s="4" t="s">
        <v>46</v>
      </c>
      <c r="P160" s="4" t="s">
        <v>187</v>
      </c>
      <c r="Q160" s="4">
        <v>16451.0</v>
      </c>
      <c r="R160" s="4" t="s">
        <v>971</v>
      </c>
      <c r="S160" s="8">
        <v>46170.0</v>
      </c>
      <c r="T160" s="9">
        <v>0.375</v>
      </c>
      <c r="U160" s="9">
        <v>0.9166666666666666</v>
      </c>
      <c r="V160" s="4" t="s">
        <v>49</v>
      </c>
      <c r="W160" s="5">
        <v>1.0</v>
      </c>
      <c r="X160" s="5" t="b">
        <v>1</v>
      </c>
      <c r="Y160" s="5" t="s">
        <v>189</v>
      </c>
      <c r="Z160" s="5" t="b">
        <v>0</v>
      </c>
      <c r="AA160" s="10"/>
      <c r="AB160" s="4">
        <v>1.0</v>
      </c>
      <c r="AC160" s="11" t="s">
        <v>972</v>
      </c>
      <c r="AD160" s="5">
        <v>0.0</v>
      </c>
      <c r="AE160" s="5">
        <v>1.0</v>
      </c>
      <c r="AF160" s="8">
        <v>46170.0</v>
      </c>
      <c r="AG160" s="9">
        <v>0.375</v>
      </c>
      <c r="AH160" s="9">
        <v>0.9166666666666666</v>
      </c>
      <c r="AI160" s="4" t="s">
        <v>49</v>
      </c>
      <c r="AJ160" s="5" t="s">
        <v>52</v>
      </c>
      <c r="AK160" s="12"/>
      <c r="AL160" s="12"/>
      <c r="AM160" s="12"/>
      <c r="AN160" s="12"/>
      <c r="AO160" s="12"/>
      <c r="AP160" s="12"/>
      <c r="AQ160" s="12"/>
    </row>
    <row r="161">
      <c r="A161" s="4" t="s">
        <v>973</v>
      </c>
      <c r="B161" s="5">
        <v>1.1398423E7</v>
      </c>
      <c r="C161" s="5" t="s">
        <v>37</v>
      </c>
      <c r="D161" s="4" t="s">
        <v>974</v>
      </c>
      <c r="E161" s="5" t="s">
        <v>39</v>
      </c>
      <c r="F161" s="4" t="s">
        <v>252</v>
      </c>
      <c r="G161" s="6">
        <v>6.28121E17</v>
      </c>
      <c r="H161" s="4" t="s">
        <v>253</v>
      </c>
      <c r="I161" s="5" t="s">
        <v>42</v>
      </c>
      <c r="J161" s="5" t="s">
        <v>43</v>
      </c>
      <c r="K161" s="5">
        <v>8.7733785699E10</v>
      </c>
      <c r="L161" s="4" t="s">
        <v>44</v>
      </c>
      <c r="M161" s="5" t="s">
        <v>42</v>
      </c>
      <c r="N161" s="4" t="s">
        <v>45</v>
      </c>
      <c r="O161" s="4" t="s">
        <v>46</v>
      </c>
      <c r="P161" s="4" t="s">
        <v>187</v>
      </c>
      <c r="Q161" s="4">
        <v>16451.0</v>
      </c>
      <c r="R161" s="4" t="s">
        <v>975</v>
      </c>
      <c r="S161" s="8">
        <v>46170.0</v>
      </c>
      <c r="T161" s="9">
        <v>0.375</v>
      </c>
      <c r="U161" s="9">
        <v>0.9166666666666666</v>
      </c>
      <c r="V161" s="4" t="s">
        <v>49</v>
      </c>
      <c r="W161" s="5">
        <v>1.0</v>
      </c>
      <c r="X161" s="5" t="b">
        <v>1</v>
      </c>
      <c r="Y161" s="5" t="s">
        <v>189</v>
      </c>
      <c r="Z161" s="5" t="b">
        <v>0</v>
      </c>
      <c r="AA161" s="10"/>
      <c r="AB161" s="4">
        <v>1.0</v>
      </c>
      <c r="AC161" s="11" t="s">
        <v>976</v>
      </c>
      <c r="AD161" s="5">
        <v>0.0</v>
      </c>
      <c r="AE161" s="5">
        <v>1.0</v>
      </c>
      <c r="AF161" s="8">
        <v>46170.0</v>
      </c>
      <c r="AG161" s="9">
        <v>0.375</v>
      </c>
      <c r="AH161" s="9">
        <v>0.9166666666666666</v>
      </c>
      <c r="AI161" s="4" t="s">
        <v>49</v>
      </c>
      <c r="AJ161" s="5" t="s">
        <v>52</v>
      </c>
      <c r="AK161" s="12"/>
      <c r="AL161" s="12"/>
      <c r="AM161" s="12"/>
      <c r="AN161" s="12"/>
      <c r="AO161" s="12"/>
      <c r="AP161" s="12"/>
      <c r="AQ161" s="12"/>
    </row>
    <row r="162">
      <c r="A162" s="4" t="s">
        <v>977</v>
      </c>
      <c r="B162" s="5">
        <v>1.1398423E7</v>
      </c>
      <c r="C162" s="5" t="s">
        <v>37</v>
      </c>
      <c r="D162" s="4" t="s">
        <v>978</v>
      </c>
      <c r="E162" s="5" t="s">
        <v>39</v>
      </c>
      <c r="F162" s="4" t="s">
        <v>386</v>
      </c>
      <c r="G162" s="6">
        <v>6.28177E16</v>
      </c>
      <c r="H162" s="4" t="s">
        <v>387</v>
      </c>
      <c r="I162" s="5" t="s">
        <v>42</v>
      </c>
      <c r="J162" s="5" t="s">
        <v>43</v>
      </c>
      <c r="K162" s="5">
        <v>8.7733785699E10</v>
      </c>
      <c r="L162" s="4" t="s">
        <v>44</v>
      </c>
      <c r="M162" s="5" t="s">
        <v>42</v>
      </c>
      <c r="N162" s="4" t="s">
        <v>45</v>
      </c>
      <c r="O162" s="4" t="s">
        <v>46</v>
      </c>
      <c r="P162" s="4" t="s">
        <v>187</v>
      </c>
      <c r="Q162" s="4">
        <v>16451.0</v>
      </c>
      <c r="R162" s="4" t="s">
        <v>979</v>
      </c>
      <c r="S162" s="8">
        <v>46170.0</v>
      </c>
      <c r="T162" s="9">
        <v>0.375</v>
      </c>
      <c r="U162" s="9">
        <v>0.9166666666666666</v>
      </c>
      <c r="V162" s="4" t="s">
        <v>49</v>
      </c>
      <c r="W162" s="5">
        <v>1.0</v>
      </c>
      <c r="X162" s="5" t="b">
        <v>1</v>
      </c>
      <c r="Y162" s="5" t="s">
        <v>189</v>
      </c>
      <c r="Z162" s="5" t="b">
        <v>0</v>
      </c>
      <c r="AA162" s="10"/>
      <c r="AB162" s="4">
        <v>1.0</v>
      </c>
      <c r="AC162" s="11" t="s">
        <v>980</v>
      </c>
      <c r="AD162" s="5">
        <v>0.0</v>
      </c>
      <c r="AE162" s="5">
        <v>1.0</v>
      </c>
      <c r="AF162" s="8">
        <v>46170.0</v>
      </c>
      <c r="AG162" s="9">
        <v>0.375</v>
      </c>
      <c r="AH162" s="9">
        <v>0.9166666666666666</v>
      </c>
      <c r="AI162" s="4" t="s">
        <v>49</v>
      </c>
      <c r="AJ162" s="5" t="s">
        <v>52</v>
      </c>
      <c r="AK162" s="12"/>
      <c r="AL162" s="12"/>
      <c r="AM162" s="12"/>
      <c r="AN162" s="12"/>
      <c r="AO162" s="12"/>
      <c r="AP162" s="12"/>
      <c r="AQ162" s="12"/>
    </row>
    <row r="163">
      <c r="A163" s="4" t="s">
        <v>981</v>
      </c>
      <c r="B163" s="5">
        <v>1.1398423E7</v>
      </c>
      <c r="C163" s="5" t="s">
        <v>37</v>
      </c>
      <c r="D163" s="4" t="s">
        <v>982</v>
      </c>
      <c r="E163" s="5" t="s">
        <v>39</v>
      </c>
      <c r="F163" s="4" t="s">
        <v>828</v>
      </c>
      <c r="G163" s="4">
        <v>8.176684929E9</v>
      </c>
      <c r="H163" s="4" t="s">
        <v>829</v>
      </c>
      <c r="I163" s="5" t="s">
        <v>42</v>
      </c>
      <c r="J163" s="5" t="s">
        <v>43</v>
      </c>
      <c r="K163" s="5">
        <v>8.7733785699E10</v>
      </c>
      <c r="L163" s="4" t="s">
        <v>44</v>
      </c>
      <c r="M163" s="5" t="s">
        <v>42</v>
      </c>
      <c r="N163" s="4" t="s">
        <v>45</v>
      </c>
      <c r="O163" s="4" t="s">
        <v>46</v>
      </c>
      <c r="P163" s="4" t="s">
        <v>187</v>
      </c>
      <c r="Q163" s="4">
        <v>16451.0</v>
      </c>
      <c r="R163" s="4" t="s">
        <v>983</v>
      </c>
      <c r="S163" s="8">
        <v>46170.0</v>
      </c>
      <c r="T163" s="9">
        <v>0.375</v>
      </c>
      <c r="U163" s="9">
        <v>0.9166666666666666</v>
      </c>
      <c r="V163" s="4" t="s">
        <v>49</v>
      </c>
      <c r="W163" s="5">
        <v>1.0</v>
      </c>
      <c r="X163" s="5" t="b">
        <v>1</v>
      </c>
      <c r="Y163" s="5" t="s">
        <v>189</v>
      </c>
      <c r="Z163" s="5" t="b">
        <v>0</v>
      </c>
      <c r="AA163" s="10"/>
      <c r="AB163" s="4">
        <v>1.0</v>
      </c>
      <c r="AC163" s="11" t="s">
        <v>984</v>
      </c>
      <c r="AD163" s="5">
        <v>0.0</v>
      </c>
      <c r="AE163" s="5">
        <v>1.0</v>
      </c>
      <c r="AF163" s="8">
        <v>46170.0</v>
      </c>
      <c r="AG163" s="9">
        <v>0.375</v>
      </c>
      <c r="AH163" s="9">
        <v>0.9166666666666666</v>
      </c>
      <c r="AI163" s="4" t="s">
        <v>49</v>
      </c>
      <c r="AJ163" s="5" t="s">
        <v>52</v>
      </c>
      <c r="AK163" s="12"/>
      <c r="AL163" s="12"/>
      <c r="AM163" s="12"/>
      <c r="AN163" s="12"/>
      <c r="AO163" s="12"/>
      <c r="AP163" s="12"/>
      <c r="AQ163" s="12"/>
    </row>
    <row r="164">
      <c r="A164" s="4" t="s">
        <v>985</v>
      </c>
      <c r="B164" s="5">
        <v>1.1398423E7</v>
      </c>
      <c r="C164" s="5" t="s">
        <v>37</v>
      </c>
      <c r="D164" s="4" t="s">
        <v>986</v>
      </c>
      <c r="E164" s="5" t="s">
        <v>39</v>
      </c>
      <c r="F164" s="4" t="s">
        <v>987</v>
      </c>
      <c r="G164" s="4">
        <v>8.5778058208E10</v>
      </c>
      <c r="H164" s="4" t="s">
        <v>988</v>
      </c>
      <c r="I164" s="5" t="s">
        <v>42</v>
      </c>
      <c r="J164" s="5" t="s">
        <v>43</v>
      </c>
      <c r="K164" s="5">
        <v>8.7733785699E10</v>
      </c>
      <c r="L164" s="4" t="s">
        <v>44</v>
      </c>
      <c r="M164" s="5" t="s">
        <v>42</v>
      </c>
      <c r="N164" s="4" t="s">
        <v>45</v>
      </c>
      <c r="O164" s="4" t="s">
        <v>46</v>
      </c>
      <c r="P164" s="4" t="s">
        <v>187</v>
      </c>
      <c r="Q164" s="4">
        <v>16451.0</v>
      </c>
      <c r="R164" s="4" t="s">
        <v>989</v>
      </c>
      <c r="S164" s="8">
        <v>46170.0</v>
      </c>
      <c r="T164" s="9">
        <v>0.375</v>
      </c>
      <c r="U164" s="9">
        <v>0.9166666666666666</v>
      </c>
      <c r="V164" s="4" t="s">
        <v>49</v>
      </c>
      <c r="W164" s="5">
        <v>1.0</v>
      </c>
      <c r="X164" s="5" t="b">
        <v>1</v>
      </c>
      <c r="Y164" s="5" t="s">
        <v>189</v>
      </c>
      <c r="Z164" s="5" t="b">
        <v>0</v>
      </c>
      <c r="AA164" s="10"/>
      <c r="AB164" s="4">
        <v>1.0</v>
      </c>
      <c r="AC164" s="11" t="s">
        <v>990</v>
      </c>
      <c r="AD164" s="5">
        <v>0.0</v>
      </c>
      <c r="AE164" s="5">
        <v>1.0</v>
      </c>
      <c r="AF164" s="8">
        <v>46170.0</v>
      </c>
      <c r="AG164" s="9">
        <v>0.375</v>
      </c>
      <c r="AH164" s="9">
        <v>0.9166666666666666</v>
      </c>
      <c r="AI164" s="4" t="s">
        <v>49</v>
      </c>
      <c r="AJ164" s="5" t="s">
        <v>52</v>
      </c>
      <c r="AK164" s="12"/>
      <c r="AL164" s="12"/>
      <c r="AM164" s="12"/>
      <c r="AN164" s="12"/>
      <c r="AO164" s="12"/>
      <c r="AP164" s="12"/>
      <c r="AQ164" s="12"/>
    </row>
    <row r="165">
      <c r="A165" s="4" t="s">
        <v>991</v>
      </c>
      <c r="B165" s="5">
        <v>1.1398423E7</v>
      </c>
      <c r="C165" s="5" t="s">
        <v>37</v>
      </c>
      <c r="D165" s="4" t="s">
        <v>992</v>
      </c>
      <c r="E165" s="5" t="s">
        <v>39</v>
      </c>
      <c r="F165" s="4" t="s">
        <v>993</v>
      </c>
      <c r="G165" s="6">
        <v>6.28132E17</v>
      </c>
      <c r="H165" s="4" t="s">
        <v>994</v>
      </c>
      <c r="I165" s="5" t="s">
        <v>42</v>
      </c>
      <c r="J165" s="5" t="s">
        <v>43</v>
      </c>
      <c r="K165" s="5">
        <v>8.7733785699E10</v>
      </c>
      <c r="L165" s="4" t="s">
        <v>44</v>
      </c>
      <c r="M165" s="5" t="s">
        <v>42</v>
      </c>
      <c r="N165" s="4" t="s">
        <v>45</v>
      </c>
      <c r="O165" s="4" t="s">
        <v>46</v>
      </c>
      <c r="P165" s="4" t="s">
        <v>187</v>
      </c>
      <c r="Q165" s="4">
        <v>16451.0</v>
      </c>
      <c r="R165" s="4" t="s">
        <v>995</v>
      </c>
      <c r="S165" s="8">
        <v>46170.0</v>
      </c>
      <c r="T165" s="9">
        <v>0.375</v>
      </c>
      <c r="U165" s="9">
        <v>0.9166666666666666</v>
      </c>
      <c r="V165" s="4" t="s">
        <v>49</v>
      </c>
      <c r="W165" s="5">
        <v>1.0</v>
      </c>
      <c r="X165" s="5" t="b">
        <v>1</v>
      </c>
      <c r="Y165" s="5" t="s">
        <v>189</v>
      </c>
      <c r="Z165" s="5" t="b">
        <v>0</v>
      </c>
      <c r="AA165" s="10"/>
      <c r="AB165" s="4">
        <v>1.0</v>
      </c>
      <c r="AC165" s="11" t="s">
        <v>996</v>
      </c>
      <c r="AD165" s="5">
        <v>0.0</v>
      </c>
      <c r="AE165" s="5">
        <v>1.0</v>
      </c>
      <c r="AF165" s="8">
        <v>46170.0</v>
      </c>
      <c r="AG165" s="9">
        <v>0.375</v>
      </c>
      <c r="AH165" s="9">
        <v>0.9166666666666666</v>
      </c>
      <c r="AI165" s="4" t="s">
        <v>49</v>
      </c>
      <c r="AJ165" s="5" t="s">
        <v>52</v>
      </c>
      <c r="AK165" s="12"/>
      <c r="AL165" s="12"/>
      <c r="AM165" s="12"/>
      <c r="AN165" s="12"/>
      <c r="AO165" s="12"/>
      <c r="AP165" s="12"/>
      <c r="AQ165" s="12"/>
    </row>
    <row r="166">
      <c r="A166" s="4" t="s">
        <v>997</v>
      </c>
      <c r="B166" s="5">
        <v>1.1398423E7</v>
      </c>
      <c r="C166" s="5" t="s">
        <v>37</v>
      </c>
      <c r="D166" s="4" t="s">
        <v>998</v>
      </c>
      <c r="E166" s="5" t="s">
        <v>39</v>
      </c>
      <c r="F166" s="4" t="s">
        <v>999</v>
      </c>
      <c r="G166" s="6">
        <v>6.28521E17</v>
      </c>
      <c r="H166" s="4" t="s">
        <v>1000</v>
      </c>
      <c r="I166" s="5" t="s">
        <v>42</v>
      </c>
      <c r="J166" s="5" t="s">
        <v>43</v>
      </c>
      <c r="K166" s="5">
        <v>8.7733785699E10</v>
      </c>
      <c r="L166" s="4" t="s">
        <v>44</v>
      </c>
      <c r="M166" s="5" t="s">
        <v>42</v>
      </c>
      <c r="N166" s="4" t="s">
        <v>45</v>
      </c>
      <c r="O166" s="4" t="s">
        <v>46</v>
      </c>
      <c r="P166" s="4" t="s">
        <v>187</v>
      </c>
      <c r="Q166" s="4">
        <v>16451.0</v>
      </c>
      <c r="R166" s="4" t="s">
        <v>1001</v>
      </c>
      <c r="S166" s="8">
        <v>46170.0</v>
      </c>
      <c r="T166" s="9">
        <v>0.375</v>
      </c>
      <c r="U166" s="9">
        <v>0.9166666666666666</v>
      </c>
      <c r="V166" s="4" t="s">
        <v>49</v>
      </c>
      <c r="W166" s="5">
        <v>1.0</v>
      </c>
      <c r="X166" s="5" t="b">
        <v>1</v>
      </c>
      <c r="Y166" s="5" t="s">
        <v>189</v>
      </c>
      <c r="Z166" s="5" t="b">
        <v>0</v>
      </c>
      <c r="AA166" s="10"/>
      <c r="AB166" s="4">
        <v>1.0</v>
      </c>
      <c r="AC166" s="11" t="s">
        <v>1002</v>
      </c>
      <c r="AD166" s="5">
        <v>0.0</v>
      </c>
      <c r="AE166" s="5">
        <v>1.0</v>
      </c>
      <c r="AF166" s="8">
        <v>46170.0</v>
      </c>
      <c r="AG166" s="9">
        <v>0.375</v>
      </c>
      <c r="AH166" s="9">
        <v>0.9166666666666666</v>
      </c>
      <c r="AI166" s="4" t="s">
        <v>49</v>
      </c>
      <c r="AJ166" s="5" t="s">
        <v>52</v>
      </c>
      <c r="AK166" s="12"/>
      <c r="AL166" s="12"/>
      <c r="AM166" s="12"/>
      <c r="AN166" s="12"/>
      <c r="AO166" s="12"/>
      <c r="AP166" s="12"/>
      <c r="AQ166" s="12"/>
    </row>
    <row r="167">
      <c r="A167" s="4" t="s">
        <v>1003</v>
      </c>
      <c r="B167" s="5">
        <v>1.1398423E7</v>
      </c>
      <c r="C167" s="5" t="s">
        <v>37</v>
      </c>
      <c r="D167" s="4" t="s">
        <v>1004</v>
      </c>
      <c r="E167" s="5" t="s">
        <v>39</v>
      </c>
      <c r="F167" s="4" t="s">
        <v>1005</v>
      </c>
      <c r="G167" s="4">
        <v>8.1354877771E10</v>
      </c>
      <c r="H167" s="4" t="s">
        <v>1006</v>
      </c>
      <c r="I167" s="5" t="s">
        <v>42</v>
      </c>
      <c r="J167" s="5" t="s">
        <v>43</v>
      </c>
      <c r="K167" s="5">
        <v>8.7733785699E10</v>
      </c>
      <c r="L167" s="4" t="s">
        <v>44</v>
      </c>
      <c r="M167" s="5" t="s">
        <v>42</v>
      </c>
      <c r="N167" s="4" t="s">
        <v>45</v>
      </c>
      <c r="O167" s="4" t="s">
        <v>46</v>
      </c>
      <c r="P167" s="4" t="s">
        <v>187</v>
      </c>
      <c r="Q167" s="4">
        <v>16451.0</v>
      </c>
      <c r="R167" s="4" t="s">
        <v>1007</v>
      </c>
      <c r="S167" s="8">
        <v>46170.0</v>
      </c>
      <c r="T167" s="9">
        <v>0.375</v>
      </c>
      <c r="U167" s="9">
        <v>0.9166666666666666</v>
      </c>
      <c r="V167" s="4" t="s">
        <v>49</v>
      </c>
      <c r="W167" s="5">
        <v>1.0</v>
      </c>
      <c r="X167" s="5" t="b">
        <v>1</v>
      </c>
      <c r="Y167" s="5" t="s">
        <v>189</v>
      </c>
      <c r="Z167" s="5" t="b">
        <v>0</v>
      </c>
      <c r="AA167" s="10"/>
      <c r="AB167" s="4">
        <v>1.0</v>
      </c>
      <c r="AC167" s="11" t="s">
        <v>1008</v>
      </c>
      <c r="AD167" s="5">
        <v>0.0</v>
      </c>
      <c r="AE167" s="5">
        <v>1.0</v>
      </c>
      <c r="AF167" s="8">
        <v>46170.0</v>
      </c>
      <c r="AG167" s="9">
        <v>0.375</v>
      </c>
      <c r="AH167" s="9">
        <v>0.9166666666666666</v>
      </c>
      <c r="AI167" s="4" t="s">
        <v>49</v>
      </c>
      <c r="AJ167" s="5" t="s">
        <v>52</v>
      </c>
      <c r="AK167" s="12"/>
      <c r="AL167" s="12"/>
      <c r="AM167" s="12"/>
      <c r="AN167" s="12"/>
      <c r="AO167" s="12"/>
      <c r="AP167" s="12"/>
      <c r="AQ167" s="12"/>
    </row>
    <row r="168">
      <c r="A168" s="4" t="s">
        <v>1009</v>
      </c>
      <c r="B168" s="5">
        <v>1.1398423E7</v>
      </c>
      <c r="C168" s="5" t="s">
        <v>37</v>
      </c>
      <c r="D168" s="4" t="s">
        <v>1010</v>
      </c>
      <c r="E168" s="5" t="s">
        <v>39</v>
      </c>
      <c r="F168" s="4" t="s">
        <v>1011</v>
      </c>
      <c r="G168" s="6">
        <v>6.2813E16</v>
      </c>
      <c r="H168" s="4" t="s">
        <v>1012</v>
      </c>
      <c r="I168" s="5" t="s">
        <v>42</v>
      </c>
      <c r="J168" s="5" t="s">
        <v>43</v>
      </c>
      <c r="K168" s="5">
        <v>8.7733785699E10</v>
      </c>
      <c r="L168" s="4" t="s">
        <v>44</v>
      </c>
      <c r="M168" s="5" t="s">
        <v>42</v>
      </c>
      <c r="N168" s="4" t="s">
        <v>45</v>
      </c>
      <c r="O168" s="4" t="s">
        <v>46</v>
      </c>
      <c r="P168" s="4" t="s">
        <v>187</v>
      </c>
      <c r="Q168" s="4">
        <v>16451.0</v>
      </c>
      <c r="R168" s="4" t="s">
        <v>1013</v>
      </c>
      <c r="S168" s="8">
        <v>46170.0</v>
      </c>
      <c r="T168" s="9">
        <v>0.375</v>
      </c>
      <c r="U168" s="9">
        <v>0.9166666666666666</v>
      </c>
      <c r="V168" s="4" t="s">
        <v>49</v>
      </c>
      <c r="W168" s="5">
        <v>1.0</v>
      </c>
      <c r="X168" s="5" t="b">
        <v>1</v>
      </c>
      <c r="Y168" s="5" t="s">
        <v>189</v>
      </c>
      <c r="Z168" s="5" t="b">
        <v>0</v>
      </c>
      <c r="AA168" s="10"/>
      <c r="AB168" s="4">
        <v>1.0</v>
      </c>
      <c r="AC168" s="11" t="s">
        <v>1014</v>
      </c>
      <c r="AD168" s="5">
        <v>0.0</v>
      </c>
      <c r="AE168" s="5">
        <v>1.0</v>
      </c>
      <c r="AF168" s="8">
        <v>46170.0</v>
      </c>
      <c r="AG168" s="9">
        <v>0.375</v>
      </c>
      <c r="AH168" s="9">
        <v>0.9166666666666666</v>
      </c>
      <c r="AI168" s="4" t="s">
        <v>49</v>
      </c>
      <c r="AJ168" s="5" t="s">
        <v>52</v>
      </c>
      <c r="AK168" s="12"/>
      <c r="AL168" s="12"/>
      <c r="AM168" s="12"/>
      <c r="AN168" s="12"/>
      <c r="AO168" s="12"/>
      <c r="AP168" s="12"/>
      <c r="AQ168" s="12"/>
    </row>
    <row r="169" ht="16.5" customHeight="1">
      <c r="A169" s="4" t="s">
        <v>1015</v>
      </c>
      <c r="B169" s="5">
        <v>1.1398423E7</v>
      </c>
      <c r="C169" s="5" t="s">
        <v>37</v>
      </c>
      <c r="D169" s="4" t="s">
        <v>1016</v>
      </c>
      <c r="E169" s="5" t="s">
        <v>39</v>
      </c>
      <c r="F169" s="4" t="s">
        <v>161</v>
      </c>
      <c r="G169" s="6">
        <v>6.28138E17</v>
      </c>
      <c r="H169" s="4" t="s">
        <v>162</v>
      </c>
      <c r="I169" s="5" t="s">
        <v>42</v>
      </c>
      <c r="J169" s="5" t="s">
        <v>43</v>
      </c>
      <c r="K169" s="5">
        <v>8.7733785699E10</v>
      </c>
      <c r="L169" s="4" t="s">
        <v>44</v>
      </c>
      <c r="M169" s="5" t="s">
        <v>42</v>
      </c>
      <c r="N169" s="4" t="s">
        <v>45</v>
      </c>
      <c r="O169" s="4" t="s">
        <v>46</v>
      </c>
      <c r="P169" s="4" t="s">
        <v>187</v>
      </c>
      <c r="Q169" s="4">
        <v>16451.0</v>
      </c>
      <c r="R169" s="4" t="s">
        <v>1017</v>
      </c>
      <c r="S169" s="8">
        <v>46170.0</v>
      </c>
      <c r="T169" s="9">
        <v>0.375</v>
      </c>
      <c r="U169" s="9">
        <v>0.9166666666666666</v>
      </c>
      <c r="V169" s="4" t="s">
        <v>49</v>
      </c>
      <c r="W169" s="5">
        <v>1.0</v>
      </c>
      <c r="X169" s="5" t="b">
        <v>1</v>
      </c>
      <c r="Y169" s="5" t="s">
        <v>189</v>
      </c>
      <c r="Z169" s="5" t="b">
        <v>0</v>
      </c>
      <c r="AA169" s="10"/>
      <c r="AB169" s="4">
        <v>1.0</v>
      </c>
      <c r="AC169" s="11" t="s">
        <v>1018</v>
      </c>
      <c r="AD169" s="5">
        <v>0.0</v>
      </c>
      <c r="AE169" s="5">
        <v>1.0</v>
      </c>
      <c r="AF169" s="8">
        <v>46170.0</v>
      </c>
      <c r="AG169" s="9">
        <v>0.375</v>
      </c>
      <c r="AH169" s="9">
        <v>0.9166666666666666</v>
      </c>
      <c r="AI169" s="4" t="s">
        <v>49</v>
      </c>
      <c r="AJ169" s="5" t="s">
        <v>52</v>
      </c>
      <c r="AK169" s="12"/>
      <c r="AL169" s="12"/>
      <c r="AM169" s="12"/>
      <c r="AN169" s="12"/>
      <c r="AO169" s="12"/>
      <c r="AP169" s="12"/>
      <c r="AQ169" s="12"/>
    </row>
    <row r="170" ht="21.0" customHeight="1">
      <c r="A170" s="4" t="s">
        <v>1019</v>
      </c>
      <c r="B170" s="5">
        <v>1.1398423E7</v>
      </c>
      <c r="C170" s="5" t="s">
        <v>37</v>
      </c>
      <c r="D170" s="4" t="s">
        <v>1020</v>
      </c>
      <c r="E170" s="5" t="s">
        <v>39</v>
      </c>
      <c r="F170" s="4" t="s">
        <v>370</v>
      </c>
      <c r="G170" s="4">
        <v>2.177833109E9</v>
      </c>
      <c r="H170" s="4" t="s">
        <v>371</v>
      </c>
      <c r="I170" s="5" t="s">
        <v>42</v>
      </c>
      <c r="J170" s="5" t="s">
        <v>43</v>
      </c>
      <c r="K170" s="5">
        <v>8.7733785699E10</v>
      </c>
      <c r="L170" s="4" t="s">
        <v>44</v>
      </c>
      <c r="M170" s="5" t="s">
        <v>42</v>
      </c>
      <c r="N170" s="4" t="s">
        <v>45</v>
      </c>
      <c r="O170" s="4" t="s">
        <v>46</v>
      </c>
      <c r="P170" s="4" t="s">
        <v>187</v>
      </c>
      <c r="Q170" s="4">
        <v>16451.0</v>
      </c>
      <c r="R170" s="4" t="s">
        <v>1021</v>
      </c>
      <c r="S170" s="8">
        <v>46170.0</v>
      </c>
      <c r="T170" s="9">
        <v>0.375</v>
      </c>
      <c r="U170" s="9">
        <v>0.9166666666666666</v>
      </c>
      <c r="V170" s="4" t="s">
        <v>49</v>
      </c>
      <c r="W170" s="5">
        <v>1.0</v>
      </c>
      <c r="X170" s="5" t="b">
        <v>1</v>
      </c>
      <c r="Y170" s="5" t="s">
        <v>189</v>
      </c>
      <c r="Z170" s="5" t="b">
        <v>0</v>
      </c>
      <c r="AA170" s="10"/>
      <c r="AB170" s="4">
        <v>1.0</v>
      </c>
      <c r="AC170" s="11" t="s">
        <v>1022</v>
      </c>
      <c r="AD170" s="5">
        <v>0.0</v>
      </c>
      <c r="AE170" s="5">
        <v>1.0</v>
      </c>
      <c r="AF170" s="8">
        <v>46170.0</v>
      </c>
      <c r="AG170" s="9">
        <v>0.375</v>
      </c>
      <c r="AH170" s="9">
        <v>0.9166666666666666</v>
      </c>
      <c r="AI170" s="4" t="s">
        <v>49</v>
      </c>
      <c r="AJ170" s="5" t="s">
        <v>52</v>
      </c>
      <c r="AK170" s="12"/>
      <c r="AL170" s="12"/>
      <c r="AM170" s="12"/>
      <c r="AN170" s="12"/>
      <c r="AO170" s="12"/>
      <c r="AP170" s="12"/>
      <c r="AQ170" s="12"/>
    </row>
    <row r="171">
      <c r="A171" s="4" t="s">
        <v>1023</v>
      </c>
      <c r="B171" s="5">
        <v>1.1398423E7</v>
      </c>
      <c r="C171" s="5" t="s">
        <v>37</v>
      </c>
      <c r="D171" s="4" t="s">
        <v>1024</v>
      </c>
      <c r="E171" s="5" t="s">
        <v>39</v>
      </c>
      <c r="F171" s="4" t="s">
        <v>1025</v>
      </c>
      <c r="G171" s="4">
        <v>8.1221043334E10</v>
      </c>
      <c r="H171" s="4" t="s">
        <v>1026</v>
      </c>
      <c r="I171" s="5" t="s">
        <v>42</v>
      </c>
      <c r="J171" s="5" t="s">
        <v>43</v>
      </c>
      <c r="K171" s="5">
        <v>8.7733785699E10</v>
      </c>
      <c r="L171" s="4" t="s">
        <v>44</v>
      </c>
      <c r="M171" s="5" t="s">
        <v>42</v>
      </c>
      <c r="N171" s="4" t="s">
        <v>45</v>
      </c>
      <c r="O171" s="4" t="s">
        <v>46</v>
      </c>
      <c r="P171" s="4" t="s">
        <v>187</v>
      </c>
      <c r="Q171" s="4">
        <v>16451.0</v>
      </c>
      <c r="R171" s="4" t="s">
        <v>1027</v>
      </c>
      <c r="S171" s="8">
        <v>46170.0</v>
      </c>
      <c r="T171" s="9">
        <v>0.375</v>
      </c>
      <c r="U171" s="9">
        <v>0.9166666666666666</v>
      </c>
      <c r="V171" s="4" t="s">
        <v>49</v>
      </c>
      <c r="W171" s="5">
        <v>1.0</v>
      </c>
      <c r="X171" s="5" t="b">
        <v>1</v>
      </c>
      <c r="Y171" s="5" t="s">
        <v>189</v>
      </c>
      <c r="Z171" s="5" t="b">
        <v>0</v>
      </c>
      <c r="AA171" s="10"/>
      <c r="AB171" s="4">
        <v>1.0</v>
      </c>
      <c r="AC171" s="11" t="s">
        <v>1028</v>
      </c>
      <c r="AD171" s="5">
        <v>0.0</v>
      </c>
      <c r="AE171" s="5">
        <v>1.0</v>
      </c>
      <c r="AF171" s="8">
        <v>46170.0</v>
      </c>
      <c r="AG171" s="9">
        <v>0.375</v>
      </c>
      <c r="AH171" s="9">
        <v>0.9166666666666666</v>
      </c>
      <c r="AI171" s="4" t="s">
        <v>49</v>
      </c>
      <c r="AJ171" s="5" t="s">
        <v>52</v>
      </c>
      <c r="AK171" s="12"/>
      <c r="AL171" s="12"/>
      <c r="AM171" s="12"/>
      <c r="AN171" s="12"/>
      <c r="AO171" s="12"/>
      <c r="AP171" s="12"/>
      <c r="AQ171" s="12"/>
    </row>
    <row r="172">
      <c r="A172" s="4" t="s">
        <v>1029</v>
      </c>
      <c r="B172" s="5">
        <v>1.1398423E7</v>
      </c>
      <c r="C172" s="5" t="s">
        <v>37</v>
      </c>
      <c r="D172" s="4" t="s">
        <v>1030</v>
      </c>
      <c r="E172" s="5" t="s">
        <v>39</v>
      </c>
      <c r="F172" s="4" t="s">
        <v>834</v>
      </c>
      <c r="G172" s="6">
        <v>6.28121E17</v>
      </c>
      <c r="H172" s="4" t="s">
        <v>835</v>
      </c>
      <c r="I172" s="5" t="s">
        <v>42</v>
      </c>
      <c r="J172" s="5" t="s">
        <v>43</v>
      </c>
      <c r="K172" s="5">
        <v>8.7733785699E10</v>
      </c>
      <c r="L172" s="4" t="s">
        <v>44</v>
      </c>
      <c r="M172" s="5" t="s">
        <v>42</v>
      </c>
      <c r="N172" s="4" t="s">
        <v>45</v>
      </c>
      <c r="O172" s="4" t="s">
        <v>46</v>
      </c>
      <c r="P172" s="4" t="s">
        <v>187</v>
      </c>
      <c r="Q172" s="4">
        <v>16451.0</v>
      </c>
      <c r="R172" s="4" t="s">
        <v>1031</v>
      </c>
      <c r="S172" s="8">
        <v>46170.0</v>
      </c>
      <c r="T172" s="9">
        <v>0.375</v>
      </c>
      <c r="U172" s="9">
        <v>0.9166666666666666</v>
      </c>
      <c r="V172" s="4" t="s">
        <v>49</v>
      </c>
      <c r="W172" s="5">
        <v>1.0</v>
      </c>
      <c r="X172" s="5" t="b">
        <v>1</v>
      </c>
      <c r="Y172" s="5" t="s">
        <v>189</v>
      </c>
      <c r="Z172" s="5" t="b">
        <v>0</v>
      </c>
      <c r="AA172" s="10"/>
      <c r="AB172" s="4">
        <v>1.0</v>
      </c>
      <c r="AC172" s="11" t="s">
        <v>1032</v>
      </c>
      <c r="AD172" s="5">
        <v>0.0</v>
      </c>
      <c r="AE172" s="5">
        <v>1.0</v>
      </c>
      <c r="AF172" s="8">
        <v>46170.0</v>
      </c>
      <c r="AG172" s="9">
        <v>0.375</v>
      </c>
      <c r="AH172" s="9">
        <v>0.9166666666666666</v>
      </c>
      <c r="AI172" s="4" t="s">
        <v>49</v>
      </c>
      <c r="AJ172" s="5" t="s">
        <v>52</v>
      </c>
      <c r="AK172" s="12"/>
      <c r="AL172" s="12"/>
      <c r="AM172" s="12"/>
      <c r="AN172" s="12"/>
      <c r="AO172" s="12"/>
      <c r="AP172" s="12"/>
      <c r="AQ172" s="12"/>
    </row>
    <row r="173">
      <c r="A173" s="4" t="s">
        <v>1033</v>
      </c>
      <c r="B173" s="5">
        <v>1.1398423E7</v>
      </c>
      <c r="C173" s="5" t="s">
        <v>37</v>
      </c>
      <c r="D173" s="4" t="s">
        <v>1034</v>
      </c>
      <c r="E173" s="5" t="s">
        <v>39</v>
      </c>
      <c r="F173" s="4" t="s">
        <v>1035</v>
      </c>
      <c r="G173" s="6">
        <v>6.28962E17</v>
      </c>
      <c r="H173" s="4" t="s">
        <v>1036</v>
      </c>
      <c r="I173" s="5" t="s">
        <v>42</v>
      </c>
      <c r="J173" s="5" t="s">
        <v>43</v>
      </c>
      <c r="K173" s="5">
        <v>8.7733785699E10</v>
      </c>
      <c r="L173" s="4" t="s">
        <v>44</v>
      </c>
      <c r="M173" s="5" t="s">
        <v>42</v>
      </c>
      <c r="N173" s="4" t="s">
        <v>45</v>
      </c>
      <c r="O173" s="4" t="s">
        <v>46</v>
      </c>
      <c r="P173" s="4" t="s">
        <v>187</v>
      </c>
      <c r="Q173" s="4">
        <v>16451.0</v>
      </c>
      <c r="R173" s="4" t="s">
        <v>1037</v>
      </c>
      <c r="S173" s="8">
        <v>46170.0</v>
      </c>
      <c r="T173" s="9">
        <v>0.375</v>
      </c>
      <c r="U173" s="9">
        <v>0.9166666666666666</v>
      </c>
      <c r="V173" s="4" t="s">
        <v>49</v>
      </c>
      <c r="W173" s="5">
        <v>1.0</v>
      </c>
      <c r="X173" s="5" t="b">
        <v>1</v>
      </c>
      <c r="Y173" s="5" t="s">
        <v>189</v>
      </c>
      <c r="Z173" s="5" t="b">
        <v>0</v>
      </c>
      <c r="AA173" s="10"/>
      <c r="AB173" s="4">
        <v>1.0</v>
      </c>
      <c r="AC173" s="11" t="s">
        <v>1038</v>
      </c>
      <c r="AD173" s="5">
        <v>0.0</v>
      </c>
      <c r="AE173" s="5">
        <v>1.0</v>
      </c>
      <c r="AF173" s="8">
        <v>46170.0</v>
      </c>
      <c r="AG173" s="9">
        <v>0.375</v>
      </c>
      <c r="AH173" s="9">
        <v>0.9166666666666666</v>
      </c>
      <c r="AI173" s="4" t="s">
        <v>49</v>
      </c>
      <c r="AJ173" s="5" t="s">
        <v>52</v>
      </c>
      <c r="AK173" s="12"/>
      <c r="AL173" s="12"/>
      <c r="AM173" s="12"/>
      <c r="AN173" s="12"/>
      <c r="AO173" s="12"/>
      <c r="AP173" s="12"/>
      <c r="AQ173" s="12"/>
    </row>
    <row r="174">
      <c r="A174" s="4" t="s">
        <v>1039</v>
      </c>
      <c r="B174" s="5">
        <v>1.1398423E7</v>
      </c>
      <c r="C174" s="5" t="s">
        <v>37</v>
      </c>
      <c r="D174" s="4" t="s">
        <v>1040</v>
      </c>
      <c r="E174" s="5" t="s">
        <v>39</v>
      </c>
      <c r="F174" s="4" t="s">
        <v>1041</v>
      </c>
      <c r="G174" s="6">
        <v>6.28566E17</v>
      </c>
      <c r="H174" s="4" t="s">
        <v>1042</v>
      </c>
      <c r="I174" s="5" t="s">
        <v>42</v>
      </c>
      <c r="J174" s="5" t="s">
        <v>43</v>
      </c>
      <c r="K174" s="5">
        <v>8.7733785699E10</v>
      </c>
      <c r="L174" s="4" t="s">
        <v>44</v>
      </c>
      <c r="M174" s="5" t="s">
        <v>42</v>
      </c>
      <c r="N174" s="4" t="s">
        <v>45</v>
      </c>
      <c r="O174" s="4" t="s">
        <v>46</v>
      </c>
      <c r="P174" s="4" t="s">
        <v>187</v>
      </c>
      <c r="Q174" s="4">
        <v>16451.0</v>
      </c>
      <c r="R174" s="4" t="s">
        <v>1043</v>
      </c>
      <c r="S174" s="8">
        <v>46170.0</v>
      </c>
      <c r="T174" s="9">
        <v>0.375</v>
      </c>
      <c r="U174" s="9">
        <v>0.9166666666666666</v>
      </c>
      <c r="V174" s="4" t="s">
        <v>49</v>
      </c>
      <c r="W174" s="5">
        <v>1.0</v>
      </c>
      <c r="X174" s="5" t="b">
        <v>1</v>
      </c>
      <c r="Y174" s="5" t="s">
        <v>189</v>
      </c>
      <c r="Z174" s="5" t="b">
        <v>0</v>
      </c>
      <c r="AA174" s="10"/>
      <c r="AB174" s="4">
        <v>1.0</v>
      </c>
      <c r="AC174" s="11" t="s">
        <v>1044</v>
      </c>
      <c r="AD174" s="5">
        <v>0.0</v>
      </c>
      <c r="AE174" s="5">
        <v>1.0</v>
      </c>
      <c r="AF174" s="8">
        <v>46170.0</v>
      </c>
      <c r="AG174" s="9">
        <v>0.375</v>
      </c>
      <c r="AH174" s="9">
        <v>0.9166666666666666</v>
      </c>
      <c r="AI174" s="4" t="s">
        <v>49</v>
      </c>
      <c r="AJ174" s="5" t="s">
        <v>52</v>
      </c>
      <c r="AK174" s="12"/>
      <c r="AL174" s="12"/>
      <c r="AM174" s="12"/>
      <c r="AN174" s="12"/>
      <c r="AO174" s="12"/>
      <c r="AP174" s="12"/>
      <c r="AQ174" s="12"/>
    </row>
    <row r="175">
      <c r="A175" s="4" t="s">
        <v>1045</v>
      </c>
      <c r="B175" s="5">
        <v>1.1398423E7</v>
      </c>
      <c r="C175" s="5" t="s">
        <v>37</v>
      </c>
      <c r="D175" s="4" t="s">
        <v>1046</v>
      </c>
      <c r="E175" s="5" t="s">
        <v>39</v>
      </c>
      <c r="F175" s="4" t="s">
        <v>516</v>
      </c>
      <c r="G175" s="6">
        <v>6.28132E17</v>
      </c>
      <c r="H175" s="4" t="s">
        <v>517</v>
      </c>
      <c r="I175" s="5" t="s">
        <v>42</v>
      </c>
      <c r="J175" s="5" t="s">
        <v>43</v>
      </c>
      <c r="K175" s="5">
        <v>8.7733785699E10</v>
      </c>
      <c r="L175" s="4" t="s">
        <v>44</v>
      </c>
      <c r="M175" s="5" t="s">
        <v>42</v>
      </c>
      <c r="N175" s="4" t="s">
        <v>45</v>
      </c>
      <c r="O175" s="4" t="s">
        <v>46</v>
      </c>
      <c r="P175" s="4" t="s">
        <v>187</v>
      </c>
      <c r="Q175" s="4">
        <v>16451.0</v>
      </c>
      <c r="R175" s="4" t="s">
        <v>1047</v>
      </c>
      <c r="S175" s="8">
        <v>46170.0</v>
      </c>
      <c r="T175" s="9">
        <v>0.375</v>
      </c>
      <c r="U175" s="9">
        <v>0.9166666666666666</v>
      </c>
      <c r="V175" s="4" t="s">
        <v>49</v>
      </c>
      <c r="W175" s="5">
        <v>1.0</v>
      </c>
      <c r="X175" s="5" t="b">
        <v>1</v>
      </c>
      <c r="Y175" s="5" t="s">
        <v>189</v>
      </c>
      <c r="Z175" s="5" t="b">
        <v>0</v>
      </c>
      <c r="AA175" s="10"/>
      <c r="AB175" s="4">
        <v>1.0</v>
      </c>
      <c r="AC175" s="11" t="s">
        <v>1048</v>
      </c>
      <c r="AD175" s="5">
        <v>0.0</v>
      </c>
      <c r="AE175" s="5">
        <v>1.0</v>
      </c>
      <c r="AF175" s="8">
        <v>46170.0</v>
      </c>
      <c r="AG175" s="9">
        <v>0.375</v>
      </c>
      <c r="AH175" s="9">
        <v>0.9166666666666666</v>
      </c>
      <c r="AI175" s="4" t="s">
        <v>49</v>
      </c>
      <c r="AJ175" s="5" t="s">
        <v>52</v>
      </c>
      <c r="AK175" s="12"/>
      <c r="AL175" s="12"/>
      <c r="AM175" s="12"/>
      <c r="AN175" s="12"/>
      <c r="AO175" s="12"/>
      <c r="AP175" s="12"/>
      <c r="AQ175" s="12"/>
    </row>
    <row r="176">
      <c r="A176" s="4" t="s">
        <v>1049</v>
      </c>
      <c r="B176" s="5">
        <v>1.1398423E7</v>
      </c>
      <c r="C176" s="5" t="s">
        <v>37</v>
      </c>
      <c r="D176" s="4" t="s">
        <v>1050</v>
      </c>
      <c r="E176" s="5" t="s">
        <v>39</v>
      </c>
      <c r="F176" s="4" t="s">
        <v>1051</v>
      </c>
      <c r="G176" s="4">
        <v>8.963670238E10</v>
      </c>
      <c r="H176" s="4" t="s">
        <v>1052</v>
      </c>
      <c r="I176" s="5" t="s">
        <v>42</v>
      </c>
      <c r="J176" s="5" t="s">
        <v>43</v>
      </c>
      <c r="K176" s="5">
        <v>8.7733785699E10</v>
      </c>
      <c r="L176" s="4" t="s">
        <v>44</v>
      </c>
      <c r="M176" s="5" t="s">
        <v>42</v>
      </c>
      <c r="N176" s="4" t="s">
        <v>45</v>
      </c>
      <c r="O176" s="4" t="s">
        <v>46</v>
      </c>
      <c r="P176" s="4" t="s">
        <v>187</v>
      </c>
      <c r="Q176" s="4">
        <v>16451.0</v>
      </c>
      <c r="R176" s="4" t="s">
        <v>1053</v>
      </c>
      <c r="S176" s="8">
        <v>46170.0</v>
      </c>
      <c r="T176" s="9">
        <v>0.375</v>
      </c>
      <c r="U176" s="9">
        <v>0.9166666666666666</v>
      </c>
      <c r="V176" s="4" t="s">
        <v>49</v>
      </c>
      <c r="W176" s="5">
        <v>1.0</v>
      </c>
      <c r="X176" s="5" t="b">
        <v>1</v>
      </c>
      <c r="Y176" s="5" t="s">
        <v>189</v>
      </c>
      <c r="Z176" s="5" t="b">
        <v>0</v>
      </c>
      <c r="AA176" s="10"/>
      <c r="AB176" s="4">
        <v>1.0</v>
      </c>
      <c r="AC176" s="11" t="s">
        <v>1054</v>
      </c>
      <c r="AD176" s="5">
        <v>0.0</v>
      </c>
      <c r="AE176" s="5">
        <v>1.0</v>
      </c>
      <c r="AF176" s="8">
        <v>46170.0</v>
      </c>
      <c r="AG176" s="9">
        <v>0.375</v>
      </c>
      <c r="AH176" s="9">
        <v>0.9166666666666666</v>
      </c>
      <c r="AI176" s="4" t="s">
        <v>49</v>
      </c>
      <c r="AJ176" s="5" t="s">
        <v>52</v>
      </c>
      <c r="AK176" s="12"/>
      <c r="AL176" s="12"/>
      <c r="AM176" s="12"/>
      <c r="AN176" s="12"/>
      <c r="AO176" s="12"/>
      <c r="AP176" s="12"/>
      <c r="AQ176" s="12"/>
    </row>
    <row r="177" ht="17.25" customHeight="1">
      <c r="A177" s="4" t="s">
        <v>1055</v>
      </c>
      <c r="B177" s="5">
        <v>1.1398423E7</v>
      </c>
      <c r="C177" s="5" t="s">
        <v>37</v>
      </c>
      <c r="D177" s="4" t="s">
        <v>1056</v>
      </c>
      <c r="E177" s="5" t="s">
        <v>39</v>
      </c>
      <c r="F177" s="4" t="s">
        <v>1057</v>
      </c>
      <c r="G177" s="4">
        <v>8.128125437E9</v>
      </c>
      <c r="H177" s="4" t="s">
        <v>1058</v>
      </c>
      <c r="I177" s="5" t="s">
        <v>42</v>
      </c>
      <c r="J177" s="5" t="s">
        <v>43</v>
      </c>
      <c r="K177" s="5">
        <v>8.7733785699E10</v>
      </c>
      <c r="L177" s="4" t="s">
        <v>44</v>
      </c>
      <c r="M177" s="5" t="s">
        <v>42</v>
      </c>
      <c r="N177" s="4" t="s">
        <v>45</v>
      </c>
      <c r="O177" s="4" t="s">
        <v>46</v>
      </c>
      <c r="P177" s="4" t="s">
        <v>187</v>
      </c>
      <c r="Q177" s="4">
        <v>16451.0</v>
      </c>
      <c r="R177" s="4" t="s">
        <v>1059</v>
      </c>
      <c r="S177" s="8">
        <v>46170.0</v>
      </c>
      <c r="T177" s="9">
        <v>0.375</v>
      </c>
      <c r="U177" s="9">
        <v>0.9166666666666666</v>
      </c>
      <c r="V177" s="4" t="s">
        <v>49</v>
      </c>
      <c r="W177" s="5">
        <v>1.0</v>
      </c>
      <c r="X177" s="5" t="b">
        <v>1</v>
      </c>
      <c r="Y177" s="5" t="s">
        <v>189</v>
      </c>
      <c r="Z177" s="5" t="b">
        <v>0</v>
      </c>
      <c r="AA177" s="10"/>
      <c r="AB177" s="4">
        <v>1.0</v>
      </c>
      <c r="AC177" s="11" t="s">
        <v>1060</v>
      </c>
      <c r="AD177" s="5">
        <v>0.0</v>
      </c>
      <c r="AE177" s="5">
        <v>1.0</v>
      </c>
      <c r="AF177" s="8">
        <v>46170.0</v>
      </c>
      <c r="AG177" s="9">
        <v>0.375</v>
      </c>
      <c r="AH177" s="9">
        <v>0.9166666666666666</v>
      </c>
      <c r="AI177" s="4" t="s">
        <v>49</v>
      </c>
      <c r="AJ177" s="5" t="s">
        <v>52</v>
      </c>
      <c r="AK177" s="12"/>
      <c r="AL177" s="12"/>
      <c r="AM177" s="12"/>
      <c r="AN177" s="12"/>
      <c r="AO177" s="12"/>
      <c r="AP177" s="12"/>
      <c r="AQ177" s="12"/>
    </row>
    <row r="178">
      <c r="A178" s="4" t="s">
        <v>1061</v>
      </c>
      <c r="B178" s="5">
        <v>1.1398423E7</v>
      </c>
      <c r="C178" s="5" t="s">
        <v>37</v>
      </c>
      <c r="D178" s="4" t="s">
        <v>1062</v>
      </c>
      <c r="E178" s="5" t="s">
        <v>39</v>
      </c>
      <c r="F178" s="4" t="s">
        <v>1063</v>
      </c>
      <c r="G178" s="6">
        <v>6.28129E17</v>
      </c>
      <c r="H178" s="4" t="s">
        <v>1064</v>
      </c>
      <c r="I178" s="5" t="s">
        <v>42</v>
      </c>
      <c r="J178" s="5" t="s">
        <v>43</v>
      </c>
      <c r="K178" s="5">
        <v>8.7733785699E10</v>
      </c>
      <c r="L178" s="4" t="s">
        <v>44</v>
      </c>
      <c r="M178" s="5" t="s">
        <v>42</v>
      </c>
      <c r="N178" s="4" t="s">
        <v>45</v>
      </c>
      <c r="O178" s="4" t="s">
        <v>46</v>
      </c>
      <c r="P178" s="4" t="s">
        <v>187</v>
      </c>
      <c r="Q178" s="4">
        <v>16451.0</v>
      </c>
      <c r="R178" s="4" t="s">
        <v>1065</v>
      </c>
      <c r="S178" s="8">
        <v>46170.0</v>
      </c>
      <c r="T178" s="9">
        <v>0.375</v>
      </c>
      <c r="U178" s="9">
        <v>0.9166666666666666</v>
      </c>
      <c r="V178" s="4" t="s">
        <v>49</v>
      </c>
      <c r="W178" s="5">
        <v>1.0</v>
      </c>
      <c r="X178" s="5" t="b">
        <v>1</v>
      </c>
      <c r="Y178" s="5" t="s">
        <v>189</v>
      </c>
      <c r="Z178" s="5" t="b">
        <v>0</v>
      </c>
      <c r="AA178" s="10"/>
      <c r="AB178" s="4">
        <v>1.0</v>
      </c>
      <c r="AC178" s="11" t="s">
        <v>1066</v>
      </c>
      <c r="AD178" s="5">
        <v>0.0</v>
      </c>
      <c r="AE178" s="5">
        <v>1.0</v>
      </c>
      <c r="AF178" s="8">
        <v>46170.0</v>
      </c>
      <c r="AG178" s="9">
        <v>0.375</v>
      </c>
      <c r="AH178" s="9">
        <v>0.9166666666666666</v>
      </c>
      <c r="AI178" s="4" t="s">
        <v>49</v>
      </c>
      <c r="AJ178" s="5" t="s">
        <v>52</v>
      </c>
      <c r="AK178" s="12"/>
      <c r="AL178" s="12"/>
      <c r="AM178" s="12"/>
      <c r="AN178" s="12"/>
      <c r="AO178" s="12"/>
      <c r="AP178" s="12"/>
      <c r="AQ178" s="12"/>
    </row>
    <row r="179">
      <c r="A179" s="4" t="s">
        <v>1067</v>
      </c>
      <c r="B179" s="5">
        <v>1.1398423E7</v>
      </c>
      <c r="C179" s="5" t="s">
        <v>37</v>
      </c>
      <c r="D179" s="4" t="s">
        <v>1068</v>
      </c>
      <c r="E179" s="5" t="s">
        <v>39</v>
      </c>
      <c r="F179" s="4" t="s">
        <v>1069</v>
      </c>
      <c r="G179" s="4">
        <v>8.7870537553E10</v>
      </c>
      <c r="H179" s="4" t="s">
        <v>1070</v>
      </c>
      <c r="I179" s="5" t="s">
        <v>42</v>
      </c>
      <c r="J179" s="5" t="s">
        <v>43</v>
      </c>
      <c r="K179" s="5">
        <v>8.7733785699E10</v>
      </c>
      <c r="L179" s="4" t="s">
        <v>44</v>
      </c>
      <c r="M179" s="5" t="s">
        <v>42</v>
      </c>
      <c r="N179" s="4" t="s">
        <v>45</v>
      </c>
      <c r="O179" s="4" t="s">
        <v>46</v>
      </c>
      <c r="P179" s="4" t="s">
        <v>187</v>
      </c>
      <c r="Q179" s="4">
        <v>16451.0</v>
      </c>
      <c r="R179" s="4" t="s">
        <v>1071</v>
      </c>
      <c r="S179" s="8">
        <v>46170.0</v>
      </c>
      <c r="T179" s="9">
        <v>0.375</v>
      </c>
      <c r="U179" s="9">
        <v>0.9166666666666666</v>
      </c>
      <c r="V179" s="4" t="s">
        <v>49</v>
      </c>
      <c r="W179" s="5">
        <v>1.0</v>
      </c>
      <c r="X179" s="5" t="b">
        <v>1</v>
      </c>
      <c r="Y179" s="5" t="s">
        <v>189</v>
      </c>
      <c r="Z179" s="5" t="b">
        <v>0</v>
      </c>
      <c r="AA179" s="10"/>
      <c r="AB179" s="4">
        <v>1.0</v>
      </c>
      <c r="AC179" s="11" t="s">
        <v>1072</v>
      </c>
      <c r="AD179" s="5">
        <v>0.0</v>
      </c>
      <c r="AE179" s="5">
        <v>1.0</v>
      </c>
      <c r="AF179" s="8">
        <v>46170.0</v>
      </c>
      <c r="AG179" s="9">
        <v>0.375</v>
      </c>
      <c r="AH179" s="9">
        <v>0.9166666666666666</v>
      </c>
      <c r="AI179" s="4" t="s">
        <v>49</v>
      </c>
      <c r="AJ179" s="5" t="s">
        <v>52</v>
      </c>
      <c r="AK179" s="12"/>
      <c r="AL179" s="12"/>
      <c r="AM179" s="12"/>
      <c r="AN179" s="12"/>
      <c r="AO179" s="12"/>
      <c r="AP179" s="12"/>
      <c r="AQ179" s="12"/>
    </row>
    <row r="180">
      <c r="A180" s="4" t="s">
        <v>1073</v>
      </c>
      <c r="B180" s="5">
        <v>1.1398423E7</v>
      </c>
      <c r="C180" s="5" t="s">
        <v>37</v>
      </c>
      <c r="D180" s="4" t="s">
        <v>1074</v>
      </c>
      <c r="E180" s="5" t="s">
        <v>39</v>
      </c>
      <c r="F180" s="4" t="s">
        <v>1075</v>
      </c>
      <c r="G180" s="4">
        <v>8.1350752017E10</v>
      </c>
      <c r="H180" s="4" t="s">
        <v>1076</v>
      </c>
      <c r="I180" s="5" t="s">
        <v>42</v>
      </c>
      <c r="J180" s="5" t="s">
        <v>43</v>
      </c>
      <c r="K180" s="5">
        <v>8.7733785699E10</v>
      </c>
      <c r="L180" s="4" t="s">
        <v>44</v>
      </c>
      <c r="M180" s="5" t="s">
        <v>42</v>
      </c>
      <c r="N180" s="4" t="s">
        <v>45</v>
      </c>
      <c r="O180" s="4" t="s">
        <v>46</v>
      </c>
      <c r="P180" s="4" t="s">
        <v>187</v>
      </c>
      <c r="Q180" s="4">
        <v>16451.0</v>
      </c>
      <c r="R180" s="4" t="s">
        <v>1077</v>
      </c>
      <c r="S180" s="8">
        <v>46170.0</v>
      </c>
      <c r="T180" s="9">
        <v>0.375</v>
      </c>
      <c r="U180" s="9">
        <v>0.9166666666666666</v>
      </c>
      <c r="V180" s="4" t="s">
        <v>49</v>
      </c>
      <c r="W180" s="5">
        <v>1.0</v>
      </c>
      <c r="X180" s="5" t="b">
        <v>1</v>
      </c>
      <c r="Y180" s="5" t="s">
        <v>189</v>
      </c>
      <c r="Z180" s="5" t="b">
        <v>0</v>
      </c>
      <c r="AA180" s="10"/>
      <c r="AB180" s="4">
        <v>1.0</v>
      </c>
      <c r="AC180" s="11" t="s">
        <v>1078</v>
      </c>
      <c r="AD180" s="5">
        <v>0.0</v>
      </c>
      <c r="AE180" s="5">
        <v>1.0</v>
      </c>
      <c r="AF180" s="8">
        <v>46170.0</v>
      </c>
      <c r="AG180" s="9">
        <v>0.375</v>
      </c>
      <c r="AH180" s="9">
        <v>0.9166666666666666</v>
      </c>
      <c r="AI180" s="4" t="s">
        <v>49</v>
      </c>
      <c r="AJ180" s="5" t="s">
        <v>52</v>
      </c>
      <c r="AK180" s="12"/>
      <c r="AL180" s="12"/>
      <c r="AM180" s="12"/>
      <c r="AN180" s="12"/>
      <c r="AO180" s="12"/>
      <c r="AP180" s="12"/>
      <c r="AQ180" s="12"/>
    </row>
    <row r="181">
      <c r="A181" s="4" t="s">
        <v>1079</v>
      </c>
      <c r="B181" s="5">
        <v>1.1398423E7</v>
      </c>
      <c r="C181" s="5" t="s">
        <v>37</v>
      </c>
      <c r="D181" s="4" t="s">
        <v>1080</v>
      </c>
      <c r="E181" s="5" t="s">
        <v>39</v>
      </c>
      <c r="F181" s="4" t="s">
        <v>468</v>
      </c>
      <c r="G181" s="4">
        <v>8.212560271E10</v>
      </c>
      <c r="H181" s="4" t="s">
        <v>469</v>
      </c>
      <c r="I181" s="5" t="s">
        <v>42</v>
      </c>
      <c r="J181" s="5" t="s">
        <v>43</v>
      </c>
      <c r="K181" s="5">
        <v>8.7733785699E10</v>
      </c>
      <c r="L181" s="4" t="s">
        <v>44</v>
      </c>
      <c r="M181" s="5" t="s">
        <v>42</v>
      </c>
      <c r="N181" s="4" t="s">
        <v>45</v>
      </c>
      <c r="O181" s="4" t="s">
        <v>46</v>
      </c>
      <c r="P181" s="4" t="s">
        <v>187</v>
      </c>
      <c r="Q181" s="4">
        <v>16451.0</v>
      </c>
      <c r="R181" s="4" t="s">
        <v>1081</v>
      </c>
      <c r="S181" s="8">
        <v>46170.0</v>
      </c>
      <c r="T181" s="9">
        <v>0.375</v>
      </c>
      <c r="U181" s="9">
        <v>0.9166666666666666</v>
      </c>
      <c r="V181" s="4" t="s">
        <v>49</v>
      </c>
      <c r="W181" s="5">
        <v>1.0</v>
      </c>
      <c r="X181" s="5" t="b">
        <v>1</v>
      </c>
      <c r="Y181" s="5" t="s">
        <v>189</v>
      </c>
      <c r="Z181" s="5" t="b">
        <v>0</v>
      </c>
      <c r="AA181" s="10"/>
      <c r="AB181" s="4">
        <v>1.0</v>
      </c>
      <c r="AC181" s="11" t="s">
        <v>1082</v>
      </c>
      <c r="AD181" s="5">
        <v>0.0</v>
      </c>
      <c r="AE181" s="5">
        <v>1.0</v>
      </c>
      <c r="AF181" s="8">
        <v>46170.0</v>
      </c>
      <c r="AG181" s="9">
        <v>0.375</v>
      </c>
      <c r="AH181" s="9">
        <v>0.9166666666666666</v>
      </c>
      <c r="AI181" s="4" t="s">
        <v>49</v>
      </c>
      <c r="AJ181" s="5" t="s">
        <v>52</v>
      </c>
      <c r="AK181" s="12"/>
      <c r="AL181" s="12"/>
      <c r="AM181" s="12"/>
      <c r="AN181" s="12"/>
      <c r="AO181" s="12"/>
      <c r="AP181" s="12"/>
      <c r="AQ181" s="12"/>
    </row>
    <row r="182">
      <c r="A182" s="4" t="s">
        <v>1083</v>
      </c>
      <c r="B182" s="5">
        <v>1.1398423E7</v>
      </c>
      <c r="C182" s="5" t="s">
        <v>37</v>
      </c>
      <c r="D182" s="4" t="s">
        <v>1084</v>
      </c>
      <c r="E182" s="5" t="s">
        <v>39</v>
      </c>
      <c r="F182" s="4" t="s">
        <v>1085</v>
      </c>
      <c r="G182" s="6">
        <v>6.28218E17</v>
      </c>
      <c r="H182" s="4" t="s">
        <v>1086</v>
      </c>
      <c r="I182" s="5" t="s">
        <v>42</v>
      </c>
      <c r="J182" s="5" t="s">
        <v>43</v>
      </c>
      <c r="K182" s="5">
        <v>8.7733785699E10</v>
      </c>
      <c r="L182" s="4" t="s">
        <v>44</v>
      </c>
      <c r="M182" s="5" t="s">
        <v>42</v>
      </c>
      <c r="N182" s="4" t="s">
        <v>45</v>
      </c>
      <c r="O182" s="4" t="s">
        <v>46</v>
      </c>
      <c r="P182" s="4" t="s">
        <v>187</v>
      </c>
      <c r="Q182" s="4">
        <v>16451.0</v>
      </c>
      <c r="R182" s="4" t="s">
        <v>1087</v>
      </c>
      <c r="S182" s="8">
        <v>46170.0</v>
      </c>
      <c r="T182" s="9">
        <v>0.375</v>
      </c>
      <c r="U182" s="9">
        <v>0.9166666666666666</v>
      </c>
      <c r="V182" s="4" t="s">
        <v>49</v>
      </c>
      <c r="W182" s="5">
        <v>1.0</v>
      </c>
      <c r="X182" s="5" t="b">
        <v>1</v>
      </c>
      <c r="Y182" s="5" t="s">
        <v>189</v>
      </c>
      <c r="Z182" s="5" t="b">
        <v>0</v>
      </c>
      <c r="AA182" s="10"/>
      <c r="AB182" s="4">
        <v>1.0</v>
      </c>
      <c r="AC182" s="11" t="s">
        <v>1088</v>
      </c>
      <c r="AD182" s="5">
        <v>0.0</v>
      </c>
      <c r="AE182" s="5">
        <v>1.0</v>
      </c>
      <c r="AF182" s="8">
        <v>46170.0</v>
      </c>
      <c r="AG182" s="9">
        <v>0.375</v>
      </c>
      <c r="AH182" s="9">
        <v>0.9166666666666666</v>
      </c>
      <c r="AI182" s="4" t="s">
        <v>49</v>
      </c>
      <c r="AJ182" s="5" t="s">
        <v>52</v>
      </c>
      <c r="AK182" s="12"/>
      <c r="AL182" s="12"/>
      <c r="AM182" s="12"/>
      <c r="AN182" s="12"/>
      <c r="AO182" s="12"/>
      <c r="AP182" s="12"/>
      <c r="AQ182" s="12"/>
    </row>
    <row r="183">
      <c r="A183" s="4" t="s">
        <v>1089</v>
      </c>
      <c r="B183" s="5">
        <v>1.1398423E7</v>
      </c>
      <c r="C183" s="5" t="s">
        <v>37</v>
      </c>
      <c r="D183" s="4" t="s">
        <v>1090</v>
      </c>
      <c r="E183" s="5" t="s">
        <v>39</v>
      </c>
      <c r="F183" s="4" t="s">
        <v>492</v>
      </c>
      <c r="G183" s="6">
        <v>6.28139E17</v>
      </c>
      <c r="H183" s="4" t="s">
        <v>493</v>
      </c>
      <c r="I183" s="5" t="s">
        <v>42</v>
      </c>
      <c r="J183" s="5" t="s">
        <v>43</v>
      </c>
      <c r="K183" s="5">
        <v>8.7733785699E10</v>
      </c>
      <c r="L183" s="4" t="s">
        <v>44</v>
      </c>
      <c r="M183" s="5" t="s">
        <v>42</v>
      </c>
      <c r="N183" s="4" t="s">
        <v>45</v>
      </c>
      <c r="O183" s="4" t="s">
        <v>46</v>
      </c>
      <c r="P183" s="4" t="s">
        <v>187</v>
      </c>
      <c r="Q183" s="4">
        <v>16451.0</v>
      </c>
      <c r="R183" s="4" t="s">
        <v>1091</v>
      </c>
      <c r="S183" s="8">
        <v>46170.0</v>
      </c>
      <c r="T183" s="9">
        <v>0.375</v>
      </c>
      <c r="U183" s="9">
        <v>0.9166666666666666</v>
      </c>
      <c r="V183" s="4" t="s">
        <v>49</v>
      </c>
      <c r="W183" s="5">
        <v>1.0</v>
      </c>
      <c r="X183" s="5" t="b">
        <v>1</v>
      </c>
      <c r="Y183" s="5" t="s">
        <v>189</v>
      </c>
      <c r="Z183" s="5" t="b">
        <v>0</v>
      </c>
      <c r="AA183" s="10"/>
      <c r="AB183" s="4">
        <v>1.0</v>
      </c>
      <c r="AC183" s="11" t="s">
        <v>1092</v>
      </c>
      <c r="AD183" s="5">
        <v>0.0</v>
      </c>
      <c r="AE183" s="5">
        <v>1.0</v>
      </c>
      <c r="AF183" s="8">
        <v>46170.0</v>
      </c>
      <c r="AG183" s="9">
        <v>0.375</v>
      </c>
      <c r="AH183" s="9">
        <v>0.9166666666666666</v>
      </c>
      <c r="AI183" s="4" t="s">
        <v>49</v>
      </c>
      <c r="AJ183" s="5" t="s">
        <v>52</v>
      </c>
      <c r="AK183" s="12"/>
      <c r="AL183" s="12"/>
      <c r="AM183" s="12"/>
      <c r="AN183" s="12"/>
      <c r="AO183" s="12"/>
      <c r="AP183" s="12"/>
      <c r="AQ183" s="12"/>
    </row>
    <row r="184">
      <c r="A184" s="4" t="s">
        <v>1093</v>
      </c>
      <c r="B184" s="5">
        <v>1.1398423E7</v>
      </c>
      <c r="C184" s="5" t="s">
        <v>37</v>
      </c>
      <c r="D184" s="4" t="s">
        <v>1094</v>
      </c>
      <c r="E184" s="5" t="s">
        <v>39</v>
      </c>
      <c r="F184" s="4" t="s">
        <v>860</v>
      </c>
      <c r="G184" s="6">
        <v>6.28198E16</v>
      </c>
      <c r="H184" s="4" t="s">
        <v>861</v>
      </c>
      <c r="I184" s="5" t="s">
        <v>42</v>
      </c>
      <c r="J184" s="5" t="s">
        <v>43</v>
      </c>
      <c r="K184" s="5">
        <v>8.7733785699E10</v>
      </c>
      <c r="L184" s="4" t="s">
        <v>44</v>
      </c>
      <c r="M184" s="5" t="s">
        <v>42</v>
      </c>
      <c r="N184" s="4" t="s">
        <v>45</v>
      </c>
      <c r="O184" s="4" t="s">
        <v>46</v>
      </c>
      <c r="P184" s="4" t="s">
        <v>187</v>
      </c>
      <c r="Q184" s="4">
        <v>16451.0</v>
      </c>
      <c r="R184" s="4" t="s">
        <v>1095</v>
      </c>
      <c r="S184" s="8">
        <v>46170.0</v>
      </c>
      <c r="T184" s="9">
        <v>0.375</v>
      </c>
      <c r="U184" s="9">
        <v>0.9166666666666666</v>
      </c>
      <c r="V184" s="4" t="s">
        <v>49</v>
      </c>
      <c r="W184" s="5">
        <v>1.0</v>
      </c>
      <c r="X184" s="5" t="b">
        <v>1</v>
      </c>
      <c r="Y184" s="5" t="s">
        <v>189</v>
      </c>
      <c r="Z184" s="5" t="b">
        <v>0</v>
      </c>
      <c r="AA184" s="10"/>
      <c r="AB184" s="4">
        <v>1.0</v>
      </c>
      <c r="AC184" s="11" t="s">
        <v>1096</v>
      </c>
      <c r="AD184" s="5">
        <v>0.0</v>
      </c>
      <c r="AE184" s="5">
        <v>1.0</v>
      </c>
      <c r="AF184" s="8">
        <v>46170.0</v>
      </c>
      <c r="AG184" s="9">
        <v>0.375</v>
      </c>
      <c r="AH184" s="9">
        <v>0.9166666666666666</v>
      </c>
      <c r="AI184" s="4" t="s">
        <v>49</v>
      </c>
      <c r="AJ184" s="5" t="s">
        <v>52</v>
      </c>
      <c r="AK184" s="12"/>
      <c r="AL184" s="12"/>
      <c r="AM184" s="12"/>
      <c r="AN184" s="12"/>
      <c r="AO184" s="12"/>
      <c r="AP184" s="12"/>
      <c r="AQ184" s="12"/>
    </row>
    <row r="185">
      <c r="A185" s="4" t="s">
        <v>1097</v>
      </c>
      <c r="B185" s="5">
        <v>1.1398423E7</v>
      </c>
      <c r="C185" s="5" t="s">
        <v>37</v>
      </c>
      <c r="D185" s="4" t="s">
        <v>1098</v>
      </c>
      <c r="E185" s="5" t="s">
        <v>39</v>
      </c>
      <c r="F185" s="4" t="s">
        <v>1099</v>
      </c>
      <c r="G185" s="6">
        <v>6.28956E18</v>
      </c>
      <c r="H185" s="4" t="s">
        <v>1100</v>
      </c>
      <c r="I185" s="5" t="s">
        <v>42</v>
      </c>
      <c r="J185" s="5" t="s">
        <v>43</v>
      </c>
      <c r="K185" s="5">
        <v>8.7733785699E10</v>
      </c>
      <c r="L185" s="4" t="s">
        <v>44</v>
      </c>
      <c r="M185" s="5" t="s">
        <v>42</v>
      </c>
      <c r="N185" s="4" t="s">
        <v>45</v>
      </c>
      <c r="O185" s="4" t="s">
        <v>46</v>
      </c>
      <c r="P185" s="4" t="s">
        <v>187</v>
      </c>
      <c r="Q185" s="4">
        <v>16451.0</v>
      </c>
      <c r="R185" s="4" t="s">
        <v>1101</v>
      </c>
      <c r="S185" s="8">
        <v>46170.0</v>
      </c>
      <c r="T185" s="9">
        <v>0.375</v>
      </c>
      <c r="U185" s="9">
        <v>0.9166666666666666</v>
      </c>
      <c r="V185" s="4" t="s">
        <v>49</v>
      </c>
      <c r="W185" s="5">
        <v>1.0</v>
      </c>
      <c r="X185" s="5" t="b">
        <v>1</v>
      </c>
      <c r="Y185" s="5" t="s">
        <v>189</v>
      </c>
      <c r="Z185" s="5" t="b">
        <v>0</v>
      </c>
      <c r="AA185" s="10"/>
      <c r="AB185" s="4">
        <v>1.0</v>
      </c>
      <c r="AC185" s="11" t="s">
        <v>1102</v>
      </c>
      <c r="AD185" s="5">
        <v>0.0</v>
      </c>
      <c r="AE185" s="5">
        <v>1.0</v>
      </c>
      <c r="AF185" s="8">
        <v>46170.0</v>
      </c>
      <c r="AG185" s="9">
        <v>0.375</v>
      </c>
      <c r="AH185" s="9">
        <v>0.9166666666666666</v>
      </c>
      <c r="AI185" s="4" t="s">
        <v>49</v>
      </c>
      <c r="AJ185" s="5" t="s">
        <v>52</v>
      </c>
      <c r="AK185" s="12"/>
      <c r="AL185" s="12"/>
      <c r="AM185" s="12"/>
      <c r="AN185" s="12"/>
      <c r="AO185" s="12"/>
      <c r="AP185" s="12"/>
      <c r="AQ185" s="12"/>
    </row>
    <row r="186">
      <c r="A186" s="4" t="s">
        <v>1103</v>
      </c>
      <c r="B186" s="5">
        <v>1.1398423E7</v>
      </c>
      <c r="C186" s="5" t="s">
        <v>37</v>
      </c>
      <c r="D186" s="4" t="s">
        <v>1104</v>
      </c>
      <c r="E186" s="5" t="s">
        <v>39</v>
      </c>
      <c r="F186" s="4" t="s">
        <v>1105</v>
      </c>
      <c r="G186" s="6">
        <v>6.2859E16</v>
      </c>
      <c r="H186" s="4" t="s">
        <v>1106</v>
      </c>
      <c r="I186" s="5" t="s">
        <v>42</v>
      </c>
      <c r="J186" s="5" t="s">
        <v>43</v>
      </c>
      <c r="K186" s="5">
        <v>8.7733785699E10</v>
      </c>
      <c r="L186" s="4" t="s">
        <v>44</v>
      </c>
      <c r="M186" s="5" t="s">
        <v>42</v>
      </c>
      <c r="N186" s="4" t="s">
        <v>45</v>
      </c>
      <c r="O186" s="4" t="s">
        <v>46</v>
      </c>
      <c r="P186" s="4" t="s">
        <v>187</v>
      </c>
      <c r="Q186" s="4">
        <v>16451.0</v>
      </c>
      <c r="R186" s="4" t="s">
        <v>1107</v>
      </c>
      <c r="S186" s="8">
        <v>46170.0</v>
      </c>
      <c r="T186" s="9">
        <v>0.375</v>
      </c>
      <c r="U186" s="9">
        <v>0.9166666666666666</v>
      </c>
      <c r="V186" s="4" t="s">
        <v>49</v>
      </c>
      <c r="W186" s="5">
        <v>1.0</v>
      </c>
      <c r="X186" s="5" t="b">
        <v>1</v>
      </c>
      <c r="Y186" s="5" t="s">
        <v>189</v>
      </c>
      <c r="Z186" s="5" t="b">
        <v>0</v>
      </c>
      <c r="AA186" s="10"/>
      <c r="AB186" s="4">
        <v>1.0</v>
      </c>
      <c r="AC186" s="11" t="s">
        <v>1108</v>
      </c>
      <c r="AD186" s="5">
        <v>0.0</v>
      </c>
      <c r="AE186" s="5">
        <v>1.0</v>
      </c>
      <c r="AF186" s="8">
        <v>46170.0</v>
      </c>
      <c r="AG186" s="9">
        <v>0.375</v>
      </c>
      <c r="AH186" s="9">
        <v>0.9166666666666666</v>
      </c>
      <c r="AI186" s="4" t="s">
        <v>49</v>
      </c>
      <c r="AJ186" s="5" t="s">
        <v>52</v>
      </c>
      <c r="AK186" s="12"/>
      <c r="AL186" s="12"/>
      <c r="AM186" s="12"/>
      <c r="AN186" s="12"/>
      <c r="AO186" s="12"/>
      <c r="AP186" s="12"/>
      <c r="AQ186" s="12"/>
    </row>
    <row r="187">
      <c r="A187" s="4" t="s">
        <v>1109</v>
      </c>
      <c r="B187" s="5">
        <v>1.1398423E7</v>
      </c>
      <c r="C187" s="5" t="s">
        <v>37</v>
      </c>
      <c r="D187" s="4" t="s">
        <v>1110</v>
      </c>
      <c r="E187" s="5" t="s">
        <v>39</v>
      </c>
      <c r="F187" s="4" t="s">
        <v>1111</v>
      </c>
      <c r="G187" s="6">
        <v>6.28829E17</v>
      </c>
      <c r="H187" s="4" t="s">
        <v>1112</v>
      </c>
      <c r="I187" s="5" t="s">
        <v>42</v>
      </c>
      <c r="J187" s="5" t="s">
        <v>43</v>
      </c>
      <c r="K187" s="5">
        <v>8.7733785699E10</v>
      </c>
      <c r="L187" s="4" t="s">
        <v>44</v>
      </c>
      <c r="M187" s="5" t="s">
        <v>42</v>
      </c>
      <c r="N187" s="4" t="s">
        <v>45</v>
      </c>
      <c r="O187" s="4" t="s">
        <v>46</v>
      </c>
      <c r="P187" s="4" t="s">
        <v>187</v>
      </c>
      <c r="Q187" s="4">
        <v>16451.0</v>
      </c>
      <c r="R187" s="4" t="s">
        <v>1113</v>
      </c>
      <c r="S187" s="8">
        <v>46170.0</v>
      </c>
      <c r="T187" s="9">
        <v>0.375</v>
      </c>
      <c r="U187" s="9">
        <v>0.9166666666666666</v>
      </c>
      <c r="V187" s="4" t="s">
        <v>49</v>
      </c>
      <c r="W187" s="5">
        <v>1.0</v>
      </c>
      <c r="X187" s="5" t="b">
        <v>1</v>
      </c>
      <c r="Y187" s="5" t="s">
        <v>189</v>
      </c>
      <c r="Z187" s="5" t="b">
        <v>0</v>
      </c>
      <c r="AA187" s="10"/>
      <c r="AB187" s="4">
        <v>1.0</v>
      </c>
      <c r="AC187" s="11" t="s">
        <v>1114</v>
      </c>
      <c r="AD187" s="5">
        <v>0.0</v>
      </c>
      <c r="AE187" s="5">
        <v>1.0</v>
      </c>
      <c r="AF187" s="8">
        <v>46170.0</v>
      </c>
      <c r="AG187" s="9">
        <v>0.375</v>
      </c>
      <c r="AH187" s="9">
        <v>0.9166666666666666</v>
      </c>
      <c r="AI187" s="4" t="s">
        <v>49</v>
      </c>
      <c r="AJ187" s="5" t="s">
        <v>52</v>
      </c>
      <c r="AK187" s="12"/>
      <c r="AL187" s="12"/>
      <c r="AM187" s="12"/>
      <c r="AN187" s="12"/>
      <c r="AO187" s="12"/>
      <c r="AP187" s="12"/>
      <c r="AQ187" s="12"/>
    </row>
    <row r="188">
      <c r="A188" s="4" t="s">
        <v>1115</v>
      </c>
      <c r="B188" s="5">
        <v>1.1398423E7</v>
      </c>
      <c r="C188" s="5" t="s">
        <v>37</v>
      </c>
      <c r="D188" s="4" t="s">
        <v>1116</v>
      </c>
      <c r="E188" s="5" t="s">
        <v>39</v>
      </c>
      <c r="F188" s="4" t="s">
        <v>1117</v>
      </c>
      <c r="G188" s="4">
        <v>8.2164247688E10</v>
      </c>
      <c r="H188" s="4" t="s">
        <v>1118</v>
      </c>
      <c r="I188" s="5" t="s">
        <v>42</v>
      </c>
      <c r="J188" s="5" t="s">
        <v>43</v>
      </c>
      <c r="K188" s="5">
        <v>8.7733785699E10</v>
      </c>
      <c r="L188" s="4" t="s">
        <v>44</v>
      </c>
      <c r="M188" s="5" t="s">
        <v>42</v>
      </c>
      <c r="N188" s="4" t="s">
        <v>45</v>
      </c>
      <c r="O188" s="4" t="s">
        <v>46</v>
      </c>
      <c r="P188" s="4" t="s">
        <v>187</v>
      </c>
      <c r="Q188" s="4">
        <v>16451.0</v>
      </c>
      <c r="R188" s="4" t="s">
        <v>1119</v>
      </c>
      <c r="S188" s="8">
        <v>46170.0</v>
      </c>
      <c r="T188" s="9">
        <v>0.375</v>
      </c>
      <c r="U188" s="9">
        <v>0.9166666666666666</v>
      </c>
      <c r="V188" s="4" t="s">
        <v>49</v>
      </c>
      <c r="W188" s="5">
        <v>1.0</v>
      </c>
      <c r="X188" s="5" t="b">
        <v>1</v>
      </c>
      <c r="Y188" s="5" t="s">
        <v>189</v>
      </c>
      <c r="Z188" s="5" t="b">
        <v>0</v>
      </c>
      <c r="AA188" s="10"/>
      <c r="AB188" s="4">
        <v>1.0</v>
      </c>
      <c r="AC188" s="11" t="s">
        <v>1120</v>
      </c>
      <c r="AD188" s="5">
        <v>0.0</v>
      </c>
      <c r="AE188" s="5">
        <v>1.0</v>
      </c>
      <c r="AF188" s="8">
        <v>46170.0</v>
      </c>
      <c r="AG188" s="9">
        <v>0.375</v>
      </c>
      <c r="AH188" s="9">
        <v>0.9166666666666666</v>
      </c>
      <c r="AI188" s="4" t="s">
        <v>49</v>
      </c>
      <c r="AJ188" s="5" t="s">
        <v>52</v>
      </c>
      <c r="AK188" s="12"/>
      <c r="AL188" s="12"/>
      <c r="AM188" s="12"/>
      <c r="AN188" s="12"/>
      <c r="AO188" s="12"/>
      <c r="AP188" s="12"/>
      <c r="AQ188" s="12"/>
    </row>
    <row r="189">
      <c r="A189" s="4" t="s">
        <v>1121</v>
      </c>
      <c r="B189" s="5">
        <v>1.1398423E7</v>
      </c>
      <c r="C189" s="5" t="s">
        <v>37</v>
      </c>
      <c r="D189" s="4" t="s">
        <v>1122</v>
      </c>
      <c r="E189" s="5" t="s">
        <v>39</v>
      </c>
      <c r="F189" s="4" t="s">
        <v>1123</v>
      </c>
      <c r="G189" s="6">
        <v>6.28518E17</v>
      </c>
      <c r="H189" s="4" t="s">
        <v>1124</v>
      </c>
      <c r="I189" s="5" t="s">
        <v>42</v>
      </c>
      <c r="J189" s="5" t="s">
        <v>43</v>
      </c>
      <c r="K189" s="5">
        <v>8.7733785699E10</v>
      </c>
      <c r="L189" s="4" t="s">
        <v>44</v>
      </c>
      <c r="M189" s="5" t="s">
        <v>42</v>
      </c>
      <c r="N189" s="4" t="s">
        <v>45</v>
      </c>
      <c r="O189" s="4" t="s">
        <v>46</v>
      </c>
      <c r="P189" s="4" t="s">
        <v>187</v>
      </c>
      <c r="Q189" s="4">
        <v>16451.0</v>
      </c>
      <c r="R189" s="4" t="s">
        <v>1125</v>
      </c>
      <c r="S189" s="8">
        <v>46170.0</v>
      </c>
      <c r="T189" s="9">
        <v>0.375</v>
      </c>
      <c r="U189" s="9">
        <v>0.9166666666666666</v>
      </c>
      <c r="V189" s="4" t="s">
        <v>49</v>
      </c>
      <c r="W189" s="5">
        <v>1.0</v>
      </c>
      <c r="X189" s="5" t="b">
        <v>1</v>
      </c>
      <c r="Y189" s="5" t="s">
        <v>189</v>
      </c>
      <c r="Z189" s="5" t="b">
        <v>0</v>
      </c>
      <c r="AA189" s="10"/>
      <c r="AB189" s="4">
        <v>1.0</v>
      </c>
      <c r="AC189" s="11" t="s">
        <v>1126</v>
      </c>
      <c r="AD189" s="5">
        <v>0.0</v>
      </c>
      <c r="AE189" s="5">
        <v>1.0</v>
      </c>
      <c r="AF189" s="8">
        <v>46170.0</v>
      </c>
      <c r="AG189" s="9">
        <v>0.375</v>
      </c>
      <c r="AH189" s="9">
        <v>0.9166666666666666</v>
      </c>
      <c r="AI189" s="4" t="s">
        <v>49</v>
      </c>
      <c r="AJ189" s="5" t="s">
        <v>52</v>
      </c>
      <c r="AK189" s="12"/>
      <c r="AL189" s="12"/>
      <c r="AM189" s="12"/>
      <c r="AN189" s="12"/>
      <c r="AO189" s="12"/>
      <c r="AP189" s="12"/>
      <c r="AQ189" s="12"/>
    </row>
    <row r="190">
      <c r="A190" s="4" t="s">
        <v>1127</v>
      </c>
      <c r="B190" s="5">
        <v>1.1398423E7</v>
      </c>
      <c r="C190" s="5" t="s">
        <v>37</v>
      </c>
      <c r="D190" s="4" t="s">
        <v>1128</v>
      </c>
      <c r="E190" s="5" t="s">
        <v>39</v>
      </c>
      <c r="F190" s="4" t="s">
        <v>1129</v>
      </c>
      <c r="G190" s="6">
        <v>6.28132E17</v>
      </c>
      <c r="H190" s="4" t="s">
        <v>1130</v>
      </c>
      <c r="I190" s="5" t="s">
        <v>42</v>
      </c>
      <c r="J190" s="5" t="s">
        <v>43</v>
      </c>
      <c r="K190" s="5">
        <v>8.7733785699E10</v>
      </c>
      <c r="L190" s="4" t="s">
        <v>44</v>
      </c>
      <c r="M190" s="5" t="s">
        <v>42</v>
      </c>
      <c r="N190" s="4" t="s">
        <v>45</v>
      </c>
      <c r="O190" s="4" t="s">
        <v>46</v>
      </c>
      <c r="P190" s="4" t="s">
        <v>187</v>
      </c>
      <c r="Q190" s="4">
        <v>16451.0</v>
      </c>
      <c r="R190" s="4" t="s">
        <v>1131</v>
      </c>
      <c r="S190" s="8">
        <v>46170.0</v>
      </c>
      <c r="T190" s="9">
        <v>0.375</v>
      </c>
      <c r="U190" s="9">
        <v>0.9166666666666666</v>
      </c>
      <c r="V190" s="4" t="s">
        <v>49</v>
      </c>
      <c r="W190" s="5">
        <v>1.0</v>
      </c>
      <c r="X190" s="5" t="b">
        <v>1</v>
      </c>
      <c r="Y190" s="5" t="s">
        <v>189</v>
      </c>
      <c r="Z190" s="5" t="b">
        <v>0</v>
      </c>
      <c r="AA190" s="10"/>
      <c r="AB190" s="4">
        <v>1.0</v>
      </c>
      <c r="AC190" s="11" t="s">
        <v>1132</v>
      </c>
      <c r="AD190" s="5">
        <v>0.0</v>
      </c>
      <c r="AE190" s="5">
        <v>1.0</v>
      </c>
      <c r="AF190" s="8">
        <v>46170.0</v>
      </c>
      <c r="AG190" s="9">
        <v>0.375</v>
      </c>
      <c r="AH190" s="9">
        <v>0.9166666666666666</v>
      </c>
      <c r="AI190" s="4" t="s">
        <v>49</v>
      </c>
      <c r="AJ190" s="5" t="s">
        <v>52</v>
      </c>
      <c r="AK190" s="12"/>
      <c r="AL190" s="12"/>
      <c r="AM190" s="12"/>
      <c r="AN190" s="12"/>
      <c r="AO190" s="12"/>
      <c r="AP190" s="12"/>
      <c r="AQ190" s="12"/>
    </row>
    <row r="191">
      <c r="A191" s="5" t="s">
        <v>1133</v>
      </c>
      <c r="B191" s="5">
        <v>1.1398423E7</v>
      </c>
      <c r="C191" s="5" t="s">
        <v>37</v>
      </c>
      <c r="D191" s="5" t="s">
        <v>1134</v>
      </c>
      <c r="E191" s="5" t="s">
        <v>39</v>
      </c>
      <c r="F191" s="5" t="s">
        <v>1135</v>
      </c>
      <c r="G191" s="15">
        <v>6.28213E17</v>
      </c>
      <c r="H191" s="5" t="s">
        <v>1136</v>
      </c>
      <c r="I191" s="5" t="s">
        <v>42</v>
      </c>
      <c r="J191" s="5" t="s">
        <v>43</v>
      </c>
      <c r="K191" s="5">
        <v>8.7733785699E10</v>
      </c>
      <c r="L191" s="4" t="s">
        <v>44</v>
      </c>
      <c r="M191" s="5" t="s">
        <v>42</v>
      </c>
      <c r="N191" s="4" t="s">
        <v>45</v>
      </c>
      <c r="O191" s="4" t="s">
        <v>46</v>
      </c>
      <c r="P191" s="4" t="s">
        <v>47</v>
      </c>
      <c r="Q191" s="4">
        <v>16451.0</v>
      </c>
      <c r="R191" s="5" t="s">
        <v>1137</v>
      </c>
      <c r="S191" s="8">
        <v>46170.0</v>
      </c>
      <c r="T191" s="9">
        <v>0.375</v>
      </c>
      <c r="U191" s="9">
        <v>0.9166666666666666</v>
      </c>
      <c r="V191" s="4" t="s">
        <v>49</v>
      </c>
      <c r="W191" s="5">
        <v>1.0</v>
      </c>
      <c r="X191" s="5" t="b">
        <v>1</v>
      </c>
      <c r="Y191" s="5" t="s">
        <v>50</v>
      </c>
      <c r="Z191" s="5" t="b">
        <v>0</v>
      </c>
      <c r="AA191" s="10"/>
      <c r="AB191" s="4">
        <v>1.0</v>
      </c>
      <c r="AC191" s="11" t="s">
        <v>1138</v>
      </c>
      <c r="AD191" s="5">
        <v>0.0</v>
      </c>
      <c r="AE191" s="5">
        <v>1.0</v>
      </c>
      <c r="AF191" s="8">
        <v>46170.0</v>
      </c>
      <c r="AG191" s="9">
        <v>0.375</v>
      </c>
      <c r="AH191" s="9">
        <v>0.9166666666666666</v>
      </c>
      <c r="AI191" s="4" t="s">
        <v>49</v>
      </c>
      <c r="AJ191" s="5" t="s">
        <v>52</v>
      </c>
      <c r="AK191" s="12"/>
      <c r="AL191" s="12"/>
      <c r="AM191" s="12"/>
      <c r="AN191" s="12"/>
      <c r="AO191" s="12"/>
      <c r="AP191" s="12"/>
      <c r="AQ191" s="12"/>
    </row>
    <row r="192">
      <c r="A192" s="5" t="s">
        <v>1139</v>
      </c>
      <c r="B192" s="5">
        <v>1.1398423E7</v>
      </c>
      <c r="C192" s="5" t="s">
        <v>37</v>
      </c>
      <c r="D192" s="5" t="s">
        <v>1140</v>
      </c>
      <c r="E192" s="5" t="s">
        <v>39</v>
      </c>
      <c r="F192" s="5" t="s">
        <v>618</v>
      </c>
      <c r="G192" s="5">
        <v>8.131030458E10</v>
      </c>
      <c r="H192" s="5" t="s">
        <v>619</v>
      </c>
      <c r="I192" s="5" t="s">
        <v>42</v>
      </c>
      <c r="J192" s="5" t="s">
        <v>43</v>
      </c>
      <c r="K192" s="5">
        <v>8.7733785699E10</v>
      </c>
      <c r="L192" s="4" t="s">
        <v>44</v>
      </c>
      <c r="M192" s="5" t="s">
        <v>42</v>
      </c>
      <c r="N192" s="4" t="s">
        <v>45</v>
      </c>
      <c r="O192" s="4" t="s">
        <v>46</v>
      </c>
      <c r="P192" s="4" t="s">
        <v>47</v>
      </c>
      <c r="Q192" s="4">
        <v>16451.0</v>
      </c>
      <c r="R192" s="5" t="s">
        <v>1141</v>
      </c>
      <c r="S192" s="8">
        <v>46170.0</v>
      </c>
      <c r="T192" s="9">
        <v>0.375</v>
      </c>
      <c r="U192" s="9">
        <v>0.9166666666666666</v>
      </c>
      <c r="V192" s="4" t="s">
        <v>49</v>
      </c>
      <c r="W192" s="5">
        <v>1.0</v>
      </c>
      <c r="X192" s="5" t="b">
        <v>1</v>
      </c>
      <c r="Y192" s="5" t="s">
        <v>50</v>
      </c>
      <c r="Z192" s="5" t="b">
        <v>0</v>
      </c>
      <c r="AA192" s="10"/>
      <c r="AB192" s="4">
        <v>1.0</v>
      </c>
      <c r="AC192" s="11" t="s">
        <v>1142</v>
      </c>
      <c r="AD192" s="5">
        <v>0.0</v>
      </c>
      <c r="AE192" s="5">
        <v>1.0</v>
      </c>
      <c r="AF192" s="8">
        <v>46170.0</v>
      </c>
      <c r="AG192" s="9">
        <v>0.375</v>
      </c>
      <c r="AH192" s="9">
        <v>0.9166666666666666</v>
      </c>
      <c r="AI192" s="4" t="s">
        <v>49</v>
      </c>
      <c r="AJ192" s="5" t="s">
        <v>52</v>
      </c>
      <c r="AK192" s="12"/>
      <c r="AL192" s="12"/>
      <c r="AM192" s="12"/>
      <c r="AN192" s="12"/>
      <c r="AO192" s="12"/>
      <c r="AP192" s="12"/>
      <c r="AQ192" s="12"/>
    </row>
    <row r="193">
      <c r="A193" s="5" t="s">
        <v>1143</v>
      </c>
      <c r="B193" s="5">
        <v>1.1398423E7</v>
      </c>
      <c r="C193" s="5" t="s">
        <v>37</v>
      </c>
      <c r="D193" s="5" t="s">
        <v>1144</v>
      </c>
      <c r="E193" s="5" t="s">
        <v>39</v>
      </c>
      <c r="F193" s="5" t="s">
        <v>1145</v>
      </c>
      <c r="G193" s="5">
        <v>8.2217371661E10</v>
      </c>
      <c r="H193" s="5" t="s">
        <v>1146</v>
      </c>
      <c r="I193" s="5" t="s">
        <v>42</v>
      </c>
      <c r="J193" s="5" t="s">
        <v>43</v>
      </c>
      <c r="K193" s="5">
        <v>8.7733785699E10</v>
      </c>
      <c r="L193" s="4" t="s">
        <v>44</v>
      </c>
      <c r="M193" s="5" t="s">
        <v>42</v>
      </c>
      <c r="N193" s="4" t="s">
        <v>45</v>
      </c>
      <c r="O193" s="4" t="s">
        <v>46</v>
      </c>
      <c r="P193" s="4" t="s">
        <v>47</v>
      </c>
      <c r="Q193" s="4">
        <v>16451.0</v>
      </c>
      <c r="R193" s="5" t="s">
        <v>1147</v>
      </c>
      <c r="S193" s="8">
        <v>46170.0</v>
      </c>
      <c r="T193" s="9">
        <v>0.375</v>
      </c>
      <c r="U193" s="9">
        <v>0.9166666666666666</v>
      </c>
      <c r="V193" s="4" t="s">
        <v>49</v>
      </c>
      <c r="W193" s="5">
        <v>1.0</v>
      </c>
      <c r="X193" s="5" t="b">
        <v>1</v>
      </c>
      <c r="Y193" s="5" t="s">
        <v>50</v>
      </c>
      <c r="Z193" s="5" t="b">
        <v>0</v>
      </c>
      <c r="AA193" s="10"/>
      <c r="AB193" s="4">
        <v>1.0</v>
      </c>
      <c r="AC193" s="11" t="s">
        <v>1148</v>
      </c>
      <c r="AD193" s="5">
        <v>0.0</v>
      </c>
      <c r="AE193" s="5">
        <v>1.0</v>
      </c>
      <c r="AF193" s="8">
        <v>46170.0</v>
      </c>
      <c r="AG193" s="9">
        <v>0.375</v>
      </c>
      <c r="AH193" s="9">
        <v>0.9166666666666666</v>
      </c>
      <c r="AI193" s="4" t="s">
        <v>49</v>
      </c>
      <c r="AJ193" s="5" t="s">
        <v>52</v>
      </c>
      <c r="AK193" s="12"/>
      <c r="AL193" s="12"/>
      <c r="AM193" s="12"/>
      <c r="AN193" s="12"/>
      <c r="AO193" s="12"/>
      <c r="AP193" s="12"/>
      <c r="AQ193" s="12"/>
    </row>
    <row r="194">
      <c r="A194" s="5" t="s">
        <v>1149</v>
      </c>
      <c r="B194" s="5">
        <v>1.1398423E7</v>
      </c>
      <c r="C194" s="5" t="s">
        <v>37</v>
      </c>
      <c r="D194" s="5" t="s">
        <v>1150</v>
      </c>
      <c r="E194" s="5" t="s">
        <v>39</v>
      </c>
      <c r="F194" s="5" t="s">
        <v>1151</v>
      </c>
      <c r="G194" s="5">
        <v>8.1318305911E10</v>
      </c>
      <c r="H194" s="5" t="s">
        <v>1152</v>
      </c>
      <c r="I194" s="5" t="s">
        <v>42</v>
      </c>
      <c r="J194" s="5" t="s">
        <v>43</v>
      </c>
      <c r="K194" s="5">
        <v>8.7733785699E10</v>
      </c>
      <c r="L194" s="4" t="s">
        <v>44</v>
      </c>
      <c r="M194" s="5" t="s">
        <v>42</v>
      </c>
      <c r="N194" s="4" t="s">
        <v>45</v>
      </c>
      <c r="O194" s="4" t="s">
        <v>46</v>
      </c>
      <c r="P194" s="4" t="s">
        <v>47</v>
      </c>
      <c r="Q194" s="4">
        <v>16451.0</v>
      </c>
      <c r="R194" s="5" t="s">
        <v>1153</v>
      </c>
      <c r="S194" s="8">
        <v>46170.0</v>
      </c>
      <c r="T194" s="9">
        <v>0.375</v>
      </c>
      <c r="U194" s="9">
        <v>0.9166666666666666</v>
      </c>
      <c r="V194" s="4" t="s">
        <v>49</v>
      </c>
      <c r="W194" s="5">
        <v>1.0</v>
      </c>
      <c r="X194" s="5" t="b">
        <v>1</v>
      </c>
      <c r="Y194" s="5" t="s">
        <v>50</v>
      </c>
      <c r="Z194" s="5" t="b">
        <v>0</v>
      </c>
      <c r="AA194" s="10"/>
      <c r="AB194" s="4">
        <v>1.0</v>
      </c>
      <c r="AC194" s="11" t="s">
        <v>1154</v>
      </c>
      <c r="AD194" s="5">
        <v>0.0</v>
      </c>
      <c r="AE194" s="5">
        <v>1.0</v>
      </c>
      <c r="AF194" s="8">
        <v>46170.0</v>
      </c>
      <c r="AG194" s="9">
        <v>0.375</v>
      </c>
      <c r="AH194" s="9">
        <v>0.9166666666666666</v>
      </c>
      <c r="AI194" s="4" t="s">
        <v>49</v>
      </c>
      <c r="AJ194" s="5" t="s">
        <v>52</v>
      </c>
      <c r="AK194" s="12"/>
      <c r="AL194" s="12"/>
      <c r="AM194" s="12"/>
      <c r="AN194" s="12"/>
      <c r="AO194" s="12"/>
      <c r="AP194" s="12"/>
      <c r="AQ194" s="12"/>
    </row>
    <row r="195">
      <c r="A195" s="5" t="s">
        <v>1155</v>
      </c>
      <c r="B195" s="5">
        <v>1.1398423E7</v>
      </c>
      <c r="C195" s="5" t="s">
        <v>37</v>
      </c>
      <c r="D195" s="5" t="s">
        <v>1156</v>
      </c>
      <c r="E195" s="5" t="s">
        <v>39</v>
      </c>
      <c r="F195" s="5" t="s">
        <v>1157</v>
      </c>
      <c r="G195" s="15">
        <v>6.28131E17</v>
      </c>
      <c r="H195" s="5" t="s">
        <v>1158</v>
      </c>
      <c r="I195" s="5" t="s">
        <v>42</v>
      </c>
      <c r="J195" s="5" t="s">
        <v>43</v>
      </c>
      <c r="K195" s="5">
        <v>8.7733785699E10</v>
      </c>
      <c r="L195" s="4" t="s">
        <v>44</v>
      </c>
      <c r="M195" s="5" t="s">
        <v>42</v>
      </c>
      <c r="N195" s="4" t="s">
        <v>45</v>
      </c>
      <c r="O195" s="4" t="s">
        <v>46</v>
      </c>
      <c r="P195" s="4" t="s">
        <v>47</v>
      </c>
      <c r="Q195" s="4">
        <v>16451.0</v>
      </c>
      <c r="R195" s="5" t="s">
        <v>1159</v>
      </c>
      <c r="S195" s="8">
        <v>46170.0</v>
      </c>
      <c r="T195" s="9">
        <v>0.375</v>
      </c>
      <c r="U195" s="9">
        <v>0.9166666666666666</v>
      </c>
      <c r="V195" s="4" t="s">
        <v>49</v>
      </c>
      <c r="W195" s="5">
        <v>1.0</v>
      </c>
      <c r="X195" s="5" t="b">
        <v>1</v>
      </c>
      <c r="Y195" s="5" t="s">
        <v>50</v>
      </c>
      <c r="Z195" s="5" t="b">
        <v>0</v>
      </c>
      <c r="AA195" s="10"/>
      <c r="AB195" s="4">
        <v>1.0</v>
      </c>
      <c r="AC195" s="11" t="s">
        <v>1160</v>
      </c>
      <c r="AD195" s="5">
        <v>0.0</v>
      </c>
      <c r="AE195" s="5">
        <v>1.0</v>
      </c>
      <c r="AF195" s="8">
        <v>46170.0</v>
      </c>
      <c r="AG195" s="9">
        <v>0.375</v>
      </c>
      <c r="AH195" s="9">
        <v>0.9166666666666666</v>
      </c>
      <c r="AI195" s="4" t="s">
        <v>49</v>
      </c>
      <c r="AJ195" s="5" t="s">
        <v>52</v>
      </c>
      <c r="AK195" s="12"/>
      <c r="AL195" s="12"/>
      <c r="AM195" s="12"/>
      <c r="AN195" s="12"/>
      <c r="AO195" s="12"/>
      <c r="AP195" s="12"/>
      <c r="AQ195" s="12"/>
    </row>
    <row r="196">
      <c r="A196" s="5" t="s">
        <v>1161</v>
      </c>
      <c r="B196" s="5">
        <v>1.1398423E7</v>
      </c>
      <c r="C196" s="5" t="s">
        <v>37</v>
      </c>
      <c r="D196" s="5" t="s">
        <v>1084</v>
      </c>
      <c r="E196" s="5" t="s">
        <v>39</v>
      </c>
      <c r="F196" s="5" t="s">
        <v>1085</v>
      </c>
      <c r="G196" s="15">
        <v>6.28218E17</v>
      </c>
      <c r="H196" s="5" t="s">
        <v>1086</v>
      </c>
      <c r="I196" s="5" t="s">
        <v>42</v>
      </c>
      <c r="J196" s="5" t="s">
        <v>43</v>
      </c>
      <c r="K196" s="5">
        <v>8.7733785699E10</v>
      </c>
      <c r="L196" s="4" t="s">
        <v>44</v>
      </c>
      <c r="M196" s="5" t="s">
        <v>42</v>
      </c>
      <c r="N196" s="4" t="s">
        <v>45</v>
      </c>
      <c r="O196" s="4" t="s">
        <v>46</v>
      </c>
      <c r="P196" s="4" t="s">
        <v>47</v>
      </c>
      <c r="Q196" s="4">
        <v>16451.0</v>
      </c>
      <c r="R196" s="5" t="s">
        <v>1087</v>
      </c>
      <c r="S196" s="8">
        <v>46170.0</v>
      </c>
      <c r="T196" s="9">
        <v>0.375</v>
      </c>
      <c r="U196" s="9">
        <v>0.9166666666666666</v>
      </c>
      <c r="V196" s="4" t="s">
        <v>49</v>
      </c>
      <c r="W196" s="5">
        <v>1.0</v>
      </c>
      <c r="X196" s="5" t="b">
        <v>1</v>
      </c>
      <c r="Y196" s="5" t="s">
        <v>50</v>
      </c>
      <c r="Z196" s="5" t="b">
        <v>0</v>
      </c>
      <c r="AA196" s="10"/>
      <c r="AB196" s="4">
        <v>1.0</v>
      </c>
      <c r="AC196" s="11" t="s">
        <v>1162</v>
      </c>
      <c r="AD196" s="5">
        <v>0.0</v>
      </c>
      <c r="AE196" s="5">
        <v>1.0</v>
      </c>
      <c r="AF196" s="8">
        <v>46170.0</v>
      </c>
      <c r="AG196" s="9">
        <v>0.375</v>
      </c>
      <c r="AH196" s="9">
        <v>0.9166666666666666</v>
      </c>
      <c r="AI196" s="4" t="s">
        <v>49</v>
      </c>
      <c r="AJ196" s="5" t="s">
        <v>52</v>
      </c>
      <c r="AK196" s="12"/>
      <c r="AL196" s="12"/>
      <c r="AM196" s="12"/>
      <c r="AN196" s="12"/>
      <c r="AO196" s="12"/>
      <c r="AP196" s="12"/>
      <c r="AQ196" s="12"/>
    </row>
    <row r="197">
      <c r="A197" s="5" t="s">
        <v>1163</v>
      </c>
      <c r="B197" s="5">
        <v>1.1398423E7</v>
      </c>
      <c r="C197" s="5" t="s">
        <v>37</v>
      </c>
      <c r="D197" s="5" t="s">
        <v>1164</v>
      </c>
      <c r="E197" s="5" t="s">
        <v>39</v>
      </c>
      <c r="F197" s="5" t="s">
        <v>1165</v>
      </c>
      <c r="G197" s="5">
        <v>8.5218837464E10</v>
      </c>
      <c r="H197" s="5" t="s">
        <v>1166</v>
      </c>
      <c r="I197" s="5" t="s">
        <v>42</v>
      </c>
      <c r="J197" s="5" t="s">
        <v>43</v>
      </c>
      <c r="K197" s="5">
        <v>8.7733785699E10</v>
      </c>
      <c r="L197" s="4" t="s">
        <v>44</v>
      </c>
      <c r="M197" s="5" t="s">
        <v>42</v>
      </c>
      <c r="N197" s="4" t="s">
        <v>45</v>
      </c>
      <c r="O197" s="4" t="s">
        <v>46</v>
      </c>
      <c r="P197" s="4" t="s">
        <v>47</v>
      </c>
      <c r="Q197" s="4">
        <v>16451.0</v>
      </c>
      <c r="R197" s="5" t="s">
        <v>1167</v>
      </c>
      <c r="S197" s="8">
        <v>46170.0</v>
      </c>
      <c r="T197" s="9">
        <v>0.375</v>
      </c>
      <c r="U197" s="9">
        <v>0.9166666666666666</v>
      </c>
      <c r="V197" s="4" t="s">
        <v>49</v>
      </c>
      <c r="W197" s="5">
        <v>1.0</v>
      </c>
      <c r="X197" s="5" t="b">
        <v>1</v>
      </c>
      <c r="Y197" s="5" t="s">
        <v>50</v>
      </c>
      <c r="Z197" s="5" t="b">
        <v>0</v>
      </c>
      <c r="AA197" s="10"/>
      <c r="AB197" s="4">
        <v>1.0</v>
      </c>
      <c r="AC197" s="11" t="s">
        <v>1168</v>
      </c>
      <c r="AD197" s="5">
        <v>0.0</v>
      </c>
      <c r="AE197" s="5">
        <v>1.0</v>
      </c>
      <c r="AF197" s="8">
        <v>46170.0</v>
      </c>
      <c r="AG197" s="9">
        <v>0.375</v>
      </c>
      <c r="AH197" s="9">
        <v>0.9166666666666666</v>
      </c>
      <c r="AI197" s="4" t="s">
        <v>49</v>
      </c>
      <c r="AJ197" s="5" t="s">
        <v>52</v>
      </c>
      <c r="AK197" s="12"/>
      <c r="AL197" s="12"/>
      <c r="AM197" s="12"/>
      <c r="AN197" s="12"/>
      <c r="AO197" s="12"/>
      <c r="AP197" s="12"/>
      <c r="AQ197" s="12"/>
    </row>
    <row r="198">
      <c r="A198" s="5" t="s">
        <v>1169</v>
      </c>
      <c r="B198" s="5">
        <v>1.1398423E7</v>
      </c>
      <c r="C198" s="5" t="s">
        <v>37</v>
      </c>
      <c r="D198" s="5" t="s">
        <v>1170</v>
      </c>
      <c r="E198" s="5" t="s">
        <v>39</v>
      </c>
      <c r="F198" s="5" t="s">
        <v>1171</v>
      </c>
      <c r="G198" s="15">
        <v>6.28127E17</v>
      </c>
      <c r="H198" s="5" t="s">
        <v>1172</v>
      </c>
      <c r="I198" s="5" t="s">
        <v>42</v>
      </c>
      <c r="J198" s="5" t="s">
        <v>43</v>
      </c>
      <c r="K198" s="5">
        <v>8.7733785699E10</v>
      </c>
      <c r="L198" s="4" t="s">
        <v>44</v>
      </c>
      <c r="M198" s="5" t="s">
        <v>42</v>
      </c>
      <c r="N198" s="4" t="s">
        <v>45</v>
      </c>
      <c r="O198" s="4" t="s">
        <v>46</v>
      </c>
      <c r="P198" s="4" t="s">
        <v>47</v>
      </c>
      <c r="Q198" s="4">
        <v>16451.0</v>
      </c>
      <c r="R198" s="5" t="s">
        <v>1173</v>
      </c>
      <c r="S198" s="8">
        <v>46170.0</v>
      </c>
      <c r="T198" s="9">
        <v>0.375</v>
      </c>
      <c r="U198" s="9">
        <v>0.9166666666666666</v>
      </c>
      <c r="V198" s="4" t="s">
        <v>49</v>
      </c>
      <c r="W198" s="5">
        <v>1.0</v>
      </c>
      <c r="X198" s="5" t="b">
        <v>1</v>
      </c>
      <c r="Y198" s="5" t="s">
        <v>50</v>
      </c>
      <c r="Z198" s="5" t="b">
        <v>0</v>
      </c>
      <c r="AA198" s="10"/>
      <c r="AB198" s="4">
        <v>1.0</v>
      </c>
      <c r="AC198" s="11" t="s">
        <v>1174</v>
      </c>
      <c r="AD198" s="5">
        <v>0.0</v>
      </c>
      <c r="AE198" s="5">
        <v>1.0</v>
      </c>
      <c r="AF198" s="8">
        <v>46170.0</v>
      </c>
      <c r="AG198" s="9">
        <v>0.375</v>
      </c>
      <c r="AH198" s="9">
        <v>0.9166666666666666</v>
      </c>
      <c r="AI198" s="4" t="s">
        <v>49</v>
      </c>
      <c r="AJ198" s="5" t="s">
        <v>52</v>
      </c>
      <c r="AK198" s="12"/>
      <c r="AL198" s="12"/>
      <c r="AM198" s="12"/>
      <c r="AN198" s="12"/>
      <c r="AO198" s="12"/>
      <c r="AP198" s="12"/>
      <c r="AQ198" s="12"/>
    </row>
    <row r="199">
      <c r="A199" s="5" t="s">
        <v>1175</v>
      </c>
      <c r="B199" s="5">
        <v>1.1398423E7</v>
      </c>
      <c r="C199" s="5" t="s">
        <v>37</v>
      </c>
      <c r="D199" s="5" t="s">
        <v>1176</v>
      </c>
      <c r="E199" s="5" t="s">
        <v>39</v>
      </c>
      <c r="F199" s="5" t="s">
        <v>1177</v>
      </c>
      <c r="G199" s="15">
        <v>6.28231E17</v>
      </c>
      <c r="H199" s="5" t="s">
        <v>1178</v>
      </c>
      <c r="I199" s="5" t="s">
        <v>42</v>
      </c>
      <c r="J199" s="5" t="s">
        <v>43</v>
      </c>
      <c r="K199" s="5">
        <v>8.7733785699E10</v>
      </c>
      <c r="L199" s="4" t="s">
        <v>44</v>
      </c>
      <c r="M199" s="5" t="s">
        <v>42</v>
      </c>
      <c r="N199" s="4" t="s">
        <v>45</v>
      </c>
      <c r="O199" s="4" t="s">
        <v>46</v>
      </c>
      <c r="P199" s="4" t="s">
        <v>47</v>
      </c>
      <c r="Q199" s="4">
        <v>16451.0</v>
      </c>
      <c r="R199" s="5" t="s">
        <v>1179</v>
      </c>
      <c r="S199" s="8">
        <v>46170.0</v>
      </c>
      <c r="T199" s="9">
        <v>0.375</v>
      </c>
      <c r="U199" s="9">
        <v>0.9166666666666666</v>
      </c>
      <c r="V199" s="4" t="s">
        <v>49</v>
      </c>
      <c r="W199" s="5">
        <v>1.0</v>
      </c>
      <c r="X199" s="5" t="b">
        <v>1</v>
      </c>
      <c r="Y199" s="5" t="s">
        <v>50</v>
      </c>
      <c r="Z199" s="5" t="b">
        <v>0</v>
      </c>
      <c r="AA199" s="10"/>
      <c r="AB199" s="4">
        <v>1.0</v>
      </c>
      <c r="AC199" s="11" t="s">
        <v>1180</v>
      </c>
      <c r="AD199" s="5">
        <v>0.0</v>
      </c>
      <c r="AE199" s="5">
        <v>1.0</v>
      </c>
      <c r="AF199" s="8">
        <v>46170.0</v>
      </c>
      <c r="AG199" s="9">
        <v>0.375</v>
      </c>
      <c r="AH199" s="9">
        <v>0.9166666666666666</v>
      </c>
      <c r="AI199" s="4" t="s">
        <v>49</v>
      </c>
      <c r="AJ199" s="5" t="s">
        <v>52</v>
      </c>
      <c r="AK199" s="12"/>
      <c r="AL199" s="12"/>
      <c r="AM199" s="12"/>
      <c r="AN199" s="12"/>
      <c r="AO199" s="12"/>
      <c r="AP199" s="12"/>
      <c r="AQ199" s="12"/>
    </row>
    <row r="200">
      <c r="A200" s="5" t="s">
        <v>1181</v>
      </c>
      <c r="B200" s="5">
        <v>1.1398423E7</v>
      </c>
      <c r="C200" s="5" t="s">
        <v>37</v>
      </c>
      <c r="D200" s="5" t="s">
        <v>1182</v>
      </c>
      <c r="E200" s="5" t="s">
        <v>39</v>
      </c>
      <c r="F200" s="5" t="s">
        <v>708</v>
      </c>
      <c r="G200" s="15">
        <v>6.28521E17</v>
      </c>
      <c r="H200" s="5" t="s">
        <v>709</v>
      </c>
      <c r="I200" s="5" t="s">
        <v>42</v>
      </c>
      <c r="J200" s="5" t="s">
        <v>43</v>
      </c>
      <c r="K200" s="5">
        <v>8.7733785699E10</v>
      </c>
      <c r="L200" s="4" t="s">
        <v>44</v>
      </c>
      <c r="M200" s="5" t="s">
        <v>42</v>
      </c>
      <c r="N200" s="4" t="s">
        <v>45</v>
      </c>
      <c r="O200" s="4" t="s">
        <v>46</v>
      </c>
      <c r="P200" s="4" t="s">
        <v>47</v>
      </c>
      <c r="Q200" s="4">
        <v>16451.0</v>
      </c>
      <c r="R200" s="5" t="s">
        <v>1183</v>
      </c>
      <c r="S200" s="8">
        <v>46170.0</v>
      </c>
      <c r="T200" s="9">
        <v>0.375</v>
      </c>
      <c r="U200" s="9">
        <v>0.9166666666666666</v>
      </c>
      <c r="V200" s="4" t="s">
        <v>49</v>
      </c>
      <c r="W200" s="5">
        <v>1.0</v>
      </c>
      <c r="X200" s="5" t="b">
        <v>1</v>
      </c>
      <c r="Y200" s="5" t="s">
        <v>50</v>
      </c>
      <c r="Z200" s="5" t="b">
        <v>0</v>
      </c>
      <c r="AA200" s="10"/>
      <c r="AB200" s="4">
        <v>1.0</v>
      </c>
      <c r="AC200" s="11" t="s">
        <v>1184</v>
      </c>
      <c r="AD200" s="5">
        <v>0.0</v>
      </c>
      <c r="AE200" s="5">
        <v>1.0</v>
      </c>
      <c r="AF200" s="8">
        <v>46170.0</v>
      </c>
      <c r="AG200" s="9">
        <v>0.375</v>
      </c>
      <c r="AH200" s="9">
        <v>0.9166666666666666</v>
      </c>
      <c r="AI200" s="4" t="s">
        <v>49</v>
      </c>
      <c r="AJ200" s="5" t="s">
        <v>52</v>
      </c>
      <c r="AK200" s="12"/>
      <c r="AL200" s="12"/>
      <c r="AM200" s="12"/>
      <c r="AN200" s="12"/>
      <c r="AO200" s="12"/>
      <c r="AP200" s="12"/>
      <c r="AQ200" s="12"/>
    </row>
    <row r="201">
      <c r="A201" s="5" t="s">
        <v>1185</v>
      </c>
      <c r="B201" s="5">
        <v>1.1398423E7</v>
      </c>
      <c r="C201" s="5" t="s">
        <v>37</v>
      </c>
      <c r="D201" s="5" t="s">
        <v>1186</v>
      </c>
      <c r="E201" s="5" t="s">
        <v>39</v>
      </c>
      <c r="F201" s="5" t="s">
        <v>1187</v>
      </c>
      <c r="G201" s="5">
        <v>6.281251217896E12</v>
      </c>
      <c r="H201" s="5" t="s">
        <v>1188</v>
      </c>
      <c r="I201" s="5" t="s">
        <v>42</v>
      </c>
      <c r="J201" s="5" t="s">
        <v>43</v>
      </c>
      <c r="K201" s="5">
        <v>8.7733785699E10</v>
      </c>
      <c r="L201" s="4" t="s">
        <v>44</v>
      </c>
      <c r="M201" s="5" t="s">
        <v>42</v>
      </c>
      <c r="N201" s="4" t="s">
        <v>45</v>
      </c>
      <c r="O201" s="4" t="s">
        <v>46</v>
      </c>
      <c r="P201" s="4" t="s">
        <v>47</v>
      </c>
      <c r="Q201" s="4">
        <v>16451.0</v>
      </c>
      <c r="R201" s="5" t="s">
        <v>1189</v>
      </c>
      <c r="S201" s="8">
        <v>46170.0</v>
      </c>
      <c r="T201" s="9">
        <v>0.375</v>
      </c>
      <c r="U201" s="9">
        <v>0.9166666666666666</v>
      </c>
      <c r="V201" s="4" t="s">
        <v>49</v>
      </c>
      <c r="W201" s="5">
        <v>1.0</v>
      </c>
      <c r="X201" s="5" t="b">
        <v>1</v>
      </c>
      <c r="Y201" s="5" t="s">
        <v>50</v>
      </c>
      <c r="Z201" s="5" t="b">
        <v>0</v>
      </c>
      <c r="AA201" s="10"/>
      <c r="AB201" s="4">
        <v>1.0</v>
      </c>
      <c r="AC201" s="11" t="s">
        <v>1190</v>
      </c>
      <c r="AD201" s="5">
        <v>0.0</v>
      </c>
      <c r="AE201" s="5">
        <v>1.0</v>
      </c>
      <c r="AF201" s="8">
        <v>46170.0</v>
      </c>
      <c r="AG201" s="9">
        <v>0.375</v>
      </c>
      <c r="AH201" s="9">
        <v>0.9166666666666666</v>
      </c>
      <c r="AI201" s="4" t="s">
        <v>49</v>
      </c>
      <c r="AJ201" s="5" t="s">
        <v>52</v>
      </c>
      <c r="AK201" s="12"/>
      <c r="AL201" s="12"/>
      <c r="AM201" s="12"/>
      <c r="AN201" s="12"/>
      <c r="AO201" s="12"/>
      <c r="AP201" s="12"/>
      <c r="AQ201" s="12"/>
    </row>
    <row r="202">
      <c r="A202" s="5" t="s">
        <v>1191</v>
      </c>
      <c r="B202" s="5">
        <v>1.1398423E7</v>
      </c>
      <c r="C202" s="5" t="s">
        <v>37</v>
      </c>
      <c r="D202" s="5" t="s">
        <v>1192</v>
      </c>
      <c r="E202" s="5" t="s">
        <v>39</v>
      </c>
      <c r="F202" s="5" t="s">
        <v>1193</v>
      </c>
      <c r="G202" s="15">
        <v>6.28128E17</v>
      </c>
      <c r="H202" s="5" t="s">
        <v>1194</v>
      </c>
      <c r="I202" s="5" t="s">
        <v>42</v>
      </c>
      <c r="J202" s="5" t="s">
        <v>43</v>
      </c>
      <c r="K202" s="5">
        <v>8.7733785699E10</v>
      </c>
      <c r="L202" s="4" t="s">
        <v>44</v>
      </c>
      <c r="M202" s="5" t="s">
        <v>42</v>
      </c>
      <c r="N202" s="4" t="s">
        <v>45</v>
      </c>
      <c r="O202" s="4" t="s">
        <v>46</v>
      </c>
      <c r="P202" s="4" t="s">
        <v>47</v>
      </c>
      <c r="Q202" s="4">
        <v>16451.0</v>
      </c>
      <c r="R202" s="5" t="s">
        <v>1195</v>
      </c>
      <c r="S202" s="8">
        <v>46170.0</v>
      </c>
      <c r="T202" s="9">
        <v>0.375</v>
      </c>
      <c r="U202" s="9">
        <v>0.9166666666666666</v>
      </c>
      <c r="V202" s="4" t="s">
        <v>49</v>
      </c>
      <c r="W202" s="5">
        <v>1.0</v>
      </c>
      <c r="X202" s="5" t="b">
        <v>1</v>
      </c>
      <c r="Y202" s="5" t="s">
        <v>50</v>
      </c>
      <c r="Z202" s="5" t="b">
        <v>0</v>
      </c>
      <c r="AA202" s="10"/>
      <c r="AB202" s="4">
        <v>1.0</v>
      </c>
      <c r="AC202" s="11" t="s">
        <v>1196</v>
      </c>
      <c r="AD202" s="5">
        <v>0.0</v>
      </c>
      <c r="AE202" s="5">
        <v>1.0</v>
      </c>
      <c r="AF202" s="8">
        <v>46170.0</v>
      </c>
      <c r="AG202" s="9">
        <v>0.375</v>
      </c>
      <c r="AH202" s="9">
        <v>0.9166666666666666</v>
      </c>
      <c r="AI202" s="4" t="s">
        <v>49</v>
      </c>
      <c r="AJ202" s="5" t="s">
        <v>52</v>
      </c>
      <c r="AK202" s="12"/>
      <c r="AL202" s="12"/>
      <c r="AM202" s="12"/>
      <c r="AN202" s="12"/>
      <c r="AO202" s="12"/>
      <c r="AP202" s="12"/>
      <c r="AQ202" s="12"/>
    </row>
    <row r="203">
      <c r="A203" s="5" t="s">
        <v>1197</v>
      </c>
      <c r="B203" s="5">
        <v>1.1398423E7</v>
      </c>
      <c r="C203" s="5" t="s">
        <v>37</v>
      </c>
      <c r="D203" s="5" t="s">
        <v>1198</v>
      </c>
      <c r="E203" s="5" t="s">
        <v>39</v>
      </c>
      <c r="F203" s="5" t="s">
        <v>161</v>
      </c>
      <c r="G203" s="15">
        <v>6.28138E17</v>
      </c>
      <c r="H203" s="5" t="s">
        <v>162</v>
      </c>
      <c r="I203" s="5" t="s">
        <v>42</v>
      </c>
      <c r="J203" s="5" t="s">
        <v>43</v>
      </c>
      <c r="K203" s="5">
        <v>8.7733785699E10</v>
      </c>
      <c r="L203" s="4" t="s">
        <v>44</v>
      </c>
      <c r="M203" s="5" t="s">
        <v>42</v>
      </c>
      <c r="N203" s="4" t="s">
        <v>45</v>
      </c>
      <c r="O203" s="4" t="s">
        <v>46</v>
      </c>
      <c r="P203" s="4" t="s">
        <v>47</v>
      </c>
      <c r="Q203" s="4">
        <v>16451.0</v>
      </c>
      <c r="R203" s="5" t="s">
        <v>1199</v>
      </c>
      <c r="S203" s="8">
        <v>46170.0</v>
      </c>
      <c r="T203" s="9">
        <v>0.375</v>
      </c>
      <c r="U203" s="9">
        <v>0.9166666666666666</v>
      </c>
      <c r="V203" s="4" t="s">
        <v>49</v>
      </c>
      <c r="W203" s="5">
        <v>1.0</v>
      </c>
      <c r="X203" s="5" t="b">
        <v>1</v>
      </c>
      <c r="Y203" s="5" t="s">
        <v>50</v>
      </c>
      <c r="Z203" s="5" t="b">
        <v>0</v>
      </c>
      <c r="AA203" s="10"/>
      <c r="AB203" s="4">
        <v>1.0</v>
      </c>
      <c r="AC203" s="11" t="s">
        <v>1200</v>
      </c>
      <c r="AD203" s="5">
        <v>0.0</v>
      </c>
      <c r="AE203" s="5">
        <v>1.0</v>
      </c>
      <c r="AF203" s="8">
        <v>46170.0</v>
      </c>
      <c r="AG203" s="9">
        <v>0.375</v>
      </c>
      <c r="AH203" s="9">
        <v>0.9166666666666666</v>
      </c>
      <c r="AI203" s="4" t="s">
        <v>49</v>
      </c>
      <c r="AJ203" s="5" t="s">
        <v>52</v>
      </c>
      <c r="AK203" s="12"/>
      <c r="AL203" s="12"/>
      <c r="AM203" s="12"/>
      <c r="AN203" s="12"/>
      <c r="AO203" s="12"/>
      <c r="AP203" s="12"/>
      <c r="AQ203" s="12"/>
    </row>
    <row r="204">
      <c r="A204" s="5" t="s">
        <v>1201</v>
      </c>
      <c r="B204" s="5">
        <v>1.1398423E7</v>
      </c>
      <c r="C204" s="5" t="s">
        <v>37</v>
      </c>
      <c r="D204" s="5" t="s">
        <v>1202</v>
      </c>
      <c r="E204" s="5" t="s">
        <v>39</v>
      </c>
      <c r="F204" s="5" t="s">
        <v>167</v>
      </c>
      <c r="G204" s="15">
        <v>6.28226E17</v>
      </c>
      <c r="H204" s="5" t="s">
        <v>168</v>
      </c>
      <c r="I204" s="5" t="s">
        <v>42</v>
      </c>
      <c r="J204" s="5" t="s">
        <v>43</v>
      </c>
      <c r="K204" s="5">
        <v>8.7733785699E10</v>
      </c>
      <c r="L204" s="4" t="s">
        <v>44</v>
      </c>
      <c r="M204" s="5" t="s">
        <v>42</v>
      </c>
      <c r="N204" s="4" t="s">
        <v>45</v>
      </c>
      <c r="O204" s="4" t="s">
        <v>46</v>
      </c>
      <c r="P204" s="4" t="s">
        <v>47</v>
      </c>
      <c r="Q204" s="4">
        <v>16451.0</v>
      </c>
      <c r="R204" s="5" t="s">
        <v>1203</v>
      </c>
      <c r="S204" s="8">
        <v>46170.0</v>
      </c>
      <c r="T204" s="9">
        <v>0.375</v>
      </c>
      <c r="U204" s="9">
        <v>0.9166666666666666</v>
      </c>
      <c r="V204" s="4" t="s">
        <v>49</v>
      </c>
      <c r="W204" s="5">
        <v>1.0</v>
      </c>
      <c r="X204" s="5" t="b">
        <v>1</v>
      </c>
      <c r="Y204" s="5" t="s">
        <v>50</v>
      </c>
      <c r="Z204" s="5" t="b">
        <v>0</v>
      </c>
      <c r="AA204" s="10"/>
      <c r="AB204" s="4">
        <v>1.0</v>
      </c>
      <c r="AC204" s="11" t="s">
        <v>1204</v>
      </c>
      <c r="AD204" s="5">
        <v>0.0</v>
      </c>
      <c r="AE204" s="5">
        <v>1.0</v>
      </c>
      <c r="AF204" s="8">
        <v>46170.0</v>
      </c>
      <c r="AG204" s="9">
        <v>0.375</v>
      </c>
      <c r="AH204" s="9">
        <v>0.9166666666666666</v>
      </c>
      <c r="AI204" s="4" t="s">
        <v>49</v>
      </c>
      <c r="AJ204" s="5" t="s">
        <v>52</v>
      </c>
      <c r="AK204" s="12"/>
      <c r="AL204" s="12"/>
      <c r="AM204" s="12"/>
      <c r="AN204" s="12"/>
      <c r="AO204" s="12"/>
      <c r="AP204" s="12"/>
      <c r="AQ204" s="12"/>
    </row>
    <row r="205">
      <c r="A205" s="5" t="s">
        <v>1205</v>
      </c>
      <c r="B205" s="5">
        <v>1.1398423E7</v>
      </c>
      <c r="C205" s="5" t="s">
        <v>37</v>
      </c>
      <c r="D205" s="5" t="s">
        <v>1206</v>
      </c>
      <c r="E205" s="5" t="s">
        <v>39</v>
      </c>
      <c r="F205" s="5" t="s">
        <v>834</v>
      </c>
      <c r="G205" s="15">
        <v>6.28121E17</v>
      </c>
      <c r="H205" s="5" t="s">
        <v>835</v>
      </c>
      <c r="I205" s="5" t="s">
        <v>42</v>
      </c>
      <c r="J205" s="5" t="s">
        <v>43</v>
      </c>
      <c r="K205" s="5">
        <v>8.7733785699E10</v>
      </c>
      <c r="L205" s="4" t="s">
        <v>44</v>
      </c>
      <c r="M205" s="5" t="s">
        <v>42</v>
      </c>
      <c r="N205" s="4" t="s">
        <v>45</v>
      </c>
      <c r="O205" s="4" t="s">
        <v>46</v>
      </c>
      <c r="P205" s="4" t="s">
        <v>47</v>
      </c>
      <c r="Q205" s="4">
        <v>16451.0</v>
      </c>
      <c r="R205" s="5" t="s">
        <v>1207</v>
      </c>
      <c r="S205" s="8">
        <v>46170.0</v>
      </c>
      <c r="T205" s="9">
        <v>0.375</v>
      </c>
      <c r="U205" s="9">
        <v>0.9166666666666666</v>
      </c>
      <c r="V205" s="4" t="s">
        <v>49</v>
      </c>
      <c r="W205" s="5">
        <v>1.0</v>
      </c>
      <c r="X205" s="5" t="b">
        <v>1</v>
      </c>
      <c r="Y205" s="5" t="s">
        <v>50</v>
      </c>
      <c r="Z205" s="5" t="b">
        <v>0</v>
      </c>
      <c r="AA205" s="10"/>
      <c r="AB205" s="4">
        <v>1.0</v>
      </c>
      <c r="AC205" s="11" t="s">
        <v>1208</v>
      </c>
      <c r="AD205" s="5">
        <v>0.0</v>
      </c>
      <c r="AE205" s="5">
        <v>1.0</v>
      </c>
      <c r="AF205" s="8">
        <v>46170.0</v>
      </c>
      <c r="AG205" s="9">
        <v>0.375</v>
      </c>
      <c r="AH205" s="9">
        <v>0.9166666666666666</v>
      </c>
      <c r="AI205" s="4" t="s">
        <v>49</v>
      </c>
      <c r="AJ205" s="5" t="s">
        <v>52</v>
      </c>
      <c r="AK205" s="12"/>
      <c r="AL205" s="12"/>
      <c r="AM205" s="12"/>
      <c r="AN205" s="12"/>
      <c r="AO205" s="12"/>
      <c r="AP205" s="12"/>
      <c r="AQ205" s="12"/>
    </row>
    <row r="206">
      <c r="A206" s="5" t="s">
        <v>1209</v>
      </c>
      <c r="B206" s="5">
        <v>1.1398423E7</v>
      </c>
      <c r="C206" s="5" t="s">
        <v>37</v>
      </c>
      <c r="D206" s="5" t="s">
        <v>1210</v>
      </c>
      <c r="E206" s="5" t="s">
        <v>39</v>
      </c>
      <c r="F206" s="5" t="s">
        <v>987</v>
      </c>
      <c r="G206" s="15">
        <v>8.5778058208E10</v>
      </c>
      <c r="H206" s="5" t="s">
        <v>988</v>
      </c>
      <c r="I206" s="5" t="s">
        <v>42</v>
      </c>
      <c r="J206" s="5" t="s">
        <v>43</v>
      </c>
      <c r="K206" s="5">
        <v>8.7733785699E10</v>
      </c>
      <c r="L206" s="4" t="s">
        <v>44</v>
      </c>
      <c r="M206" s="5" t="s">
        <v>42</v>
      </c>
      <c r="N206" s="4" t="s">
        <v>45</v>
      </c>
      <c r="O206" s="4" t="s">
        <v>46</v>
      </c>
      <c r="P206" s="4" t="s">
        <v>187</v>
      </c>
      <c r="Q206" s="4">
        <v>16451.0</v>
      </c>
      <c r="R206" s="5" t="s">
        <v>1211</v>
      </c>
      <c r="S206" s="8">
        <v>46171.0</v>
      </c>
      <c r="T206" s="9">
        <v>0.375</v>
      </c>
      <c r="U206" s="9">
        <v>0.9166666666666666</v>
      </c>
      <c r="V206" s="4" t="s">
        <v>49</v>
      </c>
      <c r="W206" s="5">
        <v>1.0</v>
      </c>
      <c r="X206" s="5" t="b">
        <v>1</v>
      </c>
      <c r="Y206" s="5" t="s">
        <v>189</v>
      </c>
      <c r="Z206" s="5" t="b">
        <v>0</v>
      </c>
      <c r="AA206" s="10"/>
      <c r="AB206" s="4">
        <v>1.0</v>
      </c>
      <c r="AC206" s="11" t="s">
        <v>1212</v>
      </c>
      <c r="AD206" s="5">
        <v>0.0</v>
      </c>
      <c r="AE206" s="5">
        <v>1.0</v>
      </c>
      <c r="AF206" s="8">
        <v>46171.0</v>
      </c>
      <c r="AG206" s="9">
        <v>0.375</v>
      </c>
      <c r="AH206" s="9">
        <v>0.9166666666666666</v>
      </c>
      <c r="AI206" s="4" t="s">
        <v>49</v>
      </c>
      <c r="AJ206" s="5" t="s">
        <v>52</v>
      </c>
      <c r="AK206" s="12"/>
      <c r="AL206" s="12"/>
      <c r="AM206" s="12"/>
      <c r="AN206" s="12"/>
      <c r="AO206" s="12"/>
      <c r="AP206" s="12"/>
      <c r="AQ206" s="12"/>
    </row>
    <row r="207">
      <c r="A207" s="5" t="s">
        <v>1213</v>
      </c>
      <c r="B207" s="5">
        <v>1.1398423E7</v>
      </c>
      <c r="C207" s="5" t="s">
        <v>37</v>
      </c>
      <c r="D207" s="5" t="s">
        <v>1214</v>
      </c>
      <c r="E207" s="5" t="s">
        <v>39</v>
      </c>
      <c r="F207" s="5" t="s">
        <v>1215</v>
      </c>
      <c r="G207" s="15">
        <v>6.28132E17</v>
      </c>
      <c r="H207" s="5" t="s">
        <v>1216</v>
      </c>
      <c r="I207" s="5" t="s">
        <v>42</v>
      </c>
      <c r="J207" s="5" t="s">
        <v>43</v>
      </c>
      <c r="K207" s="5">
        <v>8.7733785699E10</v>
      </c>
      <c r="L207" s="4" t="s">
        <v>44</v>
      </c>
      <c r="M207" s="5" t="s">
        <v>42</v>
      </c>
      <c r="N207" s="4" t="s">
        <v>45</v>
      </c>
      <c r="O207" s="4" t="s">
        <v>46</v>
      </c>
      <c r="P207" s="4" t="s">
        <v>47</v>
      </c>
      <c r="Q207" s="4">
        <v>16451.0</v>
      </c>
      <c r="R207" s="5" t="s">
        <v>1217</v>
      </c>
      <c r="S207" s="8">
        <v>46171.0</v>
      </c>
      <c r="T207" s="9">
        <v>0.375</v>
      </c>
      <c r="U207" s="9">
        <v>0.9166666666666666</v>
      </c>
      <c r="V207" s="4" t="s">
        <v>49</v>
      </c>
      <c r="W207" s="5">
        <v>1.0</v>
      </c>
      <c r="X207" s="5" t="b">
        <v>1</v>
      </c>
      <c r="Y207" s="5" t="s">
        <v>50</v>
      </c>
      <c r="Z207" s="5" t="b">
        <v>0</v>
      </c>
      <c r="AA207" s="10"/>
      <c r="AB207" s="4">
        <v>1.0</v>
      </c>
      <c r="AC207" s="11" t="s">
        <v>1218</v>
      </c>
      <c r="AD207" s="5">
        <v>0.0</v>
      </c>
      <c r="AE207" s="5">
        <v>1.0</v>
      </c>
      <c r="AF207" s="8">
        <v>46171.0</v>
      </c>
      <c r="AG207" s="9">
        <v>0.375</v>
      </c>
      <c r="AH207" s="9">
        <v>0.9166666666666666</v>
      </c>
      <c r="AI207" s="4" t="s">
        <v>49</v>
      </c>
      <c r="AJ207" s="5" t="s">
        <v>52</v>
      </c>
      <c r="AK207" s="12"/>
      <c r="AL207" s="12"/>
      <c r="AM207" s="12"/>
      <c r="AN207" s="12"/>
      <c r="AO207" s="12"/>
      <c r="AP207" s="12"/>
      <c r="AQ207" s="12"/>
    </row>
    <row r="208">
      <c r="A208" s="5" t="s">
        <v>1219</v>
      </c>
      <c r="B208" s="5">
        <v>1.1398423E7</v>
      </c>
      <c r="C208" s="5" t="s">
        <v>37</v>
      </c>
      <c r="D208" s="5" t="s">
        <v>1220</v>
      </c>
      <c r="E208" s="5" t="s">
        <v>39</v>
      </c>
      <c r="F208" s="5" t="s">
        <v>432</v>
      </c>
      <c r="G208" s="15">
        <v>6.285208955554E12</v>
      </c>
      <c r="H208" s="5" t="s">
        <v>433</v>
      </c>
      <c r="I208" s="5" t="s">
        <v>42</v>
      </c>
      <c r="J208" s="5" t="s">
        <v>43</v>
      </c>
      <c r="K208" s="5">
        <v>8.7733785699E10</v>
      </c>
      <c r="L208" s="4" t="s">
        <v>44</v>
      </c>
      <c r="M208" s="5" t="s">
        <v>42</v>
      </c>
      <c r="N208" s="4" t="s">
        <v>45</v>
      </c>
      <c r="O208" s="4" t="s">
        <v>46</v>
      </c>
      <c r="P208" s="4" t="s">
        <v>47</v>
      </c>
      <c r="Q208" s="4">
        <v>16451.0</v>
      </c>
      <c r="R208" s="5" t="s">
        <v>1221</v>
      </c>
      <c r="S208" s="8">
        <v>46171.0</v>
      </c>
      <c r="T208" s="9">
        <v>0.375</v>
      </c>
      <c r="U208" s="9">
        <v>0.9166666666666666</v>
      </c>
      <c r="V208" s="4" t="s">
        <v>49</v>
      </c>
      <c r="W208" s="5">
        <v>1.0</v>
      </c>
      <c r="X208" s="5" t="b">
        <v>1</v>
      </c>
      <c r="Y208" s="5" t="s">
        <v>50</v>
      </c>
      <c r="Z208" s="5" t="b">
        <v>0</v>
      </c>
      <c r="AA208" s="10"/>
      <c r="AB208" s="4">
        <v>1.0</v>
      </c>
      <c r="AC208" s="11" t="s">
        <v>1222</v>
      </c>
      <c r="AD208" s="5">
        <v>0.0</v>
      </c>
      <c r="AE208" s="5">
        <v>1.0</v>
      </c>
      <c r="AF208" s="8">
        <v>46171.0</v>
      </c>
      <c r="AG208" s="9">
        <v>0.375</v>
      </c>
      <c r="AH208" s="9">
        <v>0.9166666666666666</v>
      </c>
      <c r="AI208" s="4" t="s">
        <v>49</v>
      </c>
      <c r="AJ208" s="5" t="s">
        <v>52</v>
      </c>
      <c r="AK208" s="12"/>
      <c r="AL208" s="12"/>
      <c r="AM208" s="12"/>
      <c r="AN208" s="12"/>
      <c r="AO208" s="12"/>
      <c r="AP208" s="12"/>
      <c r="AQ208" s="12"/>
    </row>
    <row r="209">
      <c r="A209" s="5" t="s">
        <v>1223</v>
      </c>
      <c r="B209" s="5">
        <v>1.1398423E7</v>
      </c>
      <c r="C209" s="5" t="s">
        <v>37</v>
      </c>
      <c r="D209" s="5" t="s">
        <v>900</v>
      </c>
      <c r="E209" s="5" t="s">
        <v>39</v>
      </c>
      <c r="F209" s="5" t="s">
        <v>1224</v>
      </c>
      <c r="G209" s="15">
        <v>6.28784E17</v>
      </c>
      <c r="H209" s="5" t="s">
        <v>1225</v>
      </c>
      <c r="I209" s="5" t="s">
        <v>42</v>
      </c>
      <c r="J209" s="5" t="s">
        <v>43</v>
      </c>
      <c r="K209" s="5">
        <v>6.285143002578E12</v>
      </c>
      <c r="L209" s="4" t="s">
        <v>57</v>
      </c>
      <c r="M209" s="5" t="s">
        <v>42</v>
      </c>
      <c r="N209" s="4" t="s">
        <v>58</v>
      </c>
      <c r="O209" s="4" t="s">
        <v>59</v>
      </c>
      <c r="P209" s="4" t="s">
        <v>60</v>
      </c>
      <c r="Q209" s="4">
        <v>60291.0</v>
      </c>
      <c r="R209" s="5" t="s">
        <v>1226</v>
      </c>
      <c r="S209" s="8">
        <v>46171.0</v>
      </c>
      <c r="T209" s="9">
        <v>0.375</v>
      </c>
      <c r="U209" s="9">
        <v>0.9166666666666666</v>
      </c>
      <c r="V209" s="4" t="s">
        <v>49</v>
      </c>
      <c r="W209" s="5">
        <v>1.0</v>
      </c>
      <c r="X209" s="5" t="b">
        <v>1</v>
      </c>
      <c r="Y209" s="5" t="s">
        <v>50</v>
      </c>
      <c r="Z209" s="5" t="b">
        <v>0</v>
      </c>
      <c r="AA209" s="10"/>
      <c r="AB209" s="4">
        <v>1.0</v>
      </c>
      <c r="AC209" s="11" t="s">
        <v>1227</v>
      </c>
      <c r="AD209" s="5">
        <v>0.0</v>
      </c>
      <c r="AE209" s="5">
        <v>1.0</v>
      </c>
      <c r="AF209" s="8">
        <v>46171.0</v>
      </c>
      <c r="AG209" s="9">
        <v>0.375</v>
      </c>
      <c r="AH209" s="9">
        <v>0.9166666666666666</v>
      </c>
      <c r="AI209" s="4" t="s">
        <v>49</v>
      </c>
      <c r="AJ209" s="5" t="s">
        <v>52</v>
      </c>
      <c r="AK209" s="12"/>
      <c r="AL209" s="12"/>
      <c r="AM209" s="12"/>
      <c r="AN209" s="12"/>
      <c r="AO209" s="12"/>
      <c r="AP209" s="12"/>
      <c r="AQ209" s="12"/>
    </row>
    <row r="210">
      <c r="A210" s="5" t="s">
        <v>1228</v>
      </c>
      <c r="B210" s="5">
        <v>1.1398423E7</v>
      </c>
      <c r="C210" s="5" t="s">
        <v>37</v>
      </c>
      <c r="D210" s="5" t="s">
        <v>900</v>
      </c>
      <c r="E210" s="5" t="s">
        <v>39</v>
      </c>
      <c r="F210" s="5" t="s">
        <v>792</v>
      </c>
      <c r="G210" s="15">
        <v>6.28573E17</v>
      </c>
      <c r="H210" s="5" t="s">
        <v>793</v>
      </c>
      <c r="I210" s="5" t="s">
        <v>42</v>
      </c>
      <c r="J210" s="5" t="s">
        <v>43</v>
      </c>
      <c r="K210" s="5">
        <v>6.285143002578E12</v>
      </c>
      <c r="L210" s="4" t="s">
        <v>57</v>
      </c>
      <c r="M210" s="5" t="s">
        <v>42</v>
      </c>
      <c r="N210" s="4" t="s">
        <v>58</v>
      </c>
      <c r="O210" s="4" t="s">
        <v>59</v>
      </c>
      <c r="P210" s="4" t="s">
        <v>60</v>
      </c>
      <c r="Q210" s="4">
        <v>60291.0</v>
      </c>
      <c r="R210" s="5" t="s">
        <v>1229</v>
      </c>
      <c r="S210" s="8">
        <v>46171.0</v>
      </c>
      <c r="T210" s="9">
        <v>0.375</v>
      </c>
      <c r="U210" s="9">
        <v>0.9166666666666666</v>
      </c>
      <c r="V210" s="4" t="s">
        <v>49</v>
      </c>
      <c r="W210" s="5">
        <v>1.0</v>
      </c>
      <c r="X210" s="5" t="b">
        <v>1</v>
      </c>
      <c r="Y210" s="5" t="s">
        <v>50</v>
      </c>
      <c r="Z210" s="5" t="b">
        <v>0</v>
      </c>
      <c r="AA210" s="10"/>
      <c r="AB210" s="4">
        <v>1.0</v>
      </c>
      <c r="AC210" s="11" t="s">
        <v>1230</v>
      </c>
      <c r="AD210" s="5">
        <v>0.0</v>
      </c>
      <c r="AE210" s="5">
        <v>1.0</v>
      </c>
      <c r="AF210" s="8">
        <v>46171.0</v>
      </c>
      <c r="AG210" s="9">
        <v>0.375</v>
      </c>
      <c r="AH210" s="9">
        <v>0.9166666666666666</v>
      </c>
      <c r="AI210" s="4" t="s">
        <v>49</v>
      </c>
      <c r="AJ210" s="5" t="s">
        <v>52</v>
      </c>
      <c r="AK210" s="12"/>
      <c r="AL210" s="12"/>
      <c r="AM210" s="12"/>
      <c r="AN210" s="12"/>
      <c r="AO210" s="12"/>
      <c r="AP210" s="12"/>
      <c r="AQ210" s="12"/>
    </row>
    <row r="211">
      <c r="A211" s="5" t="s">
        <v>1231</v>
      </c>
      <c r="B211" s="5">
        <v>1.1398423E7</v>
      </c>
      <c r="C211" s="5" t="s">
        <v>37</v>
      </c>
      <c r="D211" s="5" t="s">
        <v>1232</v>
      </c>
      <c r="E211" s="5" t="s">
        <v>39</v>
      </c>
      <c r="F211" s="5" t="s">
        <v>1233</v>
      </c>
      <c r="G211" s="15">
        <v>6.28521E17</v>
      </c>
      <c r="H211" s="5" t="s">
        <v>1234</v>
      </c>
      <c r="I211" s="5" t="s">
        <v>42</v>
      </c>
      <c r="J211" s="5" t="s">
        <v>43</v>
      </c>
      <c r="K211" s="5">
        <v>8.7733785699E10</v>
      </c>
      <c r="L211" s="4" t="s">
        <v>44</v>
      </c>
      <c r="M211" s="5" t="s">
        <v>42</v>
      </c>
      <c r="N211" s="4" t="s">
        <v>45</v>
      </c>
      <c r="O211" s="4" t="s">
        <v>46</v>
      </c>
      <c r="P211" s="4" t="s">
        <v>47</v>
      </c>
      <c r="Q211" s="4">
        <v>16451.0</v>
      </c>
      <c r="R211" s="5" t="s">
        <v>1235</v>
      </c>
      <c r="S211" s="8">
        <v>46172.0</v>
      </c>
      <c r="T211" s="9">
        <v>0.375</v>
      </c>
      <c r="U211" s="9">
        <v>0.9166666666666666</v>
      </c>
      <c r="V211" s="4" t="s">
        <v>49</v>
      </c>
      <c r="W211" s="5">
        <v>1.0</v>
      </c>
      <c r="X211" s="5" t="b">
        <v>1</v>
      </c>
      <c r="Y211" s="5" t="s">
        <v>50</v>
      </c>
      <c r="Z211" s="5" t="b">
        <v>0</v>
      </c>
      <c r="AA211" s="10"/>
      <c r="AB211" s="4">
        <v>1.0</v>
      </c>
      <c r="AC211" s="11" t="s">
        <v>1236</v>
      </c>
      <c r="AD211" s="5">
        <v>0.0</v>
      </c>
      <c r="AE211" s="5">
        <v>1.0</v>
      </c>
      <c r="AF211" s="8">
        <v>46172.0</v>
      </c>
      <c r="AG211" s="9">
        <v>0.375</v>
      </c>
      <c r="AH211" s="9">
        <v>0.9166666666666666</v>
      </c>
      <c r="AI211" s="4" t="s">
        <v>49</v>
      </c>
      <c r="AJ211" s="5" t="s">
        <v>52</v>
      </c>
      <c r="AK211" s="12"/>
      <c r="AL211" s="12"/>
      <c r="AM211" s="12"/>
      <c r="AN211" s="12"/>
      <c r="AO211" s="12"/>
      <c r="AP211" s="12"/>
      <c r="AQ211" s="12"/>
    </row>
    <row r="212">
      <c r="A212" s="5" t="s">
        <v>1237</v>
      </c>
      <c r="B212" s="5">
        <v>1.1398423E7</v>
      </c>
      <c r="C212" s="5" t="s">
        <v>37</v>
      </c>
      <c r="D212" s="5" t="s">
        <v>1238</v>
      </c>
      <c r="E212" s="5" t="s">
        <v>39</v>
      </c>
      <c r="F212" s="5" t="s">
        <v>1239</v>
      </c>
      <c r="G212" s="15">
        <v>2.12289592E9</v>
      </c>
      <c r="H212" s="5" t="s">
        <v>1240</v>
      </c>
      <c r="I212" s="5" t="s">
        <v>42</v>
      </c>
      <c r="J212" s="5" t="s">
        <v>43</v>
      </c>
      <c r="K212" s="5">
        <v>8.7733785699E10</v>
      </c>
      <c r="L212" s="4" t="s">
        <v>44</v>
      </c>
      <c r="M212" s="5" t="s">
        <v>42</v>
      </c>
      <c r="N212" s="4" t="s">
        <v>45</v>
      </c>
      <c r="O212" s="4" t="s">
        <v>46</v>
      </c>
      <c r="P212" s="4" t="s">
        <v>47</v>
      </c>
      <c r="Q212" s="4">
        <v>16451.0</v>
      </c>
      <c r="R212" s="5" t="s">
        <v>1241</v>
      </c>
      <c r="S212" s="8">
        <v>46172.0</v>
      </c>
      <c r="T212" s="9">
        <v>0.375</v>
      </c>
      <c r="U212" s="9">
        <v>0.9166666666666666</v>
      </c>
      <c r="V212" s="4" t="s">
        <v>49</v>
      </c>
      <c r="W212" s="5">
        <v>1.0</v>
      </c>
      <c r="X212" s="5" t="b">
        <v>1</v>
      </c>
      <c r="Y212" s="5" t="s">
        <v>50</v>
      </c>
      <c r="Z212" s="5" t="b">
        <v>0</v>
      </c>
      <c r="AA212" s="10"/>
      <c r="AB212" s="4">
        <v>1.0</v>
      </c>
      <c r="AC212" s="11" t="s">
        <v>1242</v>
      </c>
      <c r="AD212" s="5">
        <v>0.0</v>
      </c>
      <c r="AE212" s="5">
        <v>1.0</v>
      </c>
      <c r="AF212" s="8">
        <v>46172.0</v>
      </c>
      <c r="AG212" s="9">
        <v>0.375</v>
      </c>
      <c r="AH212" s="9">
        <v>0.9166666666666666</v>
      </c>
      <c r="AI212" s="4" t="s">
        <v>49</v>
      </c>
      <c r="AJ212" s="5" t="s">
        <v>52</v>
      </c>
      <c r="AK212" s="12"/>
      <c r="AL212" s="12"/>
      <c r="AM212" s="12"/>
      <c r="AN212" s="12"/>
      <c r="AO212" s="12"/>
      <c r="AP212" s="12"/>
      <c r="AQ212" s="12"/>
    </row>
    <row r="213">
      <c r="A213" s="5" t="s">
        <v>1243</v>
      </c>
      <c r="B213" s="5">
        <v>1.1398423E7</v>
      </c>
      <c r="C213" s="5" t="s">
        <v>37</v>
      </c>
      <c r="D213" s="5" t="s">
        <v>1244</v>
      </c>
      <c r="E213" s="5" t="s">
        <v>39</v>
      </c>
      <c r="F213" s="5" t="s">
        <v>1245</v>
      </c>
      <c r="G213" s="15">
        <v>6.28138E17</v>
      </c>
      <c r="H213" s="5" t="s">
        <v>1246</v>
      </c>
      <c r="I213" s="5" t="s">
        <v>42</v>
      </c>
      <c r="J213" s="5" t="s">
        <v>43</v>
      </c>
      <c r="K213" s="5">
        <v>8.7733785699E10</v>
      </c>
      <c r="L213" s="4" t="s">
        <v>44</v>
      </c>
      <c r="M213" s="5" t="s">
        <v>42</v>
      </c>
      <c r="N213" s="4" t="s">
        <v>45</v>
      </c>
      <c r="O213" s="4" t="s">
        <v>46</v>
      </c>
      <c r="P213" s="4" t="s">
        <v>47</v>
      </c>
      <c r="Q213" s="4">
        <v>16451.0</v>
      </c>
      <c r="R213" s="5" t="s">
        <v>1247</v>
      </c>
      <c r="S213" s="8">
        <v>46172.0</v>
      </c>
      <c r="T213" s="9">
        <v>0.375</v>
      </c>
      <c r="U213" s="9">
        <v>0.9166666666666666</v>
      </c>
      <c r="V213" s="4" t="s">
        <v>49</v>
      </c>
      <c r="W213" s="5">
        <v>1.0</v>
      </c>
      <c r="X213" s="5" t="b">
        <v>1</v>
      </c>
      <c r="Y213" s="5" t="s">
        <v>50</v>
      </c>
      <c r="Z213" s="5" t="b">
        <v>0</v>
      </c>
      <c r="AA213" s="10"/>
      <c r="AB213" s="4">
        <v>1.0</v>
      </c>
      <c r="AC213" s="11" t="s">
        <v>1248</v>
      </c>
      <c r="AD213" s="5">
        <v>0.0</v>
      </c>
      <c r="AE213" s="5">
        <v>1.0</v>
      </c>
      <c r="AF213" s="8">
        <v>46172.0</v>
      </c>
      <c r="AG213" s="9">
        <v>0.375</v>
      </c>
      <c r="AH213" s="9">
        <v>0.9166666666666666</v>
      </c>
      <c r="AI213" s="4" t="s">
        <v>49</v>
      </c>
      <c r="AJ213" s="5" t="s">
        <v>52</v>
      </c>
      <c r="AK213" s="12"/>
      <c r="AL213" s="12"/>
      <c r="AM213" s="12"/>
      <c r="AN213" s="12"/>
      <c r="AO213" s="12"/>
      <c r="AP213" s="12"/>
      <c r="AQ213" s="12"/>
    </row>
    <row r="214">
      <c r="A214" s="5" t="s">
        <v>1249</v>
      </c>
      <c r="B214" s="5">
        <v>1.1398423E7</v>
      </c>
      <c r="C214" s="5" t="s">
        <v>37</v>
      </c>
      <c r="D214" s="5" t="s">
        <v>1250</v>
      </c>
      <c r="E214" s="5" t="s">
        <v>39</v>
      </c>
      <c r="F214" s="5" t="s">
        <v>1251</v>
      </c>
      <c r="G214" s="15">
        <v>6.28572E17</v>
      </c>
      <c r="H214" s="5" t="s">
        <v>1252</v>
      </c>
      <c r="I214" s="5" t="s">
        <v>42</v>
      </c>
      <c r="J214" s="5" t="s">
        <v>43</v>
      </c>
      <c r="K214" s="5">
        <v>8.7733785699E10</v>
      </c>
      <c r="L214" s="4" t="s">
        <v>44</v>
      </c>
      <c r="M214" s="5" t="s">
        <v>42</v>
      </c>
      <c r="N214" s="4" t="s">
        <v>45</v>
      </c>
      <c r="O214" s="4" t="s">
        <v>46</v>
      </c>
      <c r="P214" s="4" t="s">
        <v>47</v>
      </c>
      <c r="Q214" s="4">
        <v>16451.0</v>
      </c>
      <c r="R214" s="5" t="s">
        <v>1253</v>
      </c>
      <c r="S214" s="8">
        <v>46172.0</v>
      </c>
      <c r="T214" s="9">
        <v>0.375</v>
      </c>
      <c r="U214" s="9">
        <v>0.9166666666666666</v>
      </c>
      <c r="V214" s="4" t="s">
        <v>49</v>
      </c>
      <c r="W214" s="5">
        <v>1.0</v>
      </c>
      <c r="X214" s="5" t="b">
        <v>1</v>
      </c>
      <c r="Y214" s="5" t="s">
        <v>50</v>
      </c>
      <c r="Z214" s="5" t="b">
        <v>0</v>
      </c>
      <c r="AA214" s="10"/>
      <c r="AB214" s="4">
        <v>1.0</v>
      </c>
      <c r="AC214" s="11" t="s">
        <v>1254</v>
      </c>
      <c r="AD214" s="5">
        <v>0.0</v>
      </c>
      <c r="AE214" s="5">
        <v>1.0</v>
      </c>
      <c r="AF214" s="8">
        <v>46172.0</v>
      </c>
      <c r="AG214" s="9">
        <v>0.375</v>
      </c>
      <c r="AH214" s="9">
        <v>0.9166666666666666</v>
      </c>
      <c r="AI214" s="4" t="s">
        <v>49</v>
      </c>
      <c r="AJ214" s="5" t="s">
        <v>52</v>
      </c>
      <c r="AK214" s="12"/>
      <c r="AL214" s="12"/>
      <c r="AM214" s="12"/>
      <c r="AN214" s="12"/>
      <c r="AO214" s="12"/>
      <c r="AP214" s="12"/>
      <c r="AQ214" s="12"/>
    </row>
    <row r="215">
      <c r="A215" s="5" t="s">
        <v>1255</v>
      </c>
      <c r="B215" s="5">
        <v>1.1398423E7</v>
      </c>
      <c r="C215" s="5" t="s">
        <v>37</v>
      </c>
      <c r="D215" s="5" t="s">
        <v>1256</v>
      </c>
      <c r="E215" s="5" t="s">
        <v>39</v>
      </c>
      <c r="F215" s="5" t="s">
        <v>1257</v>
      </c>
      <c r="G215" s="15">
        <v>6.28572E17</v>
      </c>
      <c r="H215" s="5" t="s">
        <v>1258</v>
      </c>
      <c r="I215" s="5" t="s">
        <v>42</v>
      </c>
      <c r="J215" s="5" t="s">
        <v>43</v>
      </c>
      <c r="K215" s="5">
        <v>8.7733785699E10</v>
      </c>
      <c r="L215" s="4" t="s">
        <v>44</v>
      </c>
      <c r="M215" s="5" t="s">
        <v>42</v>
      </c>
      <c r="N215" s="4" t="s">
        <v>45</v>
      </c>
      <c r="O215" s="4" t="s">
        <v>46</v>
      </c>
      <c r="P215" s="4" t="s">
        <v>47</v>
      </c>
      <c r="Q215" s="4">
        <v>16451.0</v>
      </c>
      <c r="R215" s="5" t="s">
        <v>1259</v>
      </c>
      <c r="S215" s="8">
        <v>46172.0</v>
      </c>
      <c r="T215" s="9">
        <v>0.375</v>
      </c>
      <c r="U215" s="9">
        <v>0.9166666666666666</v>
      </c>
      <c r="V215" s="4" t="s">
        <v>49</v>
      </c>
      <c r="W215" s="5">
        <v>1.0</v>
      </c>
      <c r="X215" s="5" t="b">
        <v>1</v>
      </c>
      <c r="Y215" s="5" t="s">
        <v>50</v>
      </c>
      <c r="Z215" s="5" t="b">
        <v>0</v>
      </c>
      <c r="AA215" s="10"/>
      <c r="AB215" s="4">
        <v>1.0</v>
      </c>
      <c r="AC215" s="11" t="s">
        <v>1260</v>
      </c>
      <c r="AD215" s="5">
        <v>0.0</v>
      </c>
      <c r="AE215" s="5">
        <v>1.0</v>
      </c>
      <c r="AF215" s="8">
        <v>46172.0</v>
      </c>
      <c r="AG215" s="9">
        <v>0.375</v>
      </c>
      <c r="AH215" s="9">
        <v>0.9166666666666666</v>
      </c>
      <c r="AI215" s="4" t="s">
        <v>49</v>
      </c>
      <c r="AJ215" s="5" t="s">
        <v>52</v>
      </c>
      <c r="AK215" s="12"/>
      <c r="AL215" s="12"/>
      <c r="AM215" s="12"/>
      <c r="AN215" s="12"/>
      <c r="AO215" s="12"/>
      <c r="AP215" s="12"/>
      <c r="AQ215" s="12"/>
    </row>
    <row r="216">
      <c r="A216" s="5" t="s">
        <v>1261</v>
      </c>
      <c r="B216" s="5">
        <v>1.1398423E7</v>
      </c>
      <c r="C216" s="5" t="s">
        <v>37</v>
      </c>
      <c r="D216" s="5" t="s">
        <v>1262</v>
      </c>
      <c r="E216" s="5" t="s">
        <v>39</v>
      </c>
      <c r="F216" s="5" t="s">
        <v>1263</v>
      </c>
      <c r="G216" s="15">
        <v>6.28226E17</v>
      </c>
      <c r="H216" s="5" t="s">
        <v>1264</v>
      </c>
      <c r="I216" s="5" t="s">
        <v>42</v>
      </c>
      <c r="J216" s="5" t="s">
        <v>43</v>
      </c>
      <c r="K216" s="5">
        <v>8.7733785699E10</v>
      </c>
      <c r="L216" s="4" t="s">
        <v>44</v>
      </c>
      <c r="M216" s="5" t="s">
        <v>42</v>
      </c>
      <c r="N216" s="4" t="s">
        <v>45</v>
      </c>
      <c r="O216" s="4" t="s">
        <v>46</v>
      </c>
      <c r="P216" s="4" t="s">
        <v>47</v>
      </c>
      <c r="Q216" s="4">
        <v>16451.0</v>
      </c>
      <c r="R216" s="5" t="s">
        <v>1265</v>
      </c>
      <c r="S216" s="8">
        <v>46172.0</v>
      </c>
      <c r="T216" s="9">
        <v>0.375</v>
      </c>
      <c r="U216" s="9">
        <v>0.9166666666666666</v>
      </c>
      <c r="V216" s="4" t="s">
        <v>49</v>
      </c>
      <c r="W216" s="5">
        <v>1.0</v>
      </c>
      <c r="X216" s="5" t="b">
        <v>1</v>
      </c>
      <c r="Y216" s="5" t="s">
        <v>50</v>
      </c>
      <c r="Z216" s="5" t="b">
        <v>0</v>
      </c>
      <c r="AA216" s="10"/>
      <c r="AB216" s="4">
        <v>1.0</v>
      </c>
      <c r="AC216" s="11" t="s">
        <v>1266</v>
      </c>
      <c r="AD216" s="5">
        <v>0.0</v>
      </c>
      <c r="AE216" s="5">
        <v>1.0</v>
      </c>
      <c r="AF216" s="8">
        <v>46172.0</v>
      </c>
      <c r="AG216" s="9">
        <v>0.375</v>
      </c>
      <c r="AH216" s="9">
        <v>0.9166666666666666</v>
      </c>
      <c r="AI216" s="4" t="s">
        <v>49</v>
      </c>
      <c r="AJ216" s="5" t="s">
        <v>52</v>
      </c>
      <c r="AK216" s="12"/>
      <c r="AL216" s="12"/>
      <c r="AM216" s="12"/>
      <c r="AN216" s="12"/>
      <c r="AO216" s="12"/>
      <c r="AP216" s="12"/>
      <c r="AQ216" s="12"/>
    </row>
    <row r="217">
      <c r="A217" s="5" t="s">
        <v>1267</v>
      </c>
      <c r="B217" s="5">
        <v>1.1398423E7</v>
      </c>
      <c r="C217" s="5" t="s">
        <v>37</v>
      </c>
      <c r="D217" s="5" t="s">
        <v>1268</v>
      </c>
      <c r="E217" s="5" t="s">
        <v>39</v>
      </c>
      <c r="F217" s="5" t="s">
        <v>1269</v>
      </c>
      <c r="G217" s="15">
        <v>6.28151E17</v>
      </c>
      <c r="H217" s="5" t="s">
        <v>1270</v>
      </c>
      <c r="I217" s="5" t="s">
        <v>42</v>
      </c>
      <c r="J217" s="5" t="s">
        <v>43</v>
      </c>
      <c r="K217" s="5">
        <v>8.7733785699E10</v>
      </c>
      <c r="L217" s="4" t="s">
        <v>44</v>
      </c>
      <c r="M217" s="5" t="s">
        <v>42</v>
      </c>
      <c r="N217" s="4" t="s">
        <v>45</v>
      </c>
      <c r="O217" s="4" t="s">
        <v>46</v>
      </c>
      <c r="P217" s="4" t="s">
        <v>47</v>
      </c>
      <c r="Q217" s="4">
        <v>16451.0</v>
      </c>
      <c r="R217" s="5" t="s">
        <v>1271</v>
      </c>
      <c r="S217" s="8">
        <v>46172.0</v>
      </c>
      <c r="T217" s="9">
        <v>0.375</v>
      </c>
      <c r="U217" s="9">
        <v>0.9166666666666666</v>
      </c>
      <c r="V217" s="4" t="s">
        <v>49</v>
      </c>
      <c r="W217" s="5">
        <v>1.0</v>
      </c>
      <c r="X217" s="5" t="b">
        <v>1</v>
      </c>
      <c r="Y217" s="5" t="s">
        <v>50</v>
      </c>
      <c r="Z217" s="5" t="b">
        <v>0</v>
      </c>
      <c r="AA217" s="10"/>
      <c r="AB217" s="4">
        <v>1.0</v>
      </c>
      <c r="AC217" s="11" t="s">
        <v>1272</v>
      </c>
      <c r="AD217" s="5">
        <v>0.0</v>
      </c>
      <c r="AE217" s="5">
        <v>1.0</v>
      </c>
      <c r="AF217" s="8">
        <v>46172.0</v>
      </c>
      <c r="AG217" s="9">
        <v>0.375</v>
      </c>
      <c r="AH217" s="9">
        <v>0.9166666666666666</v>
      </c>
      <c r="AI217" s="4" t="s">
        <v>49</v>
      </c>
      <c r="AJ217" s="5" t="s">
        <v>52</v>
      </c>
      <c r="AK217" s="12"/>
      <c r="AL217" s="12"/>
      <c r="AM217" s="12"/>
      <c r="AN217" s="12"/>
      <c r="AO217" s="12"/>
      <c r="AP217" s="12"/>
      <c r="AQ217" s="12"/>
    </row>
    <row r="218">
      <c r="A218" s="5" t="s">
        <v>1273</v>
      </c>
      <c r="B218" s="5">
        <v>1.1398423E7</v>
      </c>
      <c r="C218" s="5" t="s">
        <v>37</v>
      </c>
      <c r="D218" s="5" t="s">
        <v>1274</v>
      </c>
      <c r="E218" s="5" t="s">
        <v>39</v>
      </c>
      <c r="F218" s="5" t="s">
        <v>1275</v>
      </c>
      <c r="G218" s="15">
        <v>6.28512E17</v>
      </c>
      <c r="H218" s="5" t="s">
        <v>1276</v>
      </c>
      <c r="I218" s="5" t="s">
        <v>42</v>
      </c>
      <c r="J218" s="5" t="s">
        <v>43</v>
      </c>
      <c r="K218" s="5">
        <v>8.7733785699E10</v>
      </c>
      <c r="L218" s="4" t="s">
        <v>44</v>
      </c>
      <c r="M218" s="5" t="s">
        <v>42</v>
      </c>
      <c r="N218" s="4" t="s">
        <v>45</v>
      </c>
      <c r="O218" s="4" t="s">
        <v>46</v>
      </c>
      <c r="P218" s="4" t="s">
        <v>47</v>
      </c>
      <c r="Q218" s="4">
        <v>16451.0</v>
      </c>
      <c r="R218" s="5" t="s">
        <v>1277</v>
      </c>
      <c r="S218" s="8">
        <v>46172.0</v>
      </c>
      <c r="T218" s="9">
        <v>0.375</v>
      </c>
      <c r="U218" s="9">
        <v>0.9166666666666666</v>
      </c>
      <c r="V218" s="4" t="s">
        <v>49</v>
      </c>
      <c r="W218" s="5">
        <v>1.0</v>
      </c>
      <c r="X218" s="5" t="b">
        <v>1</v>
      </c>
      <c r="Y218" s="5" t="s">
        <v>50</v>
      </c>
      <c r="Z218" s="5" t="b">
        <v>0</v>
      </c>
      <c r="AA218" s="10"/>
      <c r="AB218" s="4">
        <v>1.0</v>
      </c>
      <c r="AC218" s="11" t="s">
        <v>1278</v>
      </c>
      <c r="AD218" s="5">
        <v>0.0</v>
      </c>
      <c r="AE218" s="5">
        <v>1.0</v>
      </c>
      <c r="AF218" s="8">
        <v>46172.0</v>
      </c>
      <c r="AG218" s="9">
        <v>0.375</v>
      </c>
      <c r="AH218" s="9">
        <v>0.9166666666666666</v>
      </c>
      <c r="AI218" s="4" t="s">
        <v>49</v>
      </c>
      <c r="AJ218" s="5" t="s">
        <v>52</v>
      </c>
      <c r="AK218" s="12"/>
      <c r="AL218" s="12"/>
      <c r="AM218" s="12"/>
      <c r="AN218" s="12"/>
      <c r="AO218" s="12"/>
      <c r="AP218" s="12"/>
      <c r="AQ218" s="12"/>
    </row>
    <row r="219">
      <c r="A219" s="5" t="s">
        <v>1279</v>
      </c>
      <c r="B219" s="5">
        <v>1.1398423E7</v>
      </c>
      <c r="C219" s="5" t="s">
        <v>37</v>
      </c>
      <c r="D219" s="5" t="s">
        <v>1280</v>
      </c>
      <c r="E219" s="5" t="s">
        <v>39</v>
      </c>
      <c r="F219" s="5" t="s">
        <v>1233</v>
      </c>
      <c r="G219" s="15">
        <v>6.28521E17</v>
      </c>
      <c r="H219" s="5" t="s">
        <v>1234</v>
      </c>
      <c r="I219" s="5" t="s">
        <v>42</v>
      </c>
      <c r="J219" s="5" t="s">
        <v>43</v>
      </c>
      <c r="K219" s="5">
        <v>8.7733785699E10</v>
      </c>
      <c r="L219" s="4" t="s">
        <v>44</v>
      </c>
      <c r="M219" s="5" t="s">
        <v>42</v>
      </c>
      <c r="N219" s="4" t="s">
        <v>45</v>
      </c>
      <c r="O219" s="4" t="s">
        <v>46</v>
      </c>
      <c r="P219" s="4" t="s">
        <v>47</v>
      </c>
      <c r="Q219" s="4">
        <v>16451.0</v>
      </c>
      <c r="R219" s="5" t="s">
        <v>1281</v>
      </c>
      <c r="S219" s="8">
        <v>46172.0</v>
      </c>
      <c r="T219" s="9">
        <v>0.375</v>
      </c>
      <c r="U219" s="9">
        <v>0.9166666666666666</v>
      </c>
      <c r="V219" s="4" t="s">
        <v>49</v>
      </c>
      <c r="W219" s="5">
        <v>1.0</v>
      </c>
      <c r="X219" s="5" t="b">
        <v>1</v>
      </c>
      <c r="Y219" s="5" t="s">
        <v>50</v>
      </c>
      <c r="Z219" s="5" t="b">
        <v>0</v>
      </c>
      <c r="AA219" s="10"/>
      <c r="AB219" s="4">
        <v>1.0</v>
      </c>
      <c r="AC219" s="11" t="s">
        <v>1282</v>
      </c>
      <c r="AD219" s="5">
        <v>0.0</v>
      </c>
      <c r="AE219" s="5">
        <v>1.0</v>
      </c>
      <c r="AF219" s="8">
        <v>46172.0</v>
      </c>
      <c r="AG219" s="9">
        <v>0.375</v>
      </c>
      <c r="AH219" s="9">
        <v>0.9166666666666666</v>
      </c>
      <c r="AI219" s="4" t="s">
        <v>49</v>
      </c>
      <c r="AJ219" s="5" t="s">
        <v>52</v>
      </c>
      <c r="AK219" s="12"/>
      <c r="AL219" s="12"/>
      <c r="AM219" s="12"/>
      <c r="AN219" s="12"/>
      <c r="AO219" s="12"/>
      <c r="AP219" s="12"/>
      <c r="AQ219" s="12"/>
    </row>
    <row r="220">
      <c r="A220" s="5" t="s">
        <v>1283</v>
      </c>
      <c r="B220" s="5">
        <v>1.1398423E7</v>
      </c>
      <c r="C220" s="5" t="s">
        <v>37</v>
      </c>
      <c r="D220" s="5" t="s">
        <v>1284</v>
      </c>
      <c r="E220" s="5" t="s">
        <v>39</v>
      </c>
      <c r="F220" s="5" t="s">
        <v>1285</v>
      </c>
      <c r="G220" s="15">
        <v>6.2813E16</v>
      </c>
      <c r="H220" s="5" t="s">
        <v>1286</v>
      </c>
      <c r="I220" s="5" t="s">
        <v>42</v>
      </c>
      <c r="J220" s="5" t="s">
        <v>43</v>
      </c>
      <c r="K220" s="5">
        <v>8.7733785699E10</v>
      </c>
      <c r="L220" s="4" t="s">
        <v>44</v>
      </c>
      <c r="M220" s="5" t="s">
        <v>42</v>
      </c>
      <c r="N220" s="4" t="s">
        <v>45</v>
      </c>
      <c r="O220" s="4" t="s">
        <v>46</v>
      </c>
      <c r="P220" s="4" t="s">
        <v>47</v>
      </c>
      <c r="Q220" s="4">
        <v>16451.0</v>
      </c>
      <c r="R220" s="5" t="s">
        <v>1287</v>
      </c>
      <c r="S220" s="8">
        <v>46172.0</v>
      </c>
      <c r="T220" s="9">
        <v>0.375</v>
      </c>
      <c r="U220" s="9">
        <v>0.9166666666666666</v>
      </c>
      <c r="V220" s="4" t="s">
        <v>49</v>
      </c>
      <c r="W220" s="5">
        <v>1.0</v>
      </c>
      <c r="X220" s="5" t="b">
        <v>1</v>
      </c>
      <c r="Y220" s="5" t="s">
        <v>50</v>
      </c>
      <c r="Z220" s="5" t="b">
        <v>0</v>
      </c>
      <c r="AA220" s="10"/>
      <c r="AB220" s="4">
        <v>1.0</v>
      </c>
      <c r="AC220" s="11" t="s">
        <v>1288</v>
      </c>
      <c r="AD220" s="5">
        <v>0.0</v>
      </c>
      <c r="AE220" s="5">
        <v>1.0</v>
      </c>
      <c r="AF220" s="8">
        <v>46172.0</v>
      </c>
      <c r="AG220" s="9">
        <v>0.375</v>
      </c>
      <c r="AH220" s="9">
        <v>0.9166666666666666</v>
      </c>
      <c r="AI220" s="4" t="s">
        <v>49</v>
      </c>
      <c r="AJ220" s="5" t="s">
        <v>52</v>
      </c>
      <c r="AK220" s="12"/>
      <c r="AL220" s="12"/>
      <c r="AM220" s="12"/>
      <c r="AN220" s="12"/>
      <c r="AO220" s="12"/>
      <c r="AP220" s="12"/>
      <c r="AQ220" s="12"/>
    </row>
    <row r="221">
      <c r="A221" s="5" t="s">
        <v>1289</v>
      </c>
      <c r="B221" s="5">
        <v>1.1398423E7</v>
      </c>
      <c r="C221" s="5" t="s">
        <v>37</v>
      </c>
      <c r="D221" s="5" t="s">
        <v>1290</v>
      </c>
      <c r="E221" s="5" t="s">
        <v>39</v>
      </c>
      <c r="F221" s="5" t="s">
        <v>1291</v>
      </c>
      <c r="G221" s="15">
        <v>6.28139E17</v>
      </c>
      <c r="H221" s="5" t="s">
        <v>1292</v>
      </c>
      <c r="I221" s="5" t="s">
        <v>42</v>
      </c>
      <c r="J221" s="5" t="s">
        <v>43</v>
      </c>
      <c r="K221" s="5">
        <v>8.7733785699E10</v>
      </c>
      <c r="L221" s="4" t="s">
        <v>44</v>
      </c>
      <c r="M221" s="5" t="s">
        <v>42</v>
      </c>
      <c r="N221" s="4" t="s">
        <v>45</v>
      </c>
      <c r="O221" s="4" t="s">
        <v>46</v>
      </c>
      <c r="P221" s="4" t="s">
        <v>47</v>
      </c>
      <c r="Q221" s="4">
        <v>16451.0</v>
      </c>
      <c r="R221" s="5" t="s">
        <v>1293</v>
      </c>
      <c r="S221" s="8">
        <v>46172.0</v>
      </c>
      <c r="T221" s="9">
        <v>0.375</v>
      </c>
      <c r="U221" s="9">
        <v>0.9166666666666666</v>
      </c>
      <c r="V221" s="4" t="s">
        <v>49</v>
      </c>
      <c r="W221" s="5">
        <v>1.0</v>
      </c>
      <c r="X221" s="5" t="b">
        <v>1</v>
      </c>
      <c r="Y221" s="5" t="s">
        <v>50</v>
      </c>
      <c r="Z221" s="5" t="b">
        <v>0</v>
      </c>
      <c r="AA221" s="10"/>
      <c r="AB221" s="4">
        <v>1.0</v>
      </c>
      <c r="AC221" s="11" t="s">
        <v>1294</v>
      </c>
      <c r="AD221" s="5">
        <v>0.0</v>
      </c>
      <c r="AE221" s="5">
        <v>1.0</v>
      </c>
      <c r="AF221" s="8">
        <v>46172.0</v>
      </c>
      <c r="AG221" s="9">
        <v>0.375</v>
      </c>
      <c r="AH221" s="9">
        <v>0.9166666666666666</v>
      </c>
      <c r="AI221" s="4" t="s">
        <v>49</v>
      </c>
      <c r="AJ221" s="5" t="s">
        <v>52</v>
      </c>
      <c r="AK221" s="12"/>
      <c r="AL221" s="12"/>
      <c r="AM221" s="12"/>
      <c r="AN221" s="12"/>
      <c r="AO221" s="12"/>
      <c r="AP221" s="12"/>
      <c r="AQ221" s="12"/>
    </row>
    <row r="222">
      <c r="A222" s="5" t="s">
        <v>1295</v>
      </c>
      <c r="B222" s="5">
        <v>1.1398423E7</v>
      </c>
      <c r="C222" s="5" t="s">
        <v>37</v>
      </c>
      <c r="D222" s="5" t="s">
        <v>1296</v>
      </c>
      <c r="E222" s="5" t="s">
        <v>39</v>
      </c>
      <c r="F222" s="5" t="s">
        <v>1297</v>
      </c>
      <c r="G222" s="15">
        <v>6.28151E17</v>
      </c>
      <c r="H222" s="5" t="s">
        <v>1298</v>
      </c>
      <c r="I222" s="5" t="s">
        <v>42</v>
      </c>
      <c r="J222" s="5" t="s">
        <v>43</v>
      </c>
      <c r="K222" s="5">
        <v>8.7733785699E10</v>
      </c>
      <c r="L222" s="4" t="s">
        <v>44</v>
      </c>
      <c r="M222" s="5" t="s">
        <v>42</v>
      </c>
      <c r="N222" s="4" t="s">
        <v>45</v>
      </c>
      <c r="O222" s="4" t="s">
        <v>46</v>
      </c>
      <c r="P222" s="4" t="s">
        <v>47</v>
      </c>
      <c r="Q222" s="4">
        <v>16451.0</v>
      </c>
      <c r="R222" s="5" t="s">
        <v>1299</v>
      </c>
      <c r="S222" s="8">
        <v>46172.0</v>
      </c>
      <c r="T222" s="9">
        <v>0.375</v>
      </c>
      <c r="U222" s="9">
        <v>0.9166666666666666</v>
      </c>
      <c r="V222" s="4" t="s">
        <v>49</v>
      </c>
      <c r="W222" s="5">
        <v>1.0</v>
      </c>
      <c r="X222" s="5" t="b">
        <v>1</v>
      </c>
      <c r="Y222" s="5" t="s">
        <v>50</v>
      </c>
      <c r="Z222" s="5" t="b">
        <v>0</v>
      </c>
      <c r="AA222" s="10"/>
      <c r="AB222" s="4">
        <v>1.0</v>
      </c>
      <c r="AC222" s="11" t="s">
        <v>1300</v>
      </c>
      <c r="AD222" s="5">
        <v>0.0</v>
      </c>
      <c r="AE222" s="5">
        <v>1.0</v>
      </c>
      <c r="AF222" s="8">
        <v>46172.0</v>
      </c>
      <c r="AG222" s="9">
        <v>0.375</v>
      </c>
      <c r="AH222" s="9">
        <v>0.9166666666666666</v>
      </c>
      <c r="AI222" s="4" t="s">
        <v>49</v>
      </c>
      <c r="AJ222" s="5" t="s">
        <v>52</v>
      </c>
      <c r="AK222" s="12"/>
      <c r="AL222" s="12"/>
      <c r="AM222" s="12"/>
      <c r="AN222" s="12"/>
      <c r="AO222" s="12"/>
      <c r="AP222" s="12"/>
      <c r="AQ222" s="12"/>
    </row>
    <row r="223">
      <c r="A223" s="5" t="s">
        <v>1301</v>
      </c>
      <c r="B223" s="5">
        <v>1.1398423E7</v>
      </c>
      <c r="C223" s="5" t="s">
        <v>37</v>
      </c>
      <c r="D223" s="5" t="s">
        <v>1302</v>
      </c>
      <c r="E223" s="5" t="s">
        <v>39</v>
      </c>
      <c r="F223" s="5" t="s">
        <v>1303</v>
      </c>
      <c r="G223" s="15">
        <v>6.28121E17</v>
      </c>
      <c r="H223" s="5" t="s">
        <v>1304</v>
      </c>
      <c r="I223" s="5" t="s">
        <v>42</v>
      </c>
      <c r="J223" s="5" t="s">
        <v>43</v>
      </c>
      <c r="K223" s="5">
        <v>8.7733785699E10</v>
      </c>
      <c r="L223" s="4" t="s">
        <v>44</v>
      </c>
      <c r="M223" s="5" t="s">
        <v>42</v>
      </c>
      <c r="N223" s="4" t="s">
        <v>45</v>
      </c>
      <c r="O223" s="4" t="s">
        <v>46</v>
      </c>
      <c r="P223" s="4" t="s">
        <v>47</v>
      </c>
      <c r="Q223" s="4">
        <v>16451.0</v>
      </c>
      <c r="R223" s="5" t="s">
        <v>1305</v>
      </c>
      <c r="S223" s="8">
        <v>46173.0</v>
      </c>
      <c r="T223" s="9">
        <v>0.375</v>
      </c>
      <c r="U223" s="9">
        <v>0.9166666666666666</v>
      </c>
      <c r="V223" s="4" t="s">
        <v>49</v>
      </c>
      <c r="W223" s="5">
        <v>1.0</v>
      </c>
      <c r="X223" s="5" t="b">
        <v>1</v>
      </c>
      <c r="Y223" s="5" t="s">
        <v>50</v>
      </c>
      <c r="Z223" s="5" t="b">
        <v>0</v>
      </c>
      <c r="AA223" s="10"/>
      <c r="AB223" s="4">
        <v>1.0</v>
      </c>
      <c r="AC223" s="11" t="s">
        <v>1306</v>
      </c>
      <c r="AD223" s="5">
        <v>0.0</v>
      </c>
      <c r="AE223" s="5">
        <v>1.0</v>
      </c>
      <c r="AF223" s="8">
        <v>46173.0</v>
      </c>
      <c r="AG223" s="9">
        <v>0.375</v>
      </c>
      <c r="AH223" s="9">
        <v>0.9166666666666666</v>
      </c>
      <c r="AI223" s="4" t="s">
        <v>49</v>
      </c>
      <c r="AJ223" s="5" t="s">
        <v>52</v>
      </c>
      <c r="AK223" s="12"/>
      <c r="AL223" s="12"/>
      <c r="AM223" s="12"/>
      <c r="AN223" s="12"/>
      <c r="AO223" s="12"/>
      <c r="AP223" s="12"/>
      <c r="AQ223" s="12"/>
    </row>
    <row r="224">
      <c r="A224" s="5" t="s">
        <v>1307</v>
      </c>
      <c r="B224" s="5">
        <v>1.1398423E7</v>
      </c>
      <c r="C224" s="5" t="s">
        <v>37</v>
      </c>
      <c r="D224" s="5" t="s">
        <v>1308</v>
      </c>
      <c r="E224" s="5" t="s">
        <v>39</v>
      </c>
      <c r="F224" s="5" t="s">
        <v>161</v>
      </c>
      <c r="G224" s="15">
        <v>6.28138E17</v>
      </c>
      <c r="H224" s="5" t="s">
        <v>162</v>
      </c>
      <c r="I224" s="5" t="s">
        <v>42</v>
      </c>
      <c r="J224" s="5" t="s">
        <v>43</v>
      </c>
      <c r="K224" s="5">
        <v>8.7733785699E10</v>
      </c>
      <c r="L224" s="4" t="s">
        <v>44</v>
      </c>
      <c r="M224" s="5" t="s">
        <v>42</v>
      </c>
      <c r="N224" s="4" t="s">
        <v>45</v>
      </c>
      <c r="O224" s="4" t="s">
        <v>46</v>
      </c>
      <c r="P224" s="4" t="s">
        <v>47</v>
      </c>
      <c r="Q224" s="4">
        <v>16451.0</v>
      </c>
      <c r="R224" s="5" t="s">
        <v>1309</v>
      </c>
      <c r="S224" s="8">
        <v>46173.0</v>
      </c>
      <c r="T224" s="9">
        <v>0.375</v>
      </c>
      <c r="U224" s="9">
        <v>0.9166666666666666</v>
      </c>
      <c r="V224" s="4" t="s">
        <v>49</v>
      </c>
      <c r="W224" s="5">
        <v>1.0</v>
      </c>
      <c r="X224" s="5" t="b">
        <v>1</v>
      </c>
      <c r="Y224" s="5" t="s">
        <v>50</v>
      </c>
      <c r="Z224" s="5" t="b">
        <v>0</v>
      </c>
      <c r="AA224" s="10"/>
      <c r="AB224" s="4">
        <v>1.0</v>
      </c>
      <c r="AC224" s="11" t="s">
        <v>1310</v>
      </c>
      <c r="AD224" s="5">
        <v>0.0</v>
      </c>
      <c r="AE224" s="5">
        <v>1.0</v>
      </c>
      <c r="AF224" s="8">
        <v>46173.0</v>
      </c>
      <c r="AG224" s="9">
        <v>0.375</v>
      </c>
      <c r="AH224" s="9">
        <v>0.9166666666666666</v>
      </c>
      <c r="AI224" s="4" t="s">
        <v>49</v>
      </c>
      <c r="AJ224" s="5" t="s">
        <v>52</v>
      </c>
      <c r="AK224" s="12"/>
      <c r="AL224" s="12"/>
      <c r="AM224" s="12"/>
      <c r="AN224" s="12"/>
      <c r="AO224" s="12"/>
      <c r="AP224" s="12"/>
      <c r="AQ224" s="12"/>
    </row>
    <row r="225">
      <c r="A225" s="5" t="s">
        <v>1311</v>
      </c>
      <c r="B225" s="5">
        <v>1.1398423E7</v>
      </c>
      <c r="C225" s="5" t="s">
        <v>37</v>
      </c>
      <c r="D225" s="5" t="s">
        <v>1312</v>
      </c>
      <c r="E225" s="5" t="s">
        <v>39</v>
      </c>
      <c r="F225" s="5" t="s">
        <v>1313</v>
      </c>
      <c r="G225" s="15">
        <v>6.28122E17</v>
      </c>
      <c r="H225" s="5" t="s">
        <v>1314</v>
      </c>
      <c r="I225" s="5" t="s">
        <v>42</v>
      </c>
      <c r="J225" s="5" t="s">
        <v>43</v>
      </c>
      <c r="K225" s="5">
        <v>8.7733785699E10</v>
      </c>
      <c r="L225" s="4" t="s">
        <v>44</v>
      </c>
      <c r="M225" s="5" t="s">
        <v>42</v>
      </c>
      <c r="N225" s="4" t="s">
        <v>45</v>
      </c>
      <c r="O225" s="4" t="s">
        <v>46</v>
      </c>
      <c r="P225" s="4" t="s">
        <v>47</v>
      </c>
      <c r="Q225" s="4">
        <v>16451.0</v>
      </c>
      <c r="R225" s="5" t="s">
        <v>1315</v>
      </c>
      <c r="S225" s="8">
        <v>46175.0</v>
      </c>
      <c r="T225" s="9">
        <v>0.375</v>
      </c>
      <c r="U225" s="9">
        <v>0.9166666666666666</v>
      </c>
      <c r="V225" s="4" t="s">
        <v>49</v>
      </c>
      <c r="W225" s="5">
        <v>1.0</v>
      </c>
      <c r="X225" s="5" t="b">
        <v>1</v>
      </c>
      <c r="Y225" s="5" t="s">
        <v>50</v>
      </c>
      <c r="Z225" s="5" t="b">
        <v>0</v>
      </c>
      <c r="AA225" s="10"/>
      <c r="AB225" s="4">
        <v>1.0</v>
      </c>
      <c r="AC225" s="11" t="s">
        <v>1316</v>
      </c>
      <c r="AD225" s="5">
        <v>0.0</v>
      </c>
      <c r="AE225" s="5">
        <v>1.0</v>
      </c>
      <c r="AF225" s="8">
        <v>46175.0</v>
      </c>
      <c r="AG225" s="9">
        <v>0.375</v>
      </c>
      <c r="AH225" s="9">
        <v>0.9166666666666666</v>
      </c>
      <c r="AI225" s="4" t="s">
        <v>49</v>
      </c>
      <c r="AJ225" s="5" t="s">
        <v>52</v>
      </c>
      <c r="AK225" s="12"/>
      <c r="AL225" s="12"/>
      <c r="AM225" s="12"/>
      <c r="AN225" s="12"/>
      <c r="AO225" s="12"/>
      <c r="AP225" s="12"/>
      <c r="AQ225" s="12"/>
    </row>
    <row r="226">
      <c r="A226" s="5" t="s">
        <v>1317</v>
      </c>
      <c r="B226" s="5">
        <v>1.1398423E7</v>
      </c>
      <c r="C226" s="5" t="s">
        <v>37</v>
      </c>
      <c r="D226" s="5" t="s">
        <v>1318</v>
      </c>
      <c r="E226" s="5" t="s">
        <v>39</v>
      </c>
      <c r="F226" s="5" t="s">
        <v>1319</v>
      </c>
      <c r="G226" s="15">
        <v>6.28138E17</v>
      </c>
      <c r="H226" s="5" t="s">
        <v>1320</v>
      </c>
      <c r="I226" s="5" t="s">
        <v>42</v>
      </c>
      <c r="J226" s="5" t="s">
        <v>43</v>
      </c>
      <c r="K226" s="5">
        <v>8.7733785699E10</v>
      </c>
      <c r="L226" s="4" t="s">
        <v>44</v>
      </c>
      <c r="M226" s="5" t="s">
        <v>42</v>
      </c>
      <c r="N226" s="4" t="s">
        <v>45</v>
      </c>
      <c r="O226" s="4" t="s">
        <v>46</v>
      </c>
      <c r="P226" s="4" t="s">
        <v>47</v>
      </c>
      <c r="Q226" s="4">
        <v>16451.0</v>
      </c>
      <c r="R226" s="5" t="s">
        <v>1321</v>
      </c>
      <c r="S226" s="8">
        <v>46175.0</v>
      </c>
      <c r="T226" s="9">
        <v>0.375</v>
      </c>
      <c r="U226" s="9">
        <v>0.9166666666666666</v>
      </c>
      <c r="V226" s="4" t="s">
        <v>49</v>
      </c>
      <c r="W226" s="5">
        <v>1.0</v>
      </c>
      <c r="X226" s="5" t="b">
        <v>1</v>
      </c>
      <c r="Y226" s="5" t="s">
        <v>50</v>
      </c>
      <c r="Z226" s="5" t="b">
        <v>0</v>
      </c>
      <c r="AA226" s="10"/>
      <c r="AB226" s="4">
        <v>1.0</v>
      </c>
      <c r="AC226" s="11" t="s">
        <v>1322</v>
      </c>
      <c r="AD226" s="5">
        <v>0.0</v>
      </c>
      <c r="AE226" s="5">
        <v>1.0</v>
      </c>
      <c r="AF226" s="8">
        <v>46175.0</v>
      </c>
      <c r="AG226" s="9">
        <v>0.375</v>
      </c>
      <c r="AH226" s="9">
        <v>0.9166666666666666</v>
      </c>
      <c r="AI226" s="4" t="s">
        <v>49</v>
      </c>
      <c r="AJ226" s="5" t="s">
        <v>52</v>
      </c>
      <c r="AK226" s="12"/>
      <c r="AL226" s="12"/>
      <c r="AM226" s="12"/>
      <c r="AN226" s="12"/>
      <c r="AO226" s="12"/>
      <c r="AP226" s="12"/>
      <c r="AQ226" s="12"/>
    </row>
    <row r="227">
      <c r="A227" s="5" t="s">
        <v>1323</v>
      </c>
      <c r="B227" s="5">
        <v>1.1398423E7</v>
      </c>
      <c r="C227" s="5" t="s">
        <v>37</v>
      </c>
      <c r="D227" s="5" t="s">
        <v>1324</v>
      </c>
      <c r="E227" s="5" t="s">
        <v>39</v>
      </c>
      <c r="F227" s="5" t="s">
        <v>462</v>
      </c>
      <c r="G227" s="15">
        <v>6.28122E17</v>
      </c>
      <c r="H227" s="5" t="s">
        <v>463</v>
      </c>
      <c r="I227" s="5" t="s">
        <v>42</v>
      </c>
      <c r="J227" s="5" t="s">
        <v>43</v>
      </c>
      <c r="K227" s="5">
        <v>8.7733785699E10</v>
      </c>
      <c r="L227" s="4" t="s">
        <v>44</v>
      </c>
      <c r="M227" s="5" t="s">
        <v>42</v>
      </c>
      <c r="N227" s="4" t="s">
        <v>45</v>
      </c>
      <c r="O227" s="4" t="s">
        <v>46</v>
      </c>
      <c r="P227" s="4" t="s">
        <v>47</v>
      </c>
      <c r="Q227" s="4">
        <v>16451.0</v>
      </c>
      <c r="R227" s="5" t="s">
        <v>1325</v>
      </c>
      <c r="S227" s="8">
        <v>46175.0</v>
      </c>
      <c r="T227" s="9">
        <v>0.375</v>
      </c>
      <c r="U227" s="9">
        <v>0.9166666666666666</v>
      </c>
      <c r="V227" s="4" t="s">
        <v>49</v>
      </c>
      <c r="W227" s="5">
        <v>1.0</v>
      </c>
      <c r="X227" s="5" t="b">
        <v>1</v>
      </c>
      <c r="Y227" s="5" t="s">
        <v>50</v>
      </c>
      <c r="Z227" s="5" t="b">
        <v>0</v>
      </c>
      <c r="AA227" s="10"/>
      <c r="AB227" s="4">
        <v>1.0</v>
      </c>
      <c r="AC227" s="11" t="s">
        <v>1326</v>
      </c>
      <c r="AD227" s="5">
        <v>0.0</v>
      </c>
      <c r="AE227" s="5">
        <v>1.0</v>
      </c>
      <c r="AF227" s="8">
        <v>46175.0</v>
      </c>
      <c r="AG227" s="9">
        <v>0.375</v>
      </c>
      <c r="AH227" s="9">
        <v>0.9166666666666666</v>
      </c>
      <c r="AI227" s="4" t="s">
        <v>49</v>
      </c>
      <c r="AJ227" s="5" t="s">
        <v>52</v>
      </c>
      <c r="AK227" s="12"/>
      <c r="AL227" s="12"/>
      <c r="AM227" s="12"/>
      <c r="AN227" s="12"/>
      <c r="AO227" s="12"/>
      <c r="AP227" s="12"/>
      <c r="AQ227" s="12"/>
    </row>
    <row r="228">
      <c r="A228" s="5" t="s">
        <v>1327</v>
      </c>
      <c r="B228" s="5">
        <v>1.1398423E7</v>
      </c>
      <c r="C228" s="5" t="s">
        <v>37</v>
      </c>
      <c r="D228" s="5" t="s">
        <v>1328</v>
      </c>
      <c r="E228" s="5" t="s">
        <v>39</v>
      </c>
      <c r="F228" s="5" t="s">
        <v>1329</v>
      </c>
      <c r="G228" s="15">
        <v>6.28211E17</v>
      </c>
      <c r="H228" s="5" t="s">
        <v>1330</v>
      </c>
      <c r="I228" s="5" t="s">
        <v>42</v>
      </c>
      <c r="J228" s="5" t="s">
        <v>43</v>
      </c>
      <c r="K228" s="5">
        <v>8.7733785699E10</v>
      </c>
      <c r="L228" s="4" t="s">
        <v>44</v>
      </c>
      <c r="M228" s="5" t="s">
        <v>42</v>
      </c>
      <c r="N228" s="4" t="s">
        <v>45</v>
      </c>
      <c r="O228" s="4" t="s">
        <v>46</v>
      </c>
      <c r="P228" s="4" t="s">
        <v>47</v>
      </c>
      <c r="Q228" s="4">
        <v>16451.0</v>
      </c>
      <c r="R228" s="5" t="s">
        <v>1331</v>
      </c>
      <c r="S228" s="8">
        <v>46175.0</v>
      </c>
      <c r="T228" s="9">
        <v>0.375</v>
      </c>
      <c r="U228" s="9">
        <v>0.9166666666666666</v>
      </c>
      <c r="V228" s="4" t="s">
        <v>49</v>
      </c>
      <c r="W228" s="5">
        <v>1.0</v>
      </c>
      <c r="X228" s="5" t="b">
        <v>1</v>
      </c>
      <c r="Y228" s="5" t="s">
        <v>50</v>
      </c>
      <c r="Z228" s="5" t="b">
        <v>0</v>
      </c>
      <c r="AA228" s="10"/>
      <c r="AB228" s="4">
        <v>1.0</v>
      </c>
      <c r="AC228" s="11" t="s">
        <v>1332</v>
      </c>
      <c r="AD228" s="5">
        <v>0.0</v>
      </c>
      <c r="AE228" s="5">
        <v>1.0</v>
      </c>
      <c r="AF228" s="8">
        <v>46175.0</v>
      </c>
      <c r="AG228" s="9">
        <v>0.375</v>
      </c>
      <c r="AH228" s="9">
        <v>0.9166666666666666</v>
      </c>
      <c r="AI228" s="4" t="s">
        <v>49</v>
      </c>
      <c r="AJ228" s="5" t="s">
        <v>52</v>
      </c>
      <c r="AK228" s="12"/>
      <c r="AL228" s="12"/>
      <c r="AM228" s="12"/>
      <c r="AN228" s="12"/>
      <c r="AO228" s="12"/>
      <c r="AP228" s="12"/>
      <c r="AQ228" s="12"/>
    </row>
    <row r="229">
      <c r="A229" s="5" t="s">
        <v>1333</v>
      </c>
      <c r="B229" s="5">
        <v>1.1398423E7</v>
      </c>
      <c r="C229" s="5" t="s">
        <v>37</v>
      </c>
      <c r="D229" s="5" t="s">
        <v>1334</v>
      </c>
      <c r="E229" s="5" t="s">
        <v>39</v>
      </c>
      <c r="F229" s="5" t="s">
        <v>370</v>
      </c>
      <c r="G229" s="15">
        <v>2.177833109E9</v>
      </c>
      <c r="H229" s="5" t="s">
        <v>371</v>
      </c>
      <c r="I229" s="5" t="s">
        <v>42</v>
      </c>
      <c r="J229" s="5" t="s">
        <v>43</v>
      </c>
      <c r="K229" s="5">
        <v>8.7733785699E10</v>
      </c>
      <c r="L229" s="4" t="s">
        <v>44</v>
      </c>
      <c r="M229" s="5" t="s">
        <v>42</v>
      </c>
      <c r="N229" s="4" t="s">
        <v>45</v>
      </c>
      <c r="O229" s="4" t="s">
        <v>46</v>
      </c>
      <c r="P229" s="4" t="s">
        <v>47</v>
      </c>
      <c r="Q229" s="4">
        <v>16451.0</v>
      </c>
      <c r="R229" s="5" t="s">
        <v>1335</v>
      </c>
      <c r="S229" s="8">
        <v>46175.0</v>
      </c>
      <c r="T229" s="9">
        <v>0.375</v>
      </c>
      <c r="U229" s="9">
        <v>0.9166666666666666</v>
      </c>
      <c r="V229" s="4" t="s">
        <v>49</v>
      </c>
      <c r="W229" s="5">
        <v>1.0</v>
      </c>
      <c r="X229" s="5" t="b">
        <v>1</v>
      </c>
      <c r="Y229" s="5" t="s">
        <v>50</v>
      </c>
      <c r="Z229" s="5" t="b">
        <v>0</v>
      </c>
      <c r="AA229" s="10"/>
      <c r="AB229" s="4">
        <v>1.0</v>
      </c>
      <c r="AC229" s="11" t="s">
        <v>1336</v>
      </c>
      <c r="AD229" s="5">
        <v>0.0</v>
      </c>
      <c r="AE229" s="5">
        <v>1.0</v>
      </c>
      <c r="AF229" s="8">
        <v>46175.0</v>
      </c>
      <c r="AG229" s="9">
        <v>0.375</v>
      </c>
      <c r="AH229" s="9">
        <v>0.9166666666666666</v>
      </c>
      <c r="AI229" s="4" t="s">
        <v>49</v>
      </c>
      <c r="AJ229" s="5" t="s">
        <v>52</v>
      </c>
      <c r="AK229" s="12"/>
      <c r="AL229" s="12"/>
      <c r="AM229" s="12"/>
      <c r="AN229" s="12"/>
      <c r="AO229" s="12"/>
      <c r="AP229" s="12"/>
      <c r="AQ229" s="12"/>
    </row>
    <row r="230">
      <c r="A230" s="5" t="s">
        <v>1337</v>
      </c>
      <c r="B230" s="5">
        <v>1.1398423E7</v>
      </c>
      <c r="C230" s="5" t="s">
        <v>37</v>
      </c>
      <c r="D230" s="5" t="s">
        <v>1338</v>
      </c>
      <c r="E230" s="5" t="s">
        <v>39</v>
      </c>
      <c r="F230" s="5" t="s">
        <v>1339</v>
      </c>
      <c r="G230" s="15">
        <v>6.28519E17</v>
      </c>
      <c r="H230" s="5" t="s">
        <v>1340</v>
      </c>
      <c r="I230" s="5" t="s">
        <v>42</v>
      </c>
      <c r="J230" s="5" t="s">
        <v>43</v>
      </c>
      <c r="K230" s="5">
        <v>8.7733785699E10</v>
      </c>
      <c r="L230" s="4" t="s">
        <v>44</v>
      </c>
      <c r="M230" s="5" t="s">
        <v>42</v>
      </c>
      <c r="N230" s="4" t="s">
        <v>45</v>
      </c>
      <c r="O230" s="4" t="s">
        <v>46</v>
      </c>
      <c r="P230" s="4" t="s">
        <v>47</v>
      </c>
      <c r="Q230" s="4">
        <v>16451.0</v>
      </c>
      <c r="R230" s="5" t="s">
        <v>1341</v>
      </c>
      <c r="S230" s="8">
        <v>46175.0</v>
      </c>
      <c r="T230" s="9">
        <v>0.375</v>
      </c>
      <c r="U230" s="9">
        <v>0.9166666666666666</v>
      </c>
      <c r="V230" s="4" t="s">
        <v>49</v>
      </c>
      <c r="W230" s="5">
        <v>1.0</v>
      </c>
      <c r="X230" s="5" t="b">
        <v>1</v>
      </c>
      <c r="Y230" s="5" t="s">
        <v>50</v>
      </c>
      <c r="Z230" s="5" t="b">
        <v>0</v>
      </c>
      <c r="AA230" s="10"/>
      <c r="AB230" s="4">
        <v>1.0</v>
      </c>
      <c r="AC230" s="11" t="s">
        <v>1342</v>
      </c>
      <c r="AD230" s="5">
        <v>0.0</v>
      </c>
      <c r="AE230" s="5">
        <v>1.0</v>
      </c>
      <c r="AF230" s="8">
        <v>46175.0</v>
      </c>
      <c r="AG230" s="9">
        <v>0.375</v>
      </c>
      <c r="AH230" s="9">
        <v>0.9166666666666666</v>
      </c>
      <c r="AI230" s="4" t="s">
        <v>49</v>
      </c>
      <c r="AJ230" s="5" t="s">
        <v>52</v>
      </c>
      <c r="AK230" s="12"/>
      <c r="AL230" s="12"/>
      <c r="AM230" s="12"/>
      <c r="AN230" s="12"/>
      <c r="AO230" s="12"/>
      <c r="AP230" s="12"/>
      <c r="AQ230" s="12"/>
    </row>
    <row r="231">
      <c r="A231" s="5" t="s">
        <v>1343</v>
      </c>
      <c r="B231" s="5">
        <v>1.1398423E7</v>
      </c>
      <c r="C231" s="5" t="s">
        <v>37</v>
      </c>
      <c r="D231" s="5" t="s">
        <v>1344</v>
      </c>
      <c r="E231" s="5" t="s">
        <v>39</v>
      </c>
      <c r="F231" s="5" t="s">
        <v>834</v>
      </c>
      <c r="G231" s="15">
        <v>6.28121E17</v>
      </c>
      <c r="H231" s="5" t="s">
        <v>835</v>
      </c>
      <c r="I231" s="5" t="s">
        <v>42</v>
      </c>
      <c r="J231" s="5" t="s">
        <v>43</v>
      </c>
      <c r="K231" s="5">
        <v>8.7733785699E10</v>
      </c>
      <c r="L231" s="4" t="s">
        <v>44</v>
      </c>
      <c r="M231" s="5" t="s">
        <v>42</v>
      </c>
      <c r="N231" s="4" t="s">
        <v>45</v>
      </c>
      <c r="O231" s="4" t="s">
        <v>46</v>
      </c>
      <c r="P231" s="4" t="s">
        <v>47</v>
      </c>
      <c r="Q231" s="4">
        <v>16451.0</v>
      </c>
      <c r="R231" s="5" t="s">
        <v>1345</v>
      </c>
      <c r="S231" s="8">
        <v>46175.0</v>
      </c>
      <c r="T231" s="9">
        <v>0.375</v>
      </c>
      <c r="U231" s="9">
        <v>0.9166666666666666</v>
      </c>
      <c r="V231" s="4" t="s">
        <v>49</v>
      </c>
      <c r="W231" s="5">
        <v>1.0</v>
      </c>
      <c r="X231" s="5" t="b">
        <v>1</v>
      </c>
      <c r="Y231" s="5" t="s">
        <v>50</v>
      </c>
      <c r="Z231" s="5" t="b">
        <v>0</v>
      </c>
      <c r="AA231" s="10"/>
      <c r="AB231" s="4">
        <v>1.0</v>
      </c>
      <c r="AC231" s="11" t="s">
        <v>1346</v>
      </c>
      <c r="AD231" s="5">
        <v>0.0</v>
      </c>
      <c r="AE231" s="5">
        <v>1.0</v>
      </c>
      <c r="AF231" s="8">
        <v>46175.0</v>
      </c>
      <c r="AG231" s="9">
        <v>0.375</v>
      </c>
      <c r="AH231" s="9">
        <v>0.9166666666666666</v>
      </c>
      <c r="AI231" s="4" t="s">
        <v>49</v>
      </c>
      <c r="AJ231" s="5" t="s">
        <v>52</v>
      </c>
      <c r="AK231" s="12"/>
      <c r="AL231" s="12"/>
      <c r="AM231" s="12"/>
      <c r="AN231" s="12"/>
      <c r="AO231" s="12"/>
      <c r="AP231" s="12"/>
      <c r="AQ231" s="12"/>
    </row>
    <row r="232">
      <c r="A232" s="5" t="s">
        <v>1347</v>
      </c>
      <c r="B232" s="5">
        <v>1.1398423E7</v>
      </c>
      <c r="C232" s="5" t="s">
        <v>37</v>
      </c>
      <c r="D232" s="5" t="s">
        <v>1348</v>
      </c>
      <c r="E232" s="5" t="s">
        <v>39</v>
      </c>
      <c r="F232" s="5" t="s">
        <v>498</v>
      </c>
      <c r="G232" s="15">
        <v>6.28571E17</v>
      </c>
      <c r="H232" s="5" t="s">
        <v>499</v>
      </c>
      <c r="I232" s="5" t="s">
        <v>42</v>
      </c>
      <c r="J232" s="5" t="s">
        <v>43</v>
      </c>
      <c r="K232" s="5">
        <v>8.7733785699E10</v>
      </c>
      <c r="L232" s="4" t="s">
        <v>44</v>
      </c>
      <c r="M232" s="5" t="s">
        <v>42</v>
      </c>
      <c r="N232" s="4" t="s">
        <v>45</v>
      </c>
      <c r="O232" s="4" t="s">
        <v>46</v>
      </c>
      <c r="P232" s="4" t="s">
        <v>47</v>
      </c>
      <c r="Q232" s="4">
        <v>16451.0</v>
      </c>
      <c r="R232" s="5" t="s">
        <v>1349</v>
      </c>
      <c r="S232" s="8">
        <v>46175.0</v>
      </c>
      <c r="T232" s="9">
        <v>0.375</v>
      </c>
      <c r="U232" s="9">
        <v>0.9166666666666666</v>
      </c>
      <c r="V232" s="4" t="s">
        <v>49</v>
      </c>
      <c r="W232" s="5">
        <v>1.0</v>
      </c>
      <c r="X232" s="5" t="b">
        <v>1</v>
      </c>
      <c r="Y232" s="5" t="s">
        <v>50</v>
      </c>
      <c r="Z232" s="5" t="b">
        <v>0</v>
      </c>
      <c r="AA232" s="10"/>
      <c r="AB232" s="4">
        <v>1.0</v>
      </c>
      <c r="AC232" s="11" t="s">
        <v>1350</v>
      </c>
      <c r="AD232" s="5">
        <v>0.0</v>
      </c>
      <c r="AE232" s="5">
        <v>1.0</v>
      </c>
      <c r="AF232" s="8">
        <v>46175.0</v>
      </c>
      <c r="AG232" s="9">
        <v>0.375</v>
      </c>
      <c r="AH232" s="9">
        <v>0.9166666666666666</v>
      </c>
      <c r="AI232" s="4" t="s">
        <v>49</v>
      </c>
      <c r="AJ232" s="5" t="s">
        <v>52</v>
      </c>
      <c r="AK232" s="12"/>
      <c r="AL232" s="12"/>
      <c r="AM232" s="12"/>
      <c r="AN232" s="12"/>
      <c r="AO232" s="12"/>
      <c r="AP232" s="12"/>
      <c r="AQ232" s="12"/>
    </row>
    <row r="233">
      <c r="A233" s="5" t="s">
        <v>1351</v>
      </c>
      <c r="B233" s="5">
        <v>1.1398423E7</v>
      </c>
      <c r="C233" s="5" t="s">
        <v>37</v>
      </c>
      <c r="D233" s="5" t="s">
        <v>1352</v>
      </c>
      <c r="E233" s="5" t="s">
        <v>39</v>
      </c>
      <c r="F233" s="5" t="s">
        <v>1353</v>
      </c>
      <c r="G233" s="15">
        <v>8.1261117658E10</v>
      </c>
      <c r="H233" s="5" t="s">
        <v>1354</v>
      </c>
      <c r="I233" s="5" t="s">
        <v>42</v>
      </c>
      <c r="J233" s="5" t="s">
        <v>43</v>
      </c>
      <c r="K233" s="5">
        <v>8.7733785699E10</v>
      </c>
      <c r="L233" s="4" t="s">
        <v>44</v>
      </c>
      <c r="M233" s="5" t="s">
        <v>42</v>
      </c>
      <c r="N233" s="4" t="s">
        <v>45</v>
      </c>
      <c r="O233" s="4" t="s">
        <v>46</v>
      </c>
      <c r="P233" s="4" t="s">
        <v>47</v>
      </c>
      <c r="Q233" s="4">
        <v>16451.0</v>
      </c>
      <c r="R233" s="5" t="s">
        <v>1355</v>
      </c>
      <c r="S233" s="8">
        <v>46175.0</v>
      </c>
      <c r="T233" s="9">
        <v>0.375</v>
      </c>
      <c r="U233" s="9">
        <v>0.9166666666666666</v>
      </c>
      <c r="V233" s="4" t="s">
        <v>49</v>
      </c>
      <c r="W233" s="5">
        <v>1.0</v>
      </c>
      <c r="X233" s="5" t="b">
        <v>1</v>
      </c>
      <c r="Y233" s="5" t="s">
        <v>50</v>
      </c>
      <c r="Z233" s="5" t="b">
        <v>0</v>
      </c>
      <c r="AA233" s="10"/>
      <c r="AB233" s="4">
        <v>1.0</v>
      </c>
      <c r="AC233" s="11" t="s">
        <v>1356</v>
      </c>
      <c r="AD233" s="5">
        <v>0.0</v>
      </c>
      <c r="AE233" s="5">
        <v>1.0</v>
      </c>
      <c r="AF233" s="8">
        <v>46175.0</v>
      </c>
      <c r="AG233" s="9">
        <v>0.375</v>
      </c>
      <c r="AH233" s="9">
        <v>0.9166666666666666</v>
      </c>
      <c r="AI233" s="4" t="s">
        <v>49</v>
      </c>
      <c r="AJ233" s="5" t="s">
        <v>52</v>
      </c>
      <c r="AK233" s="12"/>
      <c r="AL233" s="12"/>
      <c r="AM233" s="12"/>
      <c r="AN233" s="12"/>
      <c r="AO233" s="12"/>
      <c r="AP233" s="12"/>
      <c r="AQ233" s="12"/>
    </row>
    <row r="234">
      <c r="A234" s="5" t="s">
        <v>1357</v>
      </c>
      <c r="B234" s="5">
        <v>1.1398423E7</v>
      </c>
      <c r="C234" s="5" t="s">
        <v>37</v>
      </c>
      <c r="D234" s="5" t="s">
        <v>1358</v>
      </c>
      <c r="E234" s="5" t="s">
        <v>39</v>
      </c>
      <c r="F234" s="5" t="s">
        <v>660</v>
      </c>
      <c r="G234" s="15">
        <v>8.7877209076E10</v>
      </c>
      <c r="H234" s="5" t="s">
        <v>661</v>
      </c>
      <c r="I234" s="5" t="s">
        <v>42</v>
      </c>
      <c r="J234" s="5" t="s">
        <v>43</v>
      </c>
      <c r="K234" s="5">
        <v>8.7733785699E10</v>
      </c>
      <c r="L234" s="4" t="s">
        <v>44</v>
      </c>
      <c r="M234" s="5" t="s">
        <v>42</v>
      </c>
      <c r="N234" s="4" t="s">
        <v>45</v>
      </c>
      <c r="O234" s="4" t="s">
        <v>46</v>
      </c>
      <c r="P234" s="4" t="s">
        <v>47</v>
      </c>
      <c r="Q234" s="4">
        <v>16451.0</v>
      </c>
      <c r="R234" s="5" t="s">
        <v>1359</v>
      </c>
      <c r="S234" s="8">
        <v>46175.0</v>
      </c>
      <c r="T234" s="9">
        <v>0.375</v>
      </c>
      <c r="U234" s="9">
        <v>0.9166666666666666</v>
      </c>
      <c r="V234" s="4" t="s">
        <v>49</v>
      </c>
      <c r="W234" s="5">
        <v>1.0</v>
      </c>
      <c r="X234" s="5" t="b">
        <v>1</v>
      </c>
      <c r="Y234" s="5" t="s">
        <v>50</v>
      </c>
      <c r="Z234" s="5" t="b">
        <v>0</v>
      </c>
      <c r="AA234" s="10"/>
      <c r="AB234" s="4">
        <v>1.0</v>
      </c>
      <c r="AC234" s="11" t="s">
        <v>1360</v>
      </c>
      <c r="AD234" s="5">
        <v>0.0</v>
      </c>
      <c r="AE234" s="5">
        <v>1.0</v>
      </c>
      <c r="AF234" s="8">
        <v>46175.0</v>
      </c>
      <c r="AG234" s="9">
        <v>0.375</v>
      </c>
      <c r="AH234" s="9">
        <v>0.9166666666666666</v>
      </c>
      <c r="AI234" s="4" t="s">
        <v>49</v>
      </c>
      <c r="AJ234" s="5" t="s">
        <v>52</v>
      </c>
      <c r="AK234" s="12"/>
      <c r="AL234" s="12"/>
      <c r="AM234" s="12"/>
      <c r="AN234" s="12"/>
      <c r="AO234" s="12"/>
      <c r="AP234" s="12"/>
      <c r="AQ234" s="12"/>
    </row>
    <row r="235">
      <c r="A235" s="5" t="s">
        <v>1361</v>
      </c>
      <c r="B235" s="5">
        <v>1.1398423E7</v>
      </c>
      <c r="C235" s="5" t="s">
        <v>37</v>
      </c>
      <c r="D235" s="5" t="s">
        <v>1362</v>
      </c>
      <c r="E235" s="5" t="s">
        <v>39</v>
      </c>
      <c r="F235" s="5" t="s">
        <v>1363</v>
      </c>
      <c r="G235" s="15">
        <v>6.28217E17</v>
      </c>
      <c r="H235" s="5" t="s">
        <v>1364</v>
      </c>
      <c r="I235" s="5" t="s">
        <v>42</v>
      </c>
      <c r="J235" s="5" t="s">
        <v>43</v>
      </c>
      <c r="K235" s="5">
        <v>8.7733785699E10</v>
      </c>
      <c r="L235" s="4" t="s">
        <v>44</v>
      </c>
      <c r="M235" s="5" t="s">
        <v>42</v>
      </c>
      <c r="N235" s="4" t="s">
        <v>45</v>
      </c>
      <c r="O235" s="4" t="s">
        <v>46</v>
      </c>
      <c r="P235" s="4" t="s">
        <v>47</v>
      </c>
      <c r="Q235" s="4">
        <v>16451.0</v>
      </c>
      <c r="R235" s="5" t="s">
        <v>1365</v>
      </c>
      <c r="S235" s="8">
        <v>46175.0</v>
      </c>
      <c r="T235" s="9">
        <v>0.375</v>
      </c>
      <c r="U235" s="9">
        <v>0.9166666666666666</v>
      </c>
      <c r="V235" s="4" t="s">
        <v>49</v>
      </c>
      <c r="W235" s="5">
        <v>1.0</v>
      </c>
      <c r="X235" s="5" t="b">
        <v>1</v>
      </c>
      <c r="Y235" s="5" t="s">
        <v>50</v>
      </c>
      <c r="Z235" s="5" t="b">
        <v>0</v>
      </c>
      <c r="AA235" s="10"/>
      <c r="AB235" s="4">
        <v>1.0</v>
      </c>
      <c r="AC235" s="11" t="s">
        <v>1366</v>
      </c>
      <c r="AD235" s="5">
        <v>0.0</v>
      </c>
      <c r="AE235" s="5">
        <v>1.0</v>
      </c>
      <c r="AF235" s="8">
        <v>46175.0</v>
      </c>
      <c r="AG235" s="9">
        <v>0.375</v>
      </c>
      <c r="AH235" s="9">
        <v>0.9166666666666666</v>
      </c>
      <c r="AI235" s="4" t="s">
        <v>49</v>
      </c>
      <c r="AJ235" s="5" t="s">
        <v>52</v>
      </c>
      <c r="AK235" s="12"/>
      <c r="AL235" s="12"/>
      <c r="AM235" s="12"/>
      <c r="AN235" s="12"/>
      <c r="AO235" s="12"/>
      <c r="AP235" s="12"/>
      <c r="AQ235" s="12"/>
    </row>
    <row r="236">
      <c r="A236" s="5" t="s">
        <v>1367</v>
      </c>
      <c r="B236" s="5">
        <v>1.1398423E7</v>
      </c>
      <c r="C236" s="5" t="s">
        <v>37</v>
      </c>
      <c r="D236" s="5" t="s">
        <v>1368</v>
      </c>
      <c r="E236" s="5" t="s">
        <v>39</v>
      </c>
      <c r="F236" s="5" t="s">
        <v>1369</v>
      </c>
      <c r="G236" s="15">
        <v>6.28128E17</v>
      </c>
      <c r="H236" s="5" t="s">
        <v>1370</v>
      </c>
      <c r="I236" s="5" t="s">
        <v>42</v>
      </c>
      <c r="J236" s="5" t="s">
        <v>43</v>
      </c>
      <c r="K236" s="5">
        <v>8.7733785699E10</v>
      </c>
      <c r="L236" s="4" t="s">
        <v>44</v>
      </c>
      <c r="M236" s="5" t="s">
        <v>42</v>
      </c>
      <c r="N236" s="4" t="s">
        <v>45</v>
      </c>
      <c r="O236" s="4" t="s">
        <v>46</v>
      </c>
      <c r="P236" s="4" t="s">
        <v>47</v>
      </c>
      <c r="Q236" s="4">
        <v>16451.0</v>
      </c>
      <c r="R236" s="5" t="s">
        <v>1371</v>
      </c>
      <c r="S236" s="8">
        <v>46175.0</v>
      </c>
      <c r="T236" s="9">
        <v>0.375</v>
      </c>
      <c r="U236" s="9">
        <v>0.9166666666666666</v>
      </c>
      <c r="V236" s="4" t="s">
        <v>49</v>
      </c>
      <c r="W236" s="5">
        <v>1.0</v>
      </c>
      <c r="X236" s="5" t="b">
        <v>1</v>
      </c>
      <c r="Y236" s="5" t="s">
        <v>50</v>
      </c>
      <c r="Z236" s="5" t="b">
        <v>0</v>
      </c>
      <c r="AA236" s="10"/>
      <c r="AB236" s="4">
        <v>1.0</v>
      </c>
      <c r="AC236" s="11" t="s">
        <v>1372</v>
      </c>
      <c r="AD236" s="5">
        <v>0.0</v>
      </c>
      <c r="AE236" s="5">
        <v>1.0</v>
      </c>
      <c r="AF236" s="8">
        <v>46175.0</v>
      </c>
      <c r="AG236" s="9">
        <v>0.375</v>
      </c>
      <c r="AH236" s="9">
        <v>0.9166666666666666</v>
      </c>
      <c r="AI236" s="4" t="s">
        <v>49</v>
      </c>
      <c r="AJ236" s="5" t="s">
        <v>52</v>
      </c>
      <c r="AK236" s="12"/>
      <c r="AL236" s="12"/>
      <c r="AM236" s="12"/>
      <c r="AN236" s="12"/>
      <c r="AO236" s="12"/>
      <c r="AP236" s="12"/>
      <c r="AQ236" s="12"/>
    </row>
    <row r="237">
      <c r="A237" s="5" t="s">
        <v>1373</v>
      </c>
      <c r="B237" s="5">
        <v>1.1398423E7</v>
      </c>
      <c r="C237" s="5" t="s">
        <v>37</v>
      </c>
      <c r="D237" s="5" t="s">
        <v>1374</v>
      </c>
      <c r="E237" s="5" t="s">
        <v>39</v>
      </c>
      <c r="F237" s="5" t="s">
        <v>1375</v>
      </c>
      <c r="G237" s="15">
        <v>6.28129E17</v>
      </c>
      <c r="H237" s="5" t="s">
        <v>1376</v>
      </c>
      <c r="I237" s="5" t="s">
        <v>42</v>
      </c>
      <c r="J237" s="5" t="s">
        <v>43</v>
      </c>
      <c r="K237" s="5">
        <v>8.7733785699E10</v>
      </c>
      <c r="L237" s="4" t="s">
        <v>44</v>
      </c>
      <c r="M237" s="5" t="s">
        <v>42</v>
      </c>
      <c r="N237" s="4" t="s">
        <v>45</v>
      </c>
      <c r="O237" s="4" t="s">
        <v>46</v>
      </c>
      <c r="P237" s="4" t="s">
        <v>47</v>
      </c>
      <c r="Q237" s="4">
        <v>16451.0</v>
      </c>
      <c r="R237" s="5" t="s">
        <v>1377</v>
      </c>
      <c r="S237" s="8">
        <v>46176.0</v>
      </c>
      <c r="T237" s="9">
        <v>0.375</v>
      </c>
      <c r="U237" s="9">
        <v>0.9166666666666666</v>
      </c>
      <c r="V237" s="4" t="s">
        <v>49</v>
      </c>
      <c r="W237" s="5">
        <v>1.0</v>
      </c>
      <c r="X237" s="5" t="b">
        <v>1</v>
      </c>
      <c r="Y237" s="5" t="s">
        <v>50</v>
      </c>
      <c r="Z237" s="5" t="b">
        <v>0</v>
      </c>
      <c r="AA237" s="10"/>
      <c r="AB237" s="4">
        <v>1.0</v>
      </c>
      <c r="AC237" s="11" t="s">
        <v>1378</v>
      </c>
      <c r="AD237" s="5">
        <v>0.0</v>
      </c>
      <c r="AE237" s="5">
        <v>1.0</v>
      </c>
      <c r="AF237" s="8">
        <v>46176.0</v>
      </c>
      <c r="AG237" s="9">
        <v>0.375</v>
      </c>
      <c r="AH237" s="9">
        <v>0.9166666666666666</v>
      </c>
      <c r="AI237" s="4" t="s">
        <v>49</v>
      </c>
      <c r="AJ237" s="5" t="s">
        <v>1379</v>
      </c>
      <c r="AK237" s="12"/>
      <c r="AL237" s="12"/>
      <c r="AM237" s="12"/>
      <c r="AN237" s="12"/>
      <c r="AO237" s="12"/>
      <c r="AP237" s="12"/>
      <c r="AQ237" s="12"/>
    </row>
    <row r="238">
      <c r="A238" s="5" t="s">
        <v>1380</v>
      </c>
      <c r="B238" s="5">
        <v>1.1398423E7</v>
      </c>
      <c r="C238" s="5" t="s">
        <v>37</v>
      </c>
      <c r="D238" s="5" t="s">
        <v>1381</v>
      </c>
      <c r="E238" s="5" t="s">
        <v>39</v>
      </c>
      <c r="F238" s="5" t="s">
        <v>1382</v>
      </c>
      <c r="G238" s="15">
        <v>6.28126E17</v>
      </c>
      <c r="H238" s="5" t="s">
        <v>1383</v>
      </c>
      <c r="I238" s="5" t="s">
        <v>42</v>
      </c>
      <c r="J238" s="5" t="s">
        <v>43</v>
      </c>
      <c r="K238" s="5">
        <v>8.7733785699E10</v>
      </c>
      <c r="L238" s="4" t="s">
        <v>44</v>
      </c>
      <c r="M238" s="5" t="s">
        <v>42</v>
      </c>
      <c r="N238" s="4" t="s">
        <v>45</v>
      </c>
      <c r="O238" s="4" t="s">
        <v>46</v>
      </c>
      <c r="P238" s="4" t="s">
        <v>47</v>
      </c>
      <c r="Q238" s="4">
        <v>16451.0</v>
      </c>
      <c r="R238" s="5" t="s">
        <v>1384</v>
      </c>
      <c r="S238" s="8">
        <v>46176.0</v>
      </c>
      <c r="T238" s="9">
        <v>0.375</v>
      </c>
      <c r="U238" s="9">
        <v>0.9166666666666666</v>
      </c>
      <c r="V238" s="4" t="s">
        <v>49</v>
      </c>
      <c r="W238" s="5">
        <v>1.0</v>
      </c>
      <c r="X238" s="5" t="b">
        <v>1</v>
      </c>
      <c r="Y238" s="5" t="s">
        <v>50</v>
      </c>
      <c r="Z238" s="5" t="b">
        <v>0</v>
      </c>
      <c r="AA238" s="10"/>
      <c r="AB238" s="4">
        <v>1.0</v>
      </c>
      <c r="AC238" s="11" t="s">
        <v>1385</v>
      </c>
      <c r="AD238" s="5">
        <v>0.0</v>
      </c>
      <c r="AE238" s="5">
        <v>1.0</v>
      </c>
      <c r="AF238" s="8">
        <v>46176.0</v>
      </c>
      <c r="AG238" s="9">
        <v>0.375</v>
      </c>
      <c r="AH238" s="9">
        <v>0.9166666666666666</v>
      </c>
      <c r="AI238" s="4" t="s">
        <v>49</v>
      </c>
      <c r="AJ238" s="5" t="s">
        <v>1386</v>
      </c>
      <c r="AK238" s="12"/>
      <c r="AL238" s="12"/>
      <c r="AM238" s="12"/>
      <c r="AN238" s="12"/>
      <c r="AO238" s="12"/>
      <c r="AP238" s="12"/>
      <c r="AQ238" s="12"/>
    </row>
    <row r="239">
      <c r="A239" s="5" t="s">
        <v>1387</v>
      </c>
      <c r="B239" s="5">
        <v>1.1398423E7</v>
      </c>
      <c r="C239" s="5" t="s">
        <v>37</v>
      </c>
      <c r="D239" s="5" t="s">
        <v>1388</v>
      </c>
      <c r="E239" s="5" t="s">
        <v>39</v>
      </c>
      <c r="F239" s="5" t="s">
        <v>1389</v>
      </c>
      <c r="G239" s="15">
        <v>6.2817614341E10</v>
      </c>
      <c r="H239" s="5" t="s">
        <v>1390</v>
      </c>
      <c r="I239" s="5" t="s">
        <v>42</v>
      </c>
      <c r="J239" s="5" t="s">
        <v>43</v>
      </c>
      <c r="K239" s="5">
        <v>8.7733785699E10</v>
      </c>
      <c r="L239" s="4" t="s">
        <v>44</v>
      </c>
      <c r="M239" s="5" t="s">
        <v>42</v>
      </c>
      <c r="N239" s="4" t="s">
        <v>45</v>
      </c>
      <c r="O239" s="4" t="s">
        <v>46</v>
      </c>
      <c r="P239" s="4" t="s">
        <v>47</v>
      </c>
      <c r="Q239" s="4">
        <v>16451.0</v>
      </c>
      <c r="R239" s="5" t="s">
        <v>1391</v>
      </c>
      <c r="S239" s="8">
        <v>46176.0</v>
      </c>
      <c r="T239" s="9">
        <v>0.375</v>
      </c>
      <c r="U239" s="9">
        <v>0.9166666666666666</v>
      </c>
      <c r="V239" s="4" t="s">
        <v>49</v>
      </c>
      <c r="W239" s="5">
        <v>1.0</v>
      </c>
      <c r="X239" s="5" t="b">
        <v>1</v>
      </c>
      <c r="Y239" s="5" t="s">
        <v>50</v>
      </c>
      <c r="Z239" s="5" t="b">
        <v>0</v>
      </c>
      <c r="AA239" s="10"/>
      <c r="AB239" s="4">
        <v>1.0</v>
      </c>
      <c r="AC239" s="11" t="s">
        <v>1392</v>
      </c>
      <c r="AD239" s="5">
        <v>0.0</v>
      </c>
      <c r="AE239" s="5">
        <v>1.0</v>
      </c>
      <c r="AF239" s="8">
        <v>46176.0</v>
      </c>
      <c r="AG239" s="9">
        <v>0.375</v>
      </c>
      <c r="AH239" s="9">
        <v>0.9166666666666666</v>
      </c>
      <c r="AI239" s="4" t="s">
        <v>49</v>
      </c>
      <c r="AJ239" s="5" t="s">
        <v>1393</v>
      </c>
      <c r="AK239" s="12"/>
      <c r="AL239" s="12"/>
      <c r="AM239" s="12"/>
      <c r="AN239" s="12"/>
      <c r="AO239" s="12"/>
      <c r="AP239" s="12"/>
      <c r="AQ239" s="12"/>
    </row>
    <row r="240">
      <c r="A240" s="5" t="s">
        <v>1394</v>
      </c>
      <c r="B240" s="5">
        <v>1.1398423E7</v>
      </c>
      <c r="C240" s="5" t="s">
        <v>37</v>
      </c>
      <c r="D240" s="5" t="s">
        <v>1395</v>
      </c>
      <c r="E240" s="5" t="s">
        <v>39</v>
      </c>
      <c r="F240" s="5" t="s">
        <v>1396</v>
      </c>
      <c r="G240" s="15">
        <v>6.2856E16</v>
      </c>
      <c r="H240" s="5" t="s">
        <v>1397</v>
      </c>
      <c r="I240" s="5" t="s">
        <v>42</v>
      </c>
      <c r="J240" s="5" t="s">
        <v>43</v>
      </c>
      <c r="K240" s="5">
        <v>8.7733785699E10</v>
      </c>
      <c r="L240" s="4" t="s">
        <v>44</v>
      </c>
      <c r="M240" s="5" t="s">
        <v>42</v>
      </c>
      <c r="N240" s="4" t="s">
        <v>45</v>
      </c>
      <c r="O240" s="4" t="s">
        <v>46</v>
      </c>
      <c r="P240" s="4" t="s">
        <v>47</v>
      </c>
      <c r="Q240" s="4">
        <v>16451.0</v>
      </c>
      <c r="R240" s="5" t="s">
        <v>1398</v>
      </c>
      <c r="S240" s="8">
        <v>46176.0</v>
      </c>
      <c r="T240" s="9">
        <v>0.375</v>
      </c>
      <c r="U240" s="9">
        <v>0.9166666666666666</v>
      </c>
      <c r="V240" s="4" t="s">
        <v>49</v>
      </c>
      <c r="W240" s="5">
        <v>1.0</v>
      </c>
      <c r="X240" s="5" t="b">
        <v>1</v>
      </c>
      <c r="Y240" s="5" t="s">
        <v>50</v>
      </c>
      <c r="Z240" s="5" t="b">
        <v>0</v>
      </c>
      <c r="AA240" s="10"/>
      <c r="AB240" s="4">
        <v>1.0</v>
      </c>
      <c r="AC240" s="11" t="s">
        <v>1399</v>
      </c>
      <c r="AD240" s="5">
        <v>0.0</v>
      </c>
      <c r="AE240" s="5">
        <v>1.0</v>
      </c>
      <c r="AF240" s="8">
        <v>46176.0</v>
      </c>
      <c r="AG240" s="9">
        <v>0.375</v>
      </c>
      <c r="AH240" s="9">
        <v>0.9166666666666666</v>
      </c>
      <c r="AI240" s="4" t="s">
        <v>49</v>
      </c>
      <c r="AJ240" s="5" t="s">
        <v>1400</v>
      </c>
      <c r="AK240" s="12"/>
      <c r="AL240" s="12"/>
      <c r="AM240" s="12"/>
      <c r="AN240" s="12"/>
      <c r="AO240" s="12"/>
      <c r="AP240" s="12"/>
      <c r="AQ240" s="12"/>
    </row>
    <row r="241">
      <c r="A241" s="5" t="s">
        <v>1401</v>
      </c>
      <c r="B241" s="5">
        <v>1.1398423E7</v>
      </c>
      <c r="C241" s="5" t="s">
        <v>37</v>
      </c>
      <c r="D241" s="5" t="s">
        <v>1402</v>
      </c>
      <c r="E241" s="5" t="s">
        <v>39</v>
      </c>
      <c r="F241" s="5" t="s">
        <v>854</v>
      </c>
      <c r="G241" s="15">
        <v>6.28213E17</v>
      </c>
      <c r="H241" s="5" t="s">
        <v>855</v>
      </c>
      <c r="I241" s="5" t="s">
        <v>42</v>
      </c>
      <c r="J241" s="5" t="s">
        <v>43</v>
      </c>
      <c r="K241" s="5">
        <v>8.7733785699E10</v>
      </c>
      <c r="L241" s="4" t="s">
        <v>44</v>
      </c>
      <c r="M241" s="5" t="s">
        <v>42</v>
      </c>
      <c r="N241" s="4" t="s">
        <v>45</v>
      </c>
      <c r="O241" s="4" t="s">
        <v>46</v>
      </c>
      <c r="P241" s="4" t="s">
        <v>47</v>
      </c>
      <c r="Q241" s="4">
        <v>16451.0</v>
      </c>
      <c r="R241" s="5" t="s">
        <v>1403</v>
      </c>
      <c r="S241" s="8">
        <v>46176.0</v>
      </c>
      <c r="T241" s="9">
        <v>0.375</v>
      </c>
      <c r="U241" s="9">
        <v>0.9166666666666666</v>
      </c>
      <c r="V241" s="4" t="s">
        <v>49</v>
      </c>
      <c r="W241" s="5">
        <v>1.0</v>
      </c>
      <c r="X241" s="5" t="b">
        <v>1</v>
      </c>
      <c r="Y241" s="5" t="s">
        <v>50</v>
      </c>
      <c r="Z241" s="5" t="b">
        <v>0</v>
      </c>
      <c r="AA241" s="10"/>
      <c r="AB241" s="4">
        <v>1.0</v>
      </c>
      <c r="AC241" s="11" t="s">
        <v>1404</v>
      </c>
      <c r="AD241" s="5">
        <v>0.0</v>
      </c>
      <c r="AE241" s="5">
        <v>1.0</v>
      </c>
      <c r="AF241" s="8">
        <v>46176.0</v>
      </c>
      <c r="AG241" s="9">
        <v>0.375</v>
      </c>
      <c r="AH241" s="9">
        <v>0.9166666666666666</v>
      </c>
      <c r="AI241" s="4" t="s">
        <v>49</v>
      </c>
      <c r="AJ241" s="5" t="s">
        <v>1405</v>
      </c>
      <c r="AK241" s="12"/>
      <c r="AL241" s="12"/>
      <c r="AM241" s="12"/>
      <c r="AN241" s="12"/>
      <c r="AO241" s="12"/>
      <c r="AP241" s="12"/>
      <c r="AQ241" s="12"/>
    </row>
    <row r="242">
      <c r="A242" s="5" t="s">
        <v>1406</v>
      </c>
      <c r="B242" s="5">
        <v>1.1398423E7</v>
      </c>
      <c r="C242" s="5" t="s">
        <v>37</v>
      </c>
      <c r="D242" s="5" t="s">
        <v>1407</v>
      </c>
      <c r="E242" s="5" t="s">
        <v>39</v>
      </c>
      <c r="F242" s="5" t="s">
        <v>1408</v>
      </c>
      <c r="G242" s="15">
        <v>8.95365E16</v>
      </c>
      <c r="H242" s="5" t="s">
        <v>1409</v>
      </c>
      <c r="I242" s="5" t="s">
        <v>42</v>
      </c>
      <c r="J242" s="5" t="s">
        <v>43</v>
      </c>
      <c r="K242" s="5">
        <v>8.7733785699E10</v>
      </c>
      <c r="L242" s="4" t="s">
        <v>44</v>
      </c>
      <c r="M242" s="5" t="s">
        <v>42</v>
      </c>
      <c r="N242" s="4" t="s">
        <v>45</v>
      </c>
      <c r="O242" s="4" t="s">
        <v>46</v>
      </c>
      <c r="P242" s="4" t="s">
        <v>47</v>
      </c>
      <c r="Q242" s="4">
        <v>16451.0</v>
      </c>
      <c r="R242" s="5" t="s">
        <v>1410</v>
      </c>
      <c r="S242" s="8">
        <v>46176.0</v>
      </c>
      <c r="T242" s="9">
        <v>0.375</v>
      </c>
      <c r="U242" s="9">
        <v>0.9166666666666666</v>
      </c>
      <c r="V242" s="4" t="s">
        <v>49</v>
      </c>
      <c r="W242" s="5">
        <v>1.0</v>
      </c>
      <c r="X242" s="5" t="b">
        <v>1</v>
      </c>
      <c r="Y242" s="5" t="s">
        <v>50</v>
      </c>
      <c r="Z242" s="5" t="b">
        <v>0</v>
      </c>
      <c r="AA242" s="10"/>
      <c r="AB242" s="4">
        <v>1.0</v>
      </c>
      <c r="AC242" s="11" t="s">
        <v>1411</v>
      </c>
      <c r="AD242" s="5">
        <v>0.0</v>
      </c>
      <c r="AE242" s="5">
        <v>1.0</v>
      </c>
      <c r="AF242" s="8">
        <v>46176.0</v>
      </c>
      <c r="AG242" s="9">
        <v>0.375</v>
      </c>
      <c r="AH242" s="9">
        <v>0.9166666666666666</v>
      </c>
      <c r="AI242" s="4" t="s">
        <v>49</v>
      </c>
      <c r="AJ242" s="5" t="s">
        <v>1412</v>
      </c>
      <c r="AK242" s="12"/>
      <c r="AL242" s="12"/>
      <c r="AM242" s="12"/>
      <c r="AN242" s="12"/>
      <c r="AO242" s="12"/>
      <c r="AP242" s="12"/>
      <c r="AQ242" s="12"/>
    </row>
    <row r="243">
      <c r="A243" s="5" t="s">
        <v>1413</v>
      </c>
      <c r="B243" s="5">
        <v>1.1398423E7</v>
      </c>
      <c r="C243" s="5" t="s">
        <v>37</v>
      </c>
      <c r="D243" s="5" t="s">
        <v>1414</v>
      </c>
      <c r="E243" s="5" t="s">
        <v>39</v>
      </c>
      <c r="F243" s="5" t="s">
        <v>1415</v>
      </c>
      <c r="G243" s="15">
        <v>8.22193852E10</v>
      </c>
      <c r="H243" s="5" t="s">
        <v>1416</v>
      </c>
      <c r="I243" s="5" t="s">
        <v>42</v>
      </c>
      <c r="J243" s="5" t="s">
        <v>43</v>
      </c>
      <c r="K243" s="5">
        <v>8.7733785699E10</v>
      </c>
      <c r="L243" s="4" t="s">
        <v>44</v>
      </c>
      <c r="M243" s="5" t="s">
        <v>42</v>
      </c>
      <c r="N243" s="4" t="s">
        <v>45</v>
      </c>
      <c r="O243" s="4" t="s">
        <v>46</v>
      </c>
      <c r="P243" s="4" t="s">
        <v>47</v>
      </c>
      <c r="Q243" s="4">
        <v>16451.0</v>
      </c>
      <c r="R243" s="5" t="s">
        <v>1417</v>
      </c>
      <c r="S243" s="8">
        <v>46176.0</v>
      </c>
      <c r="T243" s="9">
        <v>0.375</v>
      </c>
      <c r="U243" s="9">
        <v>0.9166666666666666</v>
      </c>
      <c r="V243" s="4" t="s">
        <v>49</v>
      </c>
      <c r="W243" s="5">
        <v>1.0</v>
      </c>
      <c r="X243" s="5" t="b">
        <v>1</v>
      </c>
      <c r="Y243" s="5" t="s">
        <v>50</v>
      </c>
      <c r="Z243" s="5" t="b">
        <v>0</v>
      </c>
      <c r="AA243" s="10"/>
      <c r="AB243" s="4">
        <v>1.0</v>
      </c>
      <c r="AC243" s="11" t="s">
        <v>1418</v>
      </c>
      <c r="AD243" s="5">
        <v>0.0</v>
      </c>
      <c r="AE243" s="5">
        <v>1.0</v>
      </c>
      <c r="AF243" s="8">
        <v>46176.0</v>
      </c>
      <c r="AG243" s="9">
        <v>0.375</v>
      </c>
      <c r="AH243" s="9">
        <v>0.9166666666666666</v>
      </c>
      <c r="AI243" s="4" t="s">
        <v>49</v>
      </c>
      <c r="AJ243" s="5" t="s">
        <v>1419</v>
      </c>
      <c r="AK243" s="12"/>
      <c r="AL243" s="12"/>
      <c r="AM243" s="12"/>
      <c r="AN243" s="12"/>
      <c r="AO243" s="12"/>
      <c r="AP243" s="12"/>
      <c r="AQ243" s="12"/>
    </row>
    <row r="244">
      <c r="A244" s="5" t="s">
        <v>1420</v>
      </c>
      <c r="B244" s="5">
        <v>1.1398423E7</v>
      </c>
      <c r="C244" s="5" t="s">
        <v>37</v>
      </c>
      <c r="D244" s="5" t="s">
        <v>1421</v>
      </c>
      <c r="E244" s="5" t="s">
        <v>39</v>
      </c>
      <c r="F244" s="5" t="s">
        <v>660</v>
      </c>
      <c r="G244" s="15">
        <v>8.7877209076E10</v>
      </c>
      <c r="H244" s="5" t="s">
        <v>661</v>
      </c>
      <c r="I244" s="5" t="s">
        <v>42</v>
      </c>
      <c r="J244" s="5" t="s">
        <v>43</v>
      </c>
      <c r="K244" s="5">
        <v>8.7733785699E10</v>
      </c>
      <c r="L244" s="4" t="s">
        <v>44</v>
      </c>
      <c r="M244" s="5" t="s">
        <v>42</v>
      </c>
      <c r="N244" s="4" t="s">
        <v>45</v>
      </c>
      <c r="O244" s="4" t="s">
        <v>46</v>
      </c>
      <c r="P244" s="4" t="s">
        <v>47</v>
      </c>
      <c r="Q244" s="4">
        <v>16451.0</v>
      </c>
      <c r="R244" s="5" t="s">
        <v>1422</v>
      </c>
      <c r="S244" s="8">
        <v>46176.0</v>
      </c>
      <c r="T244" s="9">
        <v>0.375</v>
      </c>
      <c r="U244" s="9">
        <v>0.9166666666666666</v>
      </c>
      <c r="V244" s="4" t="s">
        <v>49</v>
      </c>
      <c r="W244" s="5">
        <v>1.0</v>
      </c>
      <c r="X244" s="5" t="b">
        <v>1</v>
      </c>
      <c r="Y244" s="5" t="s">
        <v>50</v>
      </c>
      <c r="Z244" s="5" t="b">
        <v>0</v>
      </c>
      <c r="AA244" s="10"/>
      <c r="AB244" s="4">
        <v>1.0</v>
      </c>
      <c r="AC244" s="11" t="s">
        <v>1423</v>
      </c>
      <c r="AD244" s="5">
        <v>0.0</v>
      </c>
      <c r="AE244" s="5">
        <v>1.0</v>
      </c>
      <c r="AF244" s="8">
        <v>46176.0</v>
      </c>
      <c r="AG244" s="9">
        <v>0.375</v>
      </c>
      <c r="AH244" s="9">
        <v>0.9166666666666666</v>
      </c>
      <c r="AI244" s="4" t="s">
        <v>49</v>
      </c>
      <c r="AJ244" s="5" t="s">
        <v>1424</v>
      </c>
      <c r="AK244" s="12"/>
      <c r="AL244" s="12"/>
      <c r="AM244" s="12"/>
      <c r="AN244" s="12"/>
      <c r="AO244" s="12"/>
      <c r="AP244" s="12"/>
      <c r="AQ244" s="12"/>
    </row>
    <row r="245">
      <c r="A245" s="5" t="s">
        <v>1425</v>
      </c>
      <c r="B245" s="5">
        <v>1.1398423E7</v>
      </c>
      <c r="C245" s="5" t="s">
        <v>37</v>
      </c>
      <c r="D245" s="5" t="s">
        <v>1426</v>
      </c>
      <c r="E245" s="5" t="s">
        <v>39</v>
      </c>
      <c r="F245" s="5" t="s">
        <v>149</v>
      </c>
      <c r="G245" s="15">
        <v>6.28228E17</v>
      </c>
      <c r="H245" s="5" t="s">
        <v>150</v>
      </c>
      <c r="I245" s="5" t="s">
        <v>42</v>
      </c>
      <c r="J245" s="5" t="s">
        <v>43</v>
      </c>
      <c r="K245" s="5">
        <v>8.7733785699E10</v>
      </c>
      <c r="L245" s="4" t="s">
        <v>44</v>
      </c>
      <c r="M245" s="5" t="s">
        <v>42</v>
      </c>
      <c r="N245" s="4" t="s">
        <v>45</v>
      </c>
      <c r="O245" s="4" t="s">
        <v>46</v>
      </c>
      <c r="P245" s="4" t="s">
        <v>47</v>
      </c>
      <c r="Q245" s="4">
        <v>16451.0</v>
      </c>
      <c r="R245" s="5" t="s">
        <v>1427</v>
      </c>
      <c r="S245" s="8">
        <v>46176.0</v>
      </c>
      <c r="T245" s="9">
        <v>0.375</v>
      </c>
      <c r="U245" s="9">
        <v>0.9166666666666666</v>
      </c>
      <c r="V245" s="4" t="s">
        <v>49</v>
      </c>
      <c r="W245" s="5">
        <v>1.0</v>
      </c>
      <c r="X245" s="5" t="b">
        <v>1</v>
      </c>
      <c r="Y245" s="5" t="s">
        <v>50</v>
      </c>
      <c r="Z245" s="5" t="b">
        <v>0</v>
      </c>
      <c r="AA245" s="10"/>
      <c r="AB245" s="4">
        <v>1.0</v>
      </c>
      <c r="AC245" s="11" t="s">
        <v>1428</v>
      </c>
      <c r="AD245" s="5">
        <v>0.0</v>
      </c>
      <c r="AE245" s="5">
        <v>1.0</v>
      </c>
      <c r="AF245" s="8">
        <v>46176.0</v>
      </c>
      <c r="AG245" s="9">
        <v>0.375</v>
      </c>
      <c r="AH245" s="9">
        <v>0.9166666666666666</v>
      </c>
      <c r="AI245" s="4" t="s">
        <v>49</v>
      </c>
      <c r="AJ245" s="5" t="s">
        <v>1429</v>
      </c>
      <c r="AK245" s="12"/>
      <c r="AL245" s="12"/>
      <c r="AM245" s="12"/>
      <c r="AN245" s="12"/>
      <c r="AO245" s="12"/>
      <c r="AP245" s="12"/>
      <c r="AQ245" s="12"/>
    </row>
    <row r="246">
      <c r="A246" s="5" t="s">
        <v>1430</v>
      </c>
      <c r="B246" s="5">
        <v>1.1398423E7</v>
      </c>
      <c r="C246" s="5" t="s">
        <v>37</v>
      </c>
      <c r="D246" s="5" t="s">
        <v>1431</v>
      </c>
      <c r="E246" s="5" t="s">
        <v>39</v>
      </c>
      <c r="F246" s="5" t="s">
        <v>860</v>
      </c>
      <c r="G246" s="15">
        <v>6.28198E16</v>
      </c>
      <c r="H246" s="5" t="s">
        <v>861</v>
      </c>
      <c r="I246" s="5" t="s">
        <v>42</v>
      </c>
      <c r="J246" s="5" t="s">
        <v>43</v>
      </c>
      <c r="K246" s="5">
        <v>8.7733785699E10</v>
      </c>
      <c r="L246" s="4" t="s">
        <v>44</v>
      </c>
      <c r="M246" s="5" t="s">
        <v>42</v>
      </c>
      <c r="N246" s="4" t="s">
        <v>45</v>
      </c>
      <c r="O246" s="4" t="s">
        <v>46</v>
      </c>
      <c r="P246" s="4" t="s">
        <v>47</v>
      </c>
      <c r="Q246" s="4">
        <v>16451.0</v>
      </c>
      <c r="R246" s="5" t="s">
        <v>1432</v>
      </c>
      <c r="S246" s="8">
        <v>46176.0</v>
      </c>
      <c r="T246" s="9">
        <v>0.375</v>
      </c>
      <c r="U246" s="9">
        <v>0.9166666666666666</v>
      </c>
      <c r="V246" s="4" t="s">
        <v>49</v>
      </c>
      <c r="W246" s="5">
        <v>1.0</v>
      </c>
      <c r="X246" s="5" t="b">
        <v>1</v>
      </c>
      <c r="Y246" s="5" t="s">
        <v>50</v>
      </c>
      <c r="Z246" s="5" t="b">
        <v>0</v>
      </c>
      <c r="AA246" s="10"/>
      <c r="AB246" s="4">
        <v>1.0</v>
      </c>
      <c r="AC246" s="11" t="s">
        <v>1433</v>
      </c>
      <c r="AD246" s="5">
        <v>0.0</v>
      </c>
      <c r="AE246" s="5">
        <v>1.0</v>
      </c>
      <c r="AF246" s="8">
        <v>46176.0</v>
      </c>
      <c r="AG246" s="9">
        <v>0.375</v>
      </c>
      <c r="AH246" s="9">
        <v>0.9166666666666666</v>
      </c>
      <c r="AI246" s="4" t="s">
        <v>49</v>
      </c>
      <c r="AJ246" s="5" t="s">
        <v>1434</v>
      </c>
      <c r="AK246" s="12"/>
      <c r="AL246" s="12"/>
      <c r="AM246" s="12"/>
      <c r="AN246" s="12"/>
      <c r="AO246" s="12"/>
      <c r="AP246" s="12"/>
      <c r="AQ246" s="12"/>
    </row>
    <row r="247">
      <c r="A247" s="5" t="s">
        <v>1435</v>
      </c>
      <c r="B247" s="5">
        <v>1.1398423E7</v>
      </c>
      <c r="C247" s="5" t="s">
        <v>37</v>
      </c>
      <c r="D247" s="5" t="s">
        <v>1436</v>
      </c>
      <c r="E247" s="5" t="s">
        <v>39</v>
      </c>
      <c r="F247" s="5" t="s">
        <v>1437</v>
      </c>
      <c r="G247" s="15">
        <v>6.28381E17</v>
      </c>
      <c r="H247" s="5" t="s">
        <v>1438</v>
      </c>
      <c r="I247" s="5" t="s">
        <v>42</v>
      </c>
      <c r="J247" s="5" t="s">
        <v>43</v>
      </c>
      <c r="K247" s="5">
        <v>8.7733785699E10</v>
      </c>
      <c r="L247" s="4" t="s">
        <v>44</v>
      </c>
      <c r="M247" s="5" t="s">
        <v>42</v>
      </c>
      <c r="N247" s="4" t="s">
        <v>45</v>
      </c>
      <c r="O247" s="4" t="s">
        <v>46</v>
      </c>
      <c r="P247" s="4" t="s">
        <v>47</v>
      </c>
      <c r="Q247" s="4">
        <v>16451.0</v>
      </c>
      <c r="R247" s="5" t="s">
        <v>1439</v>
      </c>
      <c r="S247" s="8">
        <v>46176.0</v>
      </c>
      <c r="T247" s="9">
        <v>0.375</v>
      </c>
      <c r="U247" s="9">
        <v>0.9166666666666666</v>
      </c>
      <c r="V247" s="4" t="s">
        <v>49</v>
      </c>
      <c r="W247" s="5">
        <v>1.0</v>
      </c>
      <c r="X247" s="5" t="b">
        <v>1</v>
      </c>
      <c r="Y247" s="5" t="s">
        <v>50</v>
      </c>
      <c r="Z247" s="5" t="b">
        <v>0</v>
      </c>
      <c r="AA247" s="10"/>
      <c r="AB247" s="4">
        <v>1.0</v>
      </c>
      <c r="AC247" s="11" t="s">
        <v>1440</v>
      </c>
      <c r="AD247" s="5">
        <v>0.0</v>
      </c>
      <c r="AE247" s="5">
        <v>1.0</v>
      </c>
      <c r="AF247" s="8">
        <v>46176.0</v>
      </c>
      <c r="AG247" s="9">
        <v>0.375</v>
      </c>
      <c r="AH247" s="9">
        <v>0.9166666666666666</v>
      </c>
      <c r="AI247" s="4" t="s">
        <v>49</v>
      </c>
      <c r="AJ247" s="5" t="s">
        <v>1441</v>
      </c>
      <c r="AK247" s="12"/>
      <c r="AL247" s="12"/>
      <c r="AM247" s="12"/>
      <c r="AN247" s="12"/>
      <c r="AO247" s="12"/>
      <c r="AP247" s="12"/>
      <c r="AQ247" s="12"/>
    </row>
    <row r="248">
      <c r="A248" s="5" t="s">
        <v>1442</v>
      </c>
      <c r="B248" s="5">
        <v>1.1398423E7</v>
      </c>
      <c r="C248" s="5" t="s">
        <v>37</v>
      </c>
      <c r="D248" s="5" t="s">
        <v>1443</v>
      </c>
      <c r="E248" s="5" t="s">
        <v>39</v>
      </c>
      <c r="F248" s="5" t="s">
        <v>1444</v>
      </c>
      <c r="G248" s="15">
        <v>6.28121E17</v>
      </c>
      <c r="H248" s="5" t="s">
        <v>1445</v>
      </c>
      <c r="I248" s="5" t="s">
        <v>42</v>
      </c>
      <c r="J248" s="5" t="s">
        <v>43</v>
      </c>
      <c r="K248" s="5">
        <v>8.7733785699E10</v>
      </c>
      <c r="L248" s="4" t="s">
        <v>44</v>
      </c>
      <c r="M248" s="5" t="s">
        <v>42</v>
      </c>
      <c r="N248" s="4" t="s">
        <v>45</v>
      </c>
      <c r="O248" s="4" t="s">
        <v>46</v>
      </c>
      <c r="P248" s="4" t="s">
        <v>47</v>
      </c>
      <c r="Q248" s="4">
        <v>16451.0</v>
      </c>
      <c r="R248" s="5" t="s">
        <v>1446</v>
      </c>
      <c r="S248" s="8">
        <v>46176.0</v>
      </c>
      <c r="T248" s="9">
        <v>0.375</v>
      </c>
      <c r="U248" s="9">
        <v>0.9166666666666666</v>
      </c>
      <c r="V248" s="4" t="s">
        <v>49</v>
      </c>
      <c r="W248" s="5">
        <v>1.0</v>
      </c>
      <c r="X248" s="5" t="b">
        <v>1</v>
      </c>
      <c r="Y248" s="5" t="s">
        <v>50</v>
      </c>
      <c r="Z248" s="5" t="b">
        <v>0</v>
      </c>
      <c r="AA248" s="10"/>
      <c r="AB248" s="4">
        <v>1.0</v>
      </c>
      <c r="AC248" s="11" t="s">
        <v>1447</v>
      </c>
      <c r="AD248" s="5">
        <v>0.0</v>
      </c>
      <c r="AE248" s="5">
        <v>1.0</v>
      </c>
      <c r="AF248" s="8">
        <v>46176.0</v>
      </c>
      <c r="AG248" s="9">
        <v>0.375</v>
      </c>
      <c r="AH248" s="9">
        <v>0.9166666666666666</v>
      </c>
      <c r="AI248" s="4" t="s">
        <v>49</v>
      </c>
      <c r="AJ248" s="5" t="s">
        <v>1448</v>
      </c>
      <c r="AK248" s="12"/>
      <c r="AL248" s="12"/>
      <c r="AM248" s="12"/>
      <c r="AN248" s="12"/>
      <c r="AO248" s="12"/>
      <c r="AP248" s="12"/>
      <c r="AQ248" s="12"/>
    </row>
    <row r="249">
      <c r="A249" s="5" t="s">
        <v>1449</v>
      </c>
      <c r="B249" s="5">
        <v>1.1398423E7</v>
      </c>
      <c r="C249" s="5" t="s">
        <v>37</v>
      </c>
      <c r="D249" s="5" t="s">
        <v>1450</v>
      </c>
      <c r="E249" s="5" t="s">
        <v>39</v>
      </c>
      <c r="F249" s="5" t="s">
        <v>1451</v>
      </c>
      <c r="G249" s="15">
        <v>8.5888407675E10</v>
      </c>
      <c r="H249" s="5" t="s">
        <v>1452</v>
      </c>
      <c r="I249" s="5" t="s">
        <v>42</v>
      </c>
      <c r="J249" s="5" t="s">
        <v>43</v>
      </c>
      <c r="K249" s="5">
        <v>8.7733785699E10</v>
      </c>
      <c r="L249" s="4" t="s">
        <v>44</v>
      </c>
      <c r="M249" s="5" t="s">
        <v>42</v>
      </c>
      <c r="N249" s="4" t="s">
        <v>45</v>
      </c>
      <c r="O249" s="4" t="s">
        <v>46</v>
      </c>
      <c r="P249" s="4" t="s">
        <v>47</v>
      </c>
      <c r="Q249" s="4">
        <v>16451.0</v>
      </c>
      <c r="R249" s="5" t="s">
        <v>1453</v>
      </c>
      <c r="S249" s="8">
        <v>46176.0</v>
      </c>
      <c r="T249" s="9">
        <v>0.375</v>
      </c>
      <c r="U249" s="9">
        <v>0.9166666666666666</v>
      </c>
      <c r="V249" s="4" t="s">
        <v>49</v>
      </c>
      <c r="W249" s="5">
        <v>1.0</v>
      </c>
      <c r="X249" s="5" t="b">
        <v>1</v>
      </c>
      <c r="Y249" s="5" t="s">
        <v>50</v>
      </c>
      <c r="Z249" s="5" t="b">
        <v>0</v>
      </c>
      <c r="AA249" s="10"/>
      <c r="AB249" s="4">
        <v>1.0</v>
      </c>
      <c r="AC249" s="11" t="s">
        <v>1454</v>
      </c>
      <c r="AD249" s="5">
        <v>0.0</v>
      </c>
      <c r="AE249" s="5">
        <v>1.0</v>
      </c>
      <c r="AF249" s="8">
        <v>46176.0</v>
      </c>
      <c r="AG249" s="9">
        <v>0.375</v>
      </c>
      <c r="AH249" s="9">
        <v>0.9166666666666666</v>
      </c>
      <c r="AI249" s="4" t="s">
        <v>49</v>
      </c>
      <c r="AJ249" s="5" t="s">
        <v>1455</v>
      </c>
      <c r="AK249" s="12"/>
      <c r="AL249" s="12"/>
      <c r="AM249" s="12"/>
      <c r="AN249" s="12"/>
      <c r="AO249" s="12"/>
      <c r="AP249" s="12"/>
      <c r="AQ249" s="12"/>
    </row>
    <row r="250">
      <c r="A250" s="5" t="s">
        <v>1456</v>
      </c>
      <c r="B250" s="5">
        <v>1.1398423E7</v>
      </c>
      <c r="C250" s="5" t="s">
        <v>37</v>
      </c>
      <c r="D250" s="5" t="s">
        <v>1457</v>
      </c>
      <c r="E250" s="5" t="s">
        <v>39</v>
      </c>
      <c r="F250" s="5" t="s">
        <v>1458</v>
      </c>
      <c r="G250" s="15">
        <v>6.28212E17</v>
      </c>
      <c r="H250" s="5" t="s">
        <v>1459</v>
      </c>
      <c r="I250" s="5" t="s">
        <v>42</v>
      </c>
      <c r="J250" s="5" t="s">
        <v>43</v>
      </c>
      <c r="K250" s="5">
        <v>8.7733785699E10</v>
      </c>
      <c r="L250" s="4" t="s">
        <v>44</v>
      </c>
      <c r="M250" s="5" t="s">
        <v>42</v>
      </c>
      <c r="N250" s="4" t="s">
        <v>45</v>
      </c>
      <c r="O250" s="4" t="s">
        <v>46</v>
      </c>
      <c r="P250" s="4" t="s">
        <v>47</v>
      </c>
      <c r="Q250" s="4">
        <v>16451.0</v>
      </c>
      <c r="R250" s="5" t="s">
        <v>1460</v>
      </c>
      <c r="S250" s="8">
        <v>46176.0</v>
      </c>
      <c r="T250" s="9">
        <v>0.375</v>
      </c>
      <c r="U250" s="9">
        <v>0.9166666666666666</v>
      </c>
      <c r="V250" s="4" t="s">
        <v>49</v>
      </c>
      <c r="W250" s="5">
        <v>1.0</v>
      </c>
      <c r="X250" s="5" t="b">
        <v>1</v>
      </c>
      <c r="Y250" s="5" t="s">
        <v>50</v>
      </c>
      <c r="Z250" s="5" t="b">
        <v>0</v>
      </c>
      <c r="AA250" s="10"/>
      <c r="AB250" s="4">
        <v>1.0</v>
      </c>
      <c r="AC250" s="11" t="s">
        <v>1461</v>
      </c>
      <c r="AD250" s="5">
        <v>0.0</v>
      </c>
      <c r="AE250" s="5">
        <v>1.0</v>
      </c>
      <c r="AF250" s="8">
        <v>46176.0</v>
      </c>
      <c r="AG250" s="9">
        <v>0.375</v>
      </c>
      <c r="AH250" s="9">
        <v>0.9166666666666666</v>
      </c>
      <c r="AI250" s="4" t="s">
        <v>49</v>
      </c>
      <c r="AJ250" s="5" t="s">
        <v>1462</v>
      </c>
      <c r="AK250" s="12"/>
      <c r="AL250" s="12"/>
      <c r="AM250" s="12"/>
      <c r="AN250" s="12"/>
      <c r="AO250" s="12"/>
      <c r="AP250" s="12"/>
      <c r="AQ250" s="12"/>
    </row>
    <row r="251">
      <c r="A251" s="5" t="s">
        <v>1463</v>
      </c>
      <c r="B251" s="5">
        <v>1.1398423E7</v>
      </c>
      <c r="C251" s="5" t="s">
        <v>37</v>
      </c>
      <c r="D251" s="5" t="s">
        <v>1464</v>
      </c>
      <c r="E251" s="5" t="s">
        <v>39</v>
      </c>
      <c r="F251" s="5" t="s">
        <v>1465</v>
      </c>
      <c r="G251" s="15">
        <v>6.28123E17</v>
      </c>
      <c r="H251" s="5" t="s">
        <v>1466</v>
      </c>
      <c r="I251" s="5" t="s">
        <v>42</v>
      </c>
      <c r="J251" s="5" t="s">
        <v>43</v>
      </c>
      <c r="K251" s="5">
        <v>8.7733785699E10</v>
      </c>
      <c r="L251" s="4" t="s">
        <v>44</v>
      </c>
      <c r="M251" s="5" t="s">
        <v>42</v>
      </c>
      <c r="N251" s="4" t="s">
        <v>45</v>
      </c>
      <c r="O251" s="4" t="s">
        <v>46</v>
      </c>
      <c r="P251" s="4" t="s">
        <v>47</v>
      </c>
      <c r="Q251" s="4">
        <v>16451.0</v>
      </c>
      <c r="R251" s="5" t="s">
        <v>1467</v>
      </c>
      <c r="S251" s="8">
        <v>46176.0</v>
      </c>
      <c r="T251" s="9">
        <v>0.375</v>
      </c>
      <c r="U251" s="9">
        <v>0.9166666666666666</v>
      </c>
      <c r="V251" s="4" t="s">
        <v>49</v>
      </c>
      <c r="W251" s="5">
        <v>1.0</v>
      </c>
      <c r="X251" s="5" t="b">
        <v>1</v>
      </c>
      <c r="Y251" s="5" t="s">
        <v>50</v>
      </c>
      <c r="Z251" s="5" t="b">
        <v>0</v>
      </c>
      <c r="AA251" s="10"/>
      <c r="AB251" s="4">
        <v>1.0</v>
      </c>
      <c r="AC251" s="11" t="s">
        <v>1468</v>
      </c>
      <c r="AD251" s="5">
        <v>0.0</v>
      </c>
      <c r="AE251" s="5">
        <v>1.0</v>
      </c>
      <c r="AF251" s="8">
        <v>46176.0</v>
      </c>
      <c r="AG251" s="9">
        <v>0.375</v>
      </c>
      <c r="AH251" s="9">
        <v>0.9166666666666666</v>
      </c>
      <c r="AI251" s="4" t="s">
        <v>49</v>
      </c>
      <c r="AJ251" s="5" t="s">
        <v>1469</v>
      </c>
      <c r="AK251" s="12"/>
      <c r="AL251" s="12"/>
      <c r="AM251" s="12"/>
      <c r="AN251" s="12"/>
      <c r="AO251" s="12"/>
      <c r="AP251" s="12"/>
      <c r="AQ251" s="12"/>
    </row>
    <row r="252">
      <c r="A252" s="5" t="s">
        <v>1470</v>
      </c>
      <c r="B252" s="5">
        <v>1.1398423E7</v>
      </c>
      <c r="C252" s="5" t="s">
        <v>37</v>
      </c>
      <c r="D252" s="5" t="s">
        <v>1471</v>
      </c>
      <c r="E252" s="5" t="s">
        <v>39</v>
      </c>
      <c r="F252" s="5" t="s">
        <v>834</v>
      </c>
      <c r="G252" s="15">
        <v>6.28121E17</v>
      </c>
      <c r="H252" s="5" t="s">
        <v>835</v>
      </c>
      <c r="I252" s="5" t="s">
        <v>42</v>
      </c>
      <c r="J252" s="5" t="s">
        <v>43</v>
      </c>
      <c r="K252" s="5">
        <v>8.7733785699E10</v>
      </c>
      <c r="L252" s="4" t="s">
        <v>44</v>
      </c>
      <c r="M252" s="5" t="s">
        <v>42</v>
      </c>
      <c r="N252" s="4" t="s">
        <v>45</v>
      </c>
      <c r="O252" s="4" t="s">
        <v>46</v>
      </c>
      <c r="P252" s="4" t="s">
        <v>47</v>
      </c>
      <c r="Q252" s="4">
        <v>16451.0</v>
      </c>
      <c r="R252" s="5" t="s">
        <v>1472</v>
      </c>
      <c r="S252" s="8">
        <v>46176.0</v>
      </c>
      <c r="T252" s="9">
        <v>0.375</v>
      </c>
      <c r="U252" s="9">
        <v>0.9166666666666666</v>
      </c>
      <c r="V252" s="4" t="s">
        <v>49</v>
      </c>
      <c r="W252" s="5">
        <v>1.0</v>
      </c>
      <c r="X252" s="5" t="b">
        <v>1</v>
      </c>
      <c r="Y252" s="5" t="s">
        <v>50</v>
      </c>
      <c r="Z252" s="5" t="b">
        <v>0</v>
      </c>
      <c r="AA252" s="10"/>
      <c r="AB252" s="4">
        <v>1.0</v>
      </c>
      <c r="AC252" s="11" t="s">
        <v>1473</v>
      </c>
      <c r="AD252" s="5">
        <v>0.0</v>
      </c>
      <c r="AE252" s="5">
        <v>1.0</v>
      </c>
      <c r="AF252" s="8">
        <v>46176.0</v>
      </c>
      <c r="AG252" s="9">
        <v>0.375</v>
      </c>
      <c r="AH252" s="9">
        <v>0.9166666666666666</v>
      </c>
      <c r="AI252" s="4" t="s">
        <v>49</v>
      </c>
      <c r="AJ252" s="5" t="s">
        <v>1474</v>
      </c>
      <c r="AK252" s="12"/>
      <c r="AL252" s="12"/>
      <c r="AM252" s="12"/>
      <c r="AN252" s="12"/>
      <c r="AO252" s="12"/>
      <c r="AP252" s="12"/>
      <c r="AQ252" s="12"/>
    </row>
    <row r="253">
      <c r="A253" s="5" t="s">
        <v>1475</v>
      </c>
      <c r="B253" s="5">
        <v>1.1398423E7</v>
      </c>
      <c r="C253" s="5" t="s">
        <v>37</v>
      </c>
      <c r="D253" s="5" t="s">
        <v>1476</v>
      </c>
      <c r="E253" s="5" t="s">
        <v>39</v>
      </c>
      <c r="F253" s="5" t="s">
        <v>1477</v>
      </c>
      <c r="G253" s="15">
        <v>6.28572E17</v>
      </c>
      <c r="H253" s="5" t="s">
        <v>1478</v>
      </c>
      <c r="I253" s="5" t="s">
        <v>42</v>
      </c>
      <c r="J253" s="5" t="s">
        <v>43</v>
      </c>
      <c r="K253" s="5">
        <v>8.7733785699E10</v>
      </c>
      <c r="L253" s="4" t="s">
        <v>44</v>
      </c>
      <c r="M253" s="5" t="s">
        <v>42</v>
      </c>
      <c r="N253" s="4" t="s">
        <v>45</v>
      </c>
      <c r="O253" s="4" t="s">
        <v>46</v>
      </c>
      <c r="P253" s="4" t="s">
        <v>47</v>
      </c>
      <c r="Q253" s="4">
        <v>16451.0</v>
      </c>
      <c r="R253" s="5" t="s">
        <v>1479</v>
      </c>
      <c r="S253" s="8">
        <v>46176.0</v>
      </c>
      <c r="T253" s="9">
        <v>0.375</v>
      </c>
      <c r="U253" s="9">
        <v>0.9166666666666666</v>
      </c>
      <c r="V253" s="4" t="s">
        <v>49</v>
      </c>
      <c r="W253" s="5">
        <v>1.0</v>
      </c>
      <c r="X253" s="5" t="b">
        <v>1</v>
      </c>
      <c r="Y253" s="5" t="s">
        <v>50</v>
      </c>
      <c r="Z253" s="5" t="b">
        <v>0</v>
      </c>
      <c r="AA253" s="10"/>
      <c r="AB253" s="4">
        <v>1.0</v>
      </c>
      <c r="AC253" s="11" t="s">
        <v>1480</v>
      </c>
      <c r="AD253" s="5">
        <v>0.0</v>
      </c>
      <c r="AE253" s="5">
        <v>1.0</v>
      </c>
      <c r="AF253" s="8">
        <v>46176.0</v>
      </c>
      <c r="AG253" s="9">
        <v>0.375</v>
      </c>
      <c r="AH253" s="9">
        <v>0.9166666666666666</v>
      </c>
      <c r="AI253" s="4" t="s">
        <v>49</v>
      </c>
      <c r="AJ253" s="5" t="s">
        <v>1481</v>
      </c>
      <c r="AK253" s="12"/>
      <c r="AL253" s="12"/>
      <c r="AM253" s="12"/>
      <c r="AN253" s="12"/>
      <c r="AO253" s="12"/>
      <c r="AP253" s="12"/>
      <c r="AQ253" s="12"/>
    </row>
    <row r="254">
      <c r="A254" s="5" t="s">
        <v>1482</v>
      </c>
      <c r="B254" s="5">
        <v>1.1398423E7</v>
      </c>
      <c r="C254" s="5" t="s">
        <v>37</v>
      </c>
      <c r="D254" s="5" t="s">
        <v>1483</v>
      </c>
      <c r="E254" s="5" t="s">
        <v>39</v>
      </c>
      <c r="F254" s="5" t="s">
        <v>1484</v>
      </c>
      <c r="G254" s="15">
        <v>6.28132E17</v>
      </c>
      <c r="H254" s="5" t="s">
        <v>1485</v>
      </c>
      <c r="I254" s="5" t="s">
        <v>42</v>
      </c>
      <c r="J254" s="5" t="s">
        <v>43</v>
      </c>
      <c r="K254" s="5">
        <v>8.7733785699E10</v>
      </c>
      <c r="L254" s="4" t="s">
        <v>44</v>
      </c>
      <c r="M254" s="5" t="s">
        <v>42</v>
      </c>
      <c r="N254" s="4" t="s">
        <v>45</v>
      </c>
      <c r="O254" s="4" t="s">
        <v>46</v>
      </c>
      <c r="P254" s="4" t="s">
        <v>47</v>
      </c>
      <c r="Q254" s="4">
        <v>16451.0</v>
      </c>
      <c r="R254" s="5" t="s">
        <v>1486</v>
      </c>
      <c r="S254" s="8">
        <v>46176.0</v>
      </c>
      <c r="T254" s="9">
        <v>0.375</v>
      </c>
      <c r="U254" s="9">
        <v>0.9166666666666666</v>
      </c>
      <c r="V254" s="4" t="s">
        <v>49</v>
      </c>
      <c r="W254" s="5">
        <v>1.0</v>
      </c>
      <c r="X254" s="5" t="b">
        <v>1</v>
      </c>
      <c r="Y254" s="5" t="s">
        <v>50</v>
      </c>
      <c r="Z254" s="5" t="b">
        <v>0</v>
      </c>
      <c r="AA254" s="10"/>
      <c r="AB254" s="4">
        <v>1.0</v>
      </c>
      <c r="AC254" s="11" t="s">
        <v>1487</v>
      </c>
      <c r="AD254" s="5">
        <v>0.0</v>
      </c>
      <c r="AE254" s="5">
        <v>1.0</v>
      </c>
      <c r="AF254" s="8">
        <v>46176.0</v>
      </c>
      <c r="AG254" s="9">
        <v>0.375</v>
      </c>
      <c r="AH254" s="9">
        <v>0.9166666666666666</v>
      </c>
      <c r="AI254" s="4" t="s">
        <v>49</v>
      </c>
      <c r="AJ254" s="5" t="s">
        <v>1488</v>
      </c>
      <c r="AK254" s="12"/>
      <c r="AL254" s="12"/>
      <c r="AM254" s="12"/>
      <c r="AN254" s="12"/>
      <c r="AO254" s="12"/>
      <c r="AP254" s="12"/>
      <c r="AQ254" s="12"/>
    </row>
    <row r="255">
      <c r="A255" s="5" t="s">
        <v>1489</v>
      </c>
      <c r="B255" s="5">
        <v>1.1398423E7</v>
      </c>
      <c r="C255" s="5" t="s">
        <v>37</v>
      </c>
      <c r="D255" s="5" t="s">
        <v>1490</v>
      </c>
      <c r="E255" s="5" t="s">
        <v>39</v>
      </c>
      <c r="F255" s="5" t="s">
        <v>1491</v>
      </c>
      <c r="G255" s="15">
        <v>6.28527E17</v>
      </c>
      <c r="H255" s="5" t="s">
        <v>1492</v>
      </c>
      <c r="I255" s="5" t="s">
        <v>42</v>
      </c>
      <c r="J255" s="5" t="s">
        <v>43</v>
      </c>
      <c r="K255" s="5">
        <v>8.7733785699E10</v>
      </c>
      <c r="L255" s="4" t="s">
        <v>44</v>
      </c>
      <c r="M255" s="5" t="s">
        <v>42</v>
      </c>
      <c r="N255" s="4" t="s">
        <v>45</v>
      </c>
      <c r="O255" s="4" t="s">
        <v>46</v>
      </c>
      <c r="P255" s="4" t="s">
        <v>47</v>
      </c>
      <c r="Q255" s="4">
        <v>16451.0</v>
      </c>
      <c r="R255" s="5" t="s">
        <v>1493</v>
      </c>
      <c r="S255" s="8">
        <v>46176.0</v>
      </c>
      <c r="T255" s="9">
        <v>0.375</v>
      </c>
      <c r="U255" s="9">
        <v>0.9166666666666666</v>
      </c>
      <c r="V255" s="4" t="s">
        <v>49</v>
      </c>
      <c r="W255" s="5">
        <v>1.0</v>
      </c>
      <c r="X255" s="5" t="b">
        <v>1</v>
      </c>
      <c r="Y255" s="5" t="s">
        <v>50</v>
      </c>
      <c r="Z255" s="5" t="b">
        <v>0</v>
      </c>
      <c r="AA255" s="10"/>
      <c r="AB255" s="4">
        <v>1.0</v>
      </c>
      <c r="AC255" s="11" t="s">
        <v>1494</v>
      </c>
      <c r="AD255" s="5">
        <v>0.0</v>
      </c>
      <c r="AE255" s="5">
        <v>1.0</v>
      </c>
      <c r="AF255" s="8">
        <v>46176.0</v>
      </c>
      <c r="AG255" s="9">
        <v>0.375</v>
      </c>
      <c r="AH255" s="9">
        <v>0.9166666666666666</v>
      </c>
      <c r="AI255" s="4" t="s">
        <v>49</v>
      </c>
      <c r="AJ255" s="5" t="s">
        <v>1495</v>
      </c>
      <c r="AK255" s="12"/>
      <c r="AL255" s="12"/>
      <c r="AM255" s="12"/>
      <c r="AN255" s="12"/>
      <c r="AO255" s="12"/>
      <c r="AP255" s="12"/>
      <c r="AQ255" s="12"/>
    </row>
    <row r="256">
      <c r="A256" s="5" t="s">
        <v>1496</v>
      </c>
      <c r="B256" s="5">
        <v>1.1398423E7</v>
      </c>
      <c r="C256" s="5" t="s">
        <v>37</v>
      </c>
      <c r="D256" s="5" t="s">
        <v>1497</v>
      </c>
      <c r="E256" s="5" t="s">
        <v>39</v>
      </c>
      <c r="F256" s="5" t="s">
        <v>474</v>
      </c>
      <c r="G256" s="15">
        <v>8.1314522941E10</v>
      </c>
      <c r="H256" s="5" t="s">
        <v>475</v>
      </c>
      <c r="I256" s="5" t="s">
        <v>42</v>
      </c>
      <c r="J256" s="5" t="s">
        <v>43</v>
      </c>
      <c r="K256" s="5">
        <v>8.7733785699E10</v>
      </c>
      <c r="L256" s="4" t="s">
        <v>44</v>
      </c>
      <c r="M256" s="5" t="s">
        <v>42</v>
      </c>
      <c r="N256" s="4" t="s">
        <v>45</v>
      </c>
      <c r="O256" s="4" t="s">
        <v>46</v>
      </c>
      <c r="P256" s="4" t="s">
        <v>47</v>
      </c>
      <c r="Q256" s="4">
        <v>16451.0</v>
      </c>
      <c r="R256" s="5" t="s">
        <v>1498</v>
      </c>
      <c r="S256" s="8">
        <v>46177.0</v>
      </c>
      <c r="T256" s="9">
        <v>0.375</v>
      </c>
      <c r="U256" s="9">
        <v>0.9166666666666666</v>
      </c>
      <c r="V256" s="4" t="s">
        <v>49</v>
      </c>
      <c r="W256" s="5">
        <v>1.0</v>
      </c>
      <c r="X256" s="5" t="b">
        <v>1</v>
      </c>
      <c r="Y256" s="5" t="s">
        <v>50</v>
      </c>
      <c r="Z256" s="5" t="b">
        <v>0</v>
      </c>
      <c r="AA256" s="10"/>
      <c r="AB256" s="4">
        <v>1.0</v>
      </c>
      <c r="AC256" s="11" t="s">
        <v>1499</v>
      </c>
      <c r="AD256" s="5">
        <v>0.0</v>
      </c>
      <c r="AE256" s="5">
        <v>1.0</v>
      </c>
      <c r="AF256" s="8">
        <v>46177.0</v>
      </c>
      <c r="AG256" s="9">
        <v>0.375</v>
      </c>
      <c r="AH256" s="9">
        <v>0.9166666666666666</v>
      </c>
      <c r="AI256" s="4" t="s">
        <v>49</v>
      </c>
      <c r="AJ256" s="5" t="s">
        <v>1500</v>
      </c>
      <c r="AK256" s="12"/>
      <c r="AL256" s="12"/>
      <c r="AM256" s="12"/>
      <c r="AN256" s="12"/>
      <c r="AO256" s="12"/>
      <c r="AP256" s="12"/>
      <c r="AQ256" s="12"/>
    </row>
    <row r="257">
      <c r="A257" s="5" t="s">
        <v>1501</v>
      </c>
      <c r="B257" s="5">
        <v>1.1398423E7</v>
      </c>
      <c r="C257" s="5" t="s">
        <v>37</v>
      </c>
      <c r="D257" s="5" t="s">
        <v>1502</v>
      </c>
      <c r="E257" s="5" t="s">
        <v>39</v>
      </c>
      <c r="F257" s="5" t="s">
        <v>65</v>
      </c>
      <c r="G257" s="15">
        <v>6.28199E17</v>
      </c>
      <c r="H257" s="5" t="s">
        <v>66</v>
      </c>
      <c r="I257" s="5" t="s">
        <v>42</v>
      </c>
      <c r="J257" s="5" t="s">
        <v>43</v>
      </c>
      <c r="K257" s="5">
        <v>8.7733785699E10</v>
      </c>
      <c r="L257" s="4" t="s">
        <v>44</v>
      </c>
      <c r="M257" s="5" t="s">
        <v>42</v>
      </c>
      <c r="N257" s="4" t="s">
        <v>45</v>
      </c>
      <c r="O257" s="4" t="s">
        <v>46</v>
      </c>
      <c r="P257" s="4" t="s">
        <v>47</v>
      </c>
      <c r="Q257" s="4">
        <v>16451.0</v>
      </c>
      <c r="R257" s="5" t="s">
        <v>1503</v>
      </c>
      <c r="S257" s="8">
        <v>46177.0</v>
      </c>
      <c r="T257" s="9">
        <v>0.375</v>
      </c>
      <c r="U257" s="9">
        <v>0.9166666666666666</v>
      </c>
      <c r="V257" s="4" t="s">
        <v>49</v>
      </c>
      <c r="W257" s="5">
        <v>1.0</v>
      </c>
      <c r="X257" s="5" t="b">
        <v>1</v>
      </c>
      <c r="Y257" s="5" t="s">
        <v>50</v>
      </c>
      <c r="Z257" s="5" t="b">
        <v>0</v>
      </c>
      <c r="AA257" s="10"/>
      <c r="AB257" s="4">
        <v>1.0</v>
      </c>
      <c r="AC257" s="11" t="s">
        <v>1504</v>
      </c>
      <c r="AD257" s="5">
        <v>0.0</v>
      </c>
      <c r="AE257" s="5">
        <v>1.0</v>
      </c>
      <c r="AF257" s="8">
        <v>46177.0</v>
      </c>
      <c r="AG257" s="9">
        <v>0.375</v>
      </c>
      <c r="AH257" s="9">
        <v>0.9166666666666666</v>
      </c>
      <c r="AI257" s="4" t="s">
        <v>49</v>
      </c>
      <c r="AJ257" s="5" t="s">
        <v>1505</v>
      </c>
      <c r="AK257" s="12"/>
      <c r="AL257" s="12"/>
      <c r="AM257" s="12"/>
      <c r="AN257" s="12"/>
      <c r="AO257" s="12"/>
      <c r="AP257" s="12"/>
      <c r="AQ257" s="12"/>
    </row>
    <row r="258">
      <c r="A258" s="5" t="s">
        <v>1506</v>
      </c>
      <c r="B258" s="5">
        <v>1.1398423E7</v>
      </c>
      <c r="C258" s="5" t="s">
        <v>37</v>
      </c>
      <c r="D258" s="5" t="s">
        <v>1507</v>
      </c>
      <c r="E258" s="5" t="s">
        <v>39</v>
      </c>
      <c r="F258" s="5" t="s">
        <v>1508</v>
      </c>
      <c r="G258" s="15">
        <v>6.28575E17</v>
      </c>
      <c r="H258" s="5" t="s">
        <v>1509</v>
      </c>
      <c r="I258" s="5" t="s">
        <v>42</v>
      </c>
      <c r="J258" s="5" t="s">
        <v>43</v>
      </c>
      <c r="K258" s="5">
        <v>8.7733785699E10</v>
      </c>
      <c r="L258" s="4" t="s">
        <v>44</v>
      </c>
      <c r="M258" s="5" t="s">
        <v>42</v>
      </c>
      <c r="N258" s="4" t="s">
        <v>45</v>
      </c>
      <c r="O258" s="4" t="s">
        <v>46</v>
      </c>
      <c r="P258" s="4" t="s">
        <v>47</v>
      </c>
      <c r="Q258" s="4">
        <v>16451.0</v>
      </c>
      <c r="R258" s="5" t="s">
        <v>1510</v>
      </c>
      <c r="S258" s="8">
        <v>46177.0</v>
      </c>
      <c r="T258" s="9">
        <v>0.375</v>
      </c>
      <c r="U258" s="9">
        <v>0.9166666666666666</v>
      </c>
      <c r="V258" s="4" t="s">
        <v>49</v>
      </c>
      <c r="W258" s="5">
        <v>1.0</v>
      </c>
      <c r="X258" s="5" t="b">
        <v>1</v>
      </c>
      <c r="Y258" s="5" t="s">
        <v>50</v>
      </c>
      <c r="Z258" s="5" t="b">
        <v>0</v>
      </c>
      <c r="AA258" s="10"/>
      <c r="AB258" s="4">
        <v>1.0</v>
      </c>
      <c r="AC258" s="11" t="s">
        <v>1511</v>
      </c>
      <c r="AD258" s="5">
        <v>0.0</v>
      </c>
      <c r="AE258" s="5">
        <v>1.0</v>
      </c>
      <c r="AF258" s="8">
        <v>46177.0</v>
      </c>
      <c r="AG258" s="9">
        <v>0.375</v>
      </c>
      <c r="AH258" s="9">
        <v>0.9166666666666666</v>
      </c>
      <c r="AI258" s="4" t="s">
        <v>49</v>
      </c>
      <c r="AJ258" s="5" t="s">
        <v>1512</v>
      </c>
      <c r="AK258" s="12"/>
      <c r="AL258" s="12"/>
      <c r="AM258" s="12"/>
      <c r="AN258" s="12"/>
      <c r="AO258" s="12"/>
      <c r="AP258" s="12"/>
      <c r="AQ258" s="12"/>
    </row>
    <row r="259">
      <c r="A259" s="5" t="s">
        <v>1513</v>
      </c>
      <c r="B259" s="5">
        <v>1.1398423E7</v>
      </c>
      <c r="C259" s="5" t="s">
        <v>37</v>
      </c>
      <c r="D259" s="5" t="s">
        <v>1514</v>
      </c>
      <c r="E259" s="5" t="s">
        <v>39</v>
      </c>
      <c r="F259" s="5" t="s">
        <v>252</v>
      </c>
      <c r="G259" s="15">
        <v>6.28121E17</v>
      </c>
      <c r="H259" s="5" t="s">
        <v>253</v>
      </c>
      <c r="I259" s="5" t="s">
        <v>42</v>
      </c>
      <c r="J259" s="5" t="s">
        <v>43</v>
      </c>
      <c r="K259" s="5">
        <v>8.7733785699E10</v>
      </c>
      <c r="L259" s="4" t="s">
        <v>44</v>
      </c>
      <c r="M259" s="5" t="s">
        <v>42</v>
      </c>
      <c r="N259" s="4" t="s">
        <v>45</v>
      </c>
      <c r="O259" s="4" t="s">
        <v>46</v>
      </c>
      <c r="P259" s="4" t="s">
        <v>47</v>
      </c>
      <c r="Q259" s="4">
        <v>16451.0</v>
      </c>
      <c r="R259" s="5" t="s">
        <v>1515</v>
      </c>
      <c r="S259" s="8">
        <v>46177.0</v>
      </c>
      <c r="T259" s="9">
        <v>0.375</v>
      </c>
      <c r="U259" s="9">
        <v>0.9166666666666666</v>
      </c>
      <c r="V259" s="4" t="s">
        <v>49</v>
      </c>
      <c r="W259" s="5">
        <v>1.0</v>
      </c>
      <c r="X259" s="5" t="b">
        <v>1</v>
      </c>
      <c r="Y259" s="5" t="s">
        <v>50</v>
      </c>
      <c r="Z259" s="5" t="b">
        <v>0</v>
      </c>
      <c r="AA259" s="10"/>
      <c r="AB259" s="4">
        <v>1.0</v>
      </c>
      <c r="AC259" s="11" t="s">
        <v>1516</v>
      </c>
      <c r="AD259" s="5">
        <v>0.0</v>
      </c>
      <c r="AE259" s="5">
        <v>1.0</v>
      </c>
      <c r="AF259" s="8">
        <v>46177.0</v>
      </c>
      <c r="AG259" s="9">
        <v>0.375</v>
      </c>
      <c r="AH259" s="9">
        <v>0.9166666666666666</v>
      </c>
      <c r="AI259" s="4" t="s">
        <v>49</v>
      </c>
      <c r="AJ259" s="5" t="s">
        <v>1517</v>
      </c>
      <c r="AK259" s="12"/>
      <c r="AL259" s="12"/>
      <c r="AM259" s="12"/>
      <c r="AN259" s="12"/>
      <c r="AO259" s="12"/>
      <c r="AP259" s="12"/>
      <c r="AQ259" s="12"/>
    </row>
    <row r="260">
      <c r="A260" s="5" t="s">
        <v>1518</v>
      </c>
      <c r="B260" s="5">
        <v>1.1398423E7</v>
      </c>
      <c r="C260" s="5" t="s">
        <v>37</v>
      </c>
      <c r="D260" s="5" t="s">
        <v>1519</v>
      </c>
      <c r="E260" s="5" t="s">
        <v>39</v>
      </c>
      <c r="F260" s="5" t="s">
        <v>702</v>
      </c>
      <c r="G260" s="15">
        <v>6.2881E17</v>
      </c>
      <c r="H260" s="5" t="s">
        <v>703</v>
      </c>
      <c r="I260" s="5" t="s">
        <v>42</v>
      </c>
      <c r="J260" s="5" t="s">
        <v>43</v>
      </c>
      <c r="K260" s="5">
        <v>8.7733785699E10</v>
      </c>
      <c r="L260" s="4" t="s">
        <v>44</v>
      </c>
      <c r="M260" s="5" t="s">
        <v>42</v>
      </c>
      <c r="N260" s="4" t="s">
        <v>45</v>
      </c>
      <c r="O260" s="4" t="s">
        <v>46</v>
      </c>
      <c r="P260" s="4" t="s">
        <v>47</v>
      </c>
      <c r="Q260" s="4">
        <v>16451.0</v>
      </c>
      <c r="R260" s="5" t="s">
        <v>1520</v>
      </c>
      <c r="S260" s="8">
        <v>46177.0</v>
      </c>
      <c r="T260" s="9">
        <v>0.375</v>
      </c>
      <c r="U260" s="9">
        <v>0.9166666666666666</v>
      </c>
      <c r="V260" s="4" t="s">
        <v>49</v>
      </c>
      <c r="W260" s="5">
        <v>1.0</v>
      </c>
      <c r="X260" s="5" t="b">
        <v>1</v>
      </c>
      <c r="Y260" s="5" t="s">
        <v>50</v>
      </c>
      <c r="Z260" s="5" t="b">
        <v>0</v>
      </c>
      <c r="AA260" s="10"/>
      <c r="AB260" s="4">
        <v>1.0</v>
      </c>
      <c r="AC260" s="11" t="s">
        <v>1521</v>
      </c>
      <c r="AD260" s="5">
        <v>0.0</v>
      </c>
      <c r="AE260" s="5">
        <v>1.0</v>
      </c>
      <c r="AF260" s="8">
        <v>46177.0</v>
      </c>
      <c r="AG260" s="9">
        <v>0.375</v>
      </c>
      <c r="AH260" s="9">
        <v>0.9166666666666666</v>
      </c>
      <c r="AI260" s="4" t="s">
        <v>49</v>
      </c>
      <c r="AJ260" s="5" t="s">
        <v>1522</v>
      </c>
      <c r="AK260" s="12"/>
      <c r="AL260" s="12"/>
      <c r="AM260" s="12"/>
      <c r="AN260" s="12"/>
      <c r="AO260" s="12"/>
      <c r="AP260" s="12"/>
      <c r="AQ260" s="12"/>
    </row>
    <row r="261">
      <c r="A261" s="5" t="s">
        <v>1523</v>
      </c>
      <c r="B261" s="5">
        <v>1.1398423E7</v>
      </c>
      <c r="C261" s="5" t="s">
        <v>37</v>
      </c>
      <c r="D261" s="5" t="s">
        <v>1524</v>
      </c>
      <c r="E261" s="5" t="s">
        <v>39</v>
      </c>
      <c r="F261" s="5" t="s">
        <v>1075</v>
      </c>
      <c r="G261" s="15">
        <v>8.1350752017E10</v>
      </c>
      <c r="H261" s="5" t="s">
        <v>1076</v>
      </c>
      <c r="I261" s="5" t="s">
        <v>42</v>
      </c>
      <c r="J261" s="5" t="s">
        <v>43</v>
      </c>
      <c r="K261" s="5">
        <v>8.7733785699E10</v>
      </c>
      <c r="L261" s="4" t="s">
        <v>44</v>
      </c>
      <c r="M261" s="5" t="s">
        <v>42</v>
      </c>
      <c r="N261" s="4" t="s">
        <v>45</v>
      </c>
      <c r="O261" s="4" t="s">
        <v>46</v>
      </c>
      <c r="P261" s="4" t="s">
        <v>47</v>
      </c>
      <c r="Q261" s="4">
        <v>16451.0</v>
      </c>
      <c r="R261" s="5" t="s">
        <v>1525</v>
      </c>
      <c r="S261" s="8">
        <v>46177.0</v>
      </c>
      <c r="T261" s="9">
        <v>0.375</v>
      </c>
      <c r="U261" s="9">
        <v>0.9166666666666666</v>
      </c>
      <c r="V261" s="4" t="s">
        <v>49</v>
      </c>
      <c r="W261" s="5">
        <v>1.0</v>
      </c>
      <c r="X261" s="5" t="b">
        <v>1</v>
      </c>
      <c r="Y261" s="5" t="s">
        <v>50</v>
      </c>
      <c r="Z261" s="5" t="b">
        <v>0</v>
      </c>
      <c r="AA261" s="10"/>
      <c r="AB261" s="4">
        <v>1.0</v>
      </c>
      <c r="AC261" s="11" t="s">
        <v>1526</v>
      </c>
      <c r="AD261" s="5">
        <v>0.0</v>
      </c>
      <c r="AE261" s="5">
        <v>1.0</v>
      </c>
      <c r="AF261" s="8">
        <v>46177.0</v>
      </c>
      <c r="AG261" s="9">
        <v>0.375</v>
      </c>
      <c r="AH261" s="9">
        <v>0.9166666666666666</v>
      </c>
      <c r="AI261" s="4" t="s">
        <v>49</v>
      </c>
      <c r="AJ261" s="5" t="s">
        <v>1527</v>
      </c>
      <c r="AK261" s="12"/>
      <c r="AL261" s="12"/>
      <c r="AM261" s="12"/>
      <c r="AN261" s="12"/>
      <c r="AO261" s="12"/>
      <c r="AP261" s="12"/>
      <c r="AQ261" s="12"/>
    </row>
    <row r="262">
      <c r="A262" s="5" t="s">
        <v>1528</v>
      </c>
      <c r="B262" s="5">
        <v>1.1398423E7</v>
      </c>
      <c r="C262" s="5" t="s">
        <v>37</v>
      </c>
      <c r="D262" s="5" t="s">
        <v>1529</v>
      </c>
      <c r="E262" s="5" t="s">
        <v>39</v>
      </c>
      <c r="F262" s="5" t="s">
        <v>854</v>
      </c>
      <c r="G262" s="15">
        <v>6.28213E17</v>
      </c>
      <c r="H262" s="5" t="s">
        <v>855</v>
      </c>
      <c r="I262" s="5" t="s">
        <v>42</v>
      </c>
      <c r="J262" s="5" t="s">
        <v>43</v>
      </c>
      <c r="K262" s="5">
        <v>8.7733785699E10</v>
      </c>
      <c r="L262" s="4" t="s">
        <v>44</v>
      </c>
      <c r="M262" s="5" t="s">
        <v>42</v>
      </c>
      <c r="N262" s="4" t="s">
        <v>45</v>
      </c>
      <c r="O262" s="4" t="s">
        <v>46</v>
      </c>
      <c r="P262" s="4" t="s">
        <v>47</v>
      </c>
      <c r="Q262" s="4">
        <v>16451.0</v>
      </c>
      <c r="R262" s="5" t="s">
        <v>1530</v>
      </c>
      <c r="S262" s="8">
        <v>46177.0</v>
      </c>
      <c r="T262" s="9">
        <v>0.375</v>
      </c>
      <c r="U262" s="9">
        <v>0.9166666666666666</v>
      </c>
      <c r="V262" s="4" t="s">
        <v>49</v>
      </c>
      <c r="W262" s="5">
        <v>1.0</v>
      </c>
      <c r="X262" s="5" t="b">
        <v>1</v>
      </c>
      <c r="Y262" s="5" t="s">
        <v>50</v>
      </c>
      <c r="Z262" s="5" t="b">
        <v>0</v>
      </c>
      <c r="AA262" s="10"/>
      <c r="AB262" s="4">
        <v>1.0</v>
      </c>
      <c r="AC262" s="11" t="s">
        <v>1531</v>
      </c>
      <c r="AD262" s="5">
        <v>0.0</v>
      </c>
      <c r="AE262" s="5">
        <v>1.0</v>
      </c>
      <c r="AF262" s="8">
        <v>46177.0</v>
      </c>
      <c r="AG262" s="9">
        <v>0.375</v>
      </c>
      <c r="AH262" s="9">
        <v>0.9166666666666666</v>
      </c>
      <c r="AI262" s="4" t="s">
        <v>49</v>
      </c>
      <c r="AJ262" s="5" t="s">
        <v>1532</v>
      </c>
      <c r="AK262" s="12"/>
      <c r="AL262" s="12"/>
      <c r="AM262" s="12"/>
      <c r="AN262" s="12"/>
      <c r="AO262" s="12"/>
      <c r="AP262" s="12"/>
      <c r="AQ262" s="12"/>
    </row>
    <row r="263">
      <c r="A263" s="5" t="s">
        <v>1533</v>
      </c>
      <c r="B263" s="5">
        <v>1.1398423E7</v>
      </c>
      <c r="C263" s="5" t="s">
        <v>37</v>
      </c>
      <c r="D263" s="5" t="s">
        <v>1534</v>
      </c>
      <c r="E263" s="5" t="s">
        <v>39</v>
      </c>
      <c r="F263" s="5" t="s">
        <v>660</v>
      </c>
      <c r="G263" s="15">
        <v>8.7877209076E10</v>
      </c>
      <c r="H263" s="5" t="s">
        <v>661</v>
      </c>
      <c r="I263" s="5" t="s">
        <v>42</v>
      </c>
      <c r="J263" s="5" t="s">
        <v>43</v>
      </c>
      <c r="K263" s="5">
        <v>8.7733785699E10</v>
      </c>
      <c r="L263" s="4" t="s">
        <v>44</v>
      </c>
      <c r="M263" s="5" t="s">
        <v>42</v>
      </c>
      <c r="N263" s="4" t="s">
        <v>45</v>
      </c>
      <c r="O263" s="4" t="s">
        <v>46</v>
      </c>
      <c r="P263" s="4" t="s">
        <v>47</v>
      </c>
      <c r="Q263" s="4">
        <v>16451.0</v>
      </c>
      <c r="R263" s="5" t="s">
        <v>1535</v>
      </c>
      <c r="S263" s="8">
        <v>46177.0</v>
      </c>
      <c r="T263" s="9">
        <v>0.375</v>
      </c>
      <c r="U263" s="9">
        <v>0.9166666666666666</v>
      </c>
      <c r="V263" s="4" t="s">
        <v>49</v>
      </c>
      <c r="W263" s="5">
        <v>1.0</v>
      </c>
      <c r="X263" s="5" t="b">
        <v>1</v>
      </c>
      <c r="Y263" s="5" t="s">
        <v>50</v>
      </c>
      <c r="Z263" s="5" t="b">
        <v>0</v>
      </c>
      <c r="AA263" s="10"/>
      <c r="AB263" s="4">
        <v>1.0</v>
      </c>
      <c r="AC263" s="11" t="s">
        <v>1536</v>
      </c>
      <c r="AD263" s="5">
        <v>0.0</v>
      </c>
      <c r="AE263" s="5">
        <v>1.0</v>
      </c>
      <c r="AF263" s="8">
        <v>46177.0</v>
      </c>
      <c r="AG263" s="9">
        <v>0.375</v>
      </c>
      <c r="AH263" s="9">
        <v>0.9166666666666666</v>
      </c>
      <c r="AI263" s="4" t="s">
        <v>49</v>
      </c>
      <c r="AJ263" s="5" t="s">
        <v>1537</v>
      </c>
      <c r="AK263" s="12"/>
      <c r="AL263" s="12"/>
      <c r="AM263" s="12"/>
      <c r="AN263" s="12"/>
      <c r="AO263" s="12"/>
      <c r="AP263" s="12"/>
      <c r="AQ263" s="12"/>
    </row>
    <row r="264">
      <c r="A264" s="5" t="s">
        <v>1538</v>
      </c>
      <c r="B264" s="5">
        <v>1.1398423E7</v>
      </c>
      <c r="C264" s="5" t="s">
        <v>37</v>
      </c>
      <c r="D264" s="5" t="s">
        <v>1539</v>
      </c>
      <c r="E264" s="5" t="s">
        <v>39</v>
      </c>
      <c r="F264" s="5" t="s">
        <v>1540</v>
      </c>
      <c r="G264" s="15">
        <v>6.28111E17</v>
      </c>
      <c r="H264" s="5" t="s">
        <v>1541</v>
      </c>
      <c r="I264" s="5" t="s">
        <v>42</v>
      </c>
      <c r="J264" s="5" t="s">
        <v>43</v>
      </c>
      <c r="K264" s="5">
        <v>8.7733785699E10</v>
      </c>
      <c r="L264" s="4" t="s">
        <v>44</v>
      </c>
      <c r="M264" s="5" t="s">
        <v>42</v>
      </c>
      <c r="N264" s="4" t="s">
        <v>45</v>
      </c>
      <c r="O264" s="4" t="s">
        <v>46</v>
      </c>
      <c r="P264" s="4" t="s">
        <v>47</v>
      </c>
      <c r="Q264" s="4">
        <v>16451.0</v>
      </c>
      <c r="R264" s="5" t="s">
        <v>1542</v>
      </c>
      <c r="S264" s="8">
        <v>46177.0</v>
      </c>
      <c r="T264" s="9">
        <v>0.375</v>
      </c>
      <c r="U264" s="9">
        <v>0.9166666666666666</v>
      </c>
      <c r="V264" s="4" t="s">
        <v>49</v>
      </c>
      <c r="W264" s="5">
        <v>1.0</v>
      </c>
      <c r="X264" s="5" t="b">
        <v>1</v>
      </c>
      <c r="Y264" s="5" t="s">
        <v>50</v>
      </c>
      <c r="Z264" s="5" t="b">
        <v>0</v>
      </c>
      <c r="AA264" s="10"/>
      <c r="AB264" s="4">
        <v>1.0</v>
      </c>
      <c r="AC264" s="11" t="s">
        <v>1543</v>
      </c>
      <c r="AD264" s="5">
        <v>0.0</v>
      </c>
      <c r="AE264" s="5">
        <v>1.0</v>
      </c>
      <c r="AF264" s="8">
        <v>46177.0</v>
      </c>
      <c r="AG264" s="9">
        <v>0.375</v>
      </c>
      <c r="AH264" s="9">
        <v>0.9166666666666666</v>
      </c>
      <c r="AI264" s="4" t="s">
        <v>49</v>
      </c>
      <c r="AJ264" s="5" t="s">
        <v>1544</v>
      </c>
      <c r="AK264" s="12"/>
      <c r="AL264" s="12"/>
      <c r="AM264" s="12"/>
      <c r="AN264" s="12"/>
      <c r="AO264" s="12"/>
      <c r="AP264" s="12"/>
      <c r="AQ264" s="12"/>
    </row>
    <row r="265">
      <c r="A265" s="5" t="s">
        <v>1545</v>
      </c>
      <c r="B265" s="5">
        <v>1.1398423E7</v>
      </c>
      <c r="C265" s="5" t="s">
        <v>37</v>
      </c>
      <c r="D265" s="5" t="s">
        <v>1546</v>
      </c>
      <c r="E265" s="5" t="s">
        <v>39</v>
      </c>
      <c r="F265" s="5" t="s">
        <v>618</v>
      </c>
      <c r="G265" s="15">
        <v>8.131030458E10</v>
      </c>
      <c r="H265" s="5" t="s">
        <v>619</v>
      </c>
      <c r="I265" s="5" t="s">
        <v>42</v>
      </c>
      <c r="J265" s="5" t="s">
        <v>43</v>
      </c>
      <c r="K265" s="5">
        <v>8.7733785699E10</v>
      </c>
      <c r="L265" s="4" t="s">
        <v>44</v>
      </c>
      <c r="M265" s="5" t="s">
        <v>42</v>
      </c>
      <c r="N265" s="4" t="s">
        <v>45</v>
      </c>
      <c r="O265" s="4" t="s">
        <v>46</v>
      </c>
      <c r="P265" s="4" t="s">
        <v>47</v>
      </c>
      <c r="Q265" s="4">
        <v>16451.0</v>
      </c>
      <c r="R265" s="5" t="s">
        <v>1547</v>
      </c>
      <c r="S265" s="8">
        <v>46177.0</v>
      </c>
      <c r="T265" s="9">
        <v>0.375</v>
      </c>
      <c r="U265" s="9">
        <v>0.9166666666666666</v>
      </c>
      <c r="V265" s="4" t="s">
        <v>49</v>
      </c>
      <c r="W265" s="5">
        <v>1.0</v>
      </c>
      <c r="X265" s="5" t="b">
        <v>1</v>
      </c>
      <c r="Y265" s="5" t="s">
        <v>50</v>
      </c>
      <c r="Z265" s="5" t="b">
        <v>0</v>
      </c>
      <c r="AA265" s="10"/>
      <c r="AB265" s="4">
        <v>1.0</v>
      </c>
      <c r="AC265" s="11" t="s">
        <v>1548</v>
      </c>
      <c r="AD265" s="5">
        <v>0.0</v>
      </c>
      <c r="AE265" s="5">
        <v>1.0</v>
      </c>
      <c r="AF265" s="8">
        <v>46177.0</v>
      </c>
      <c r="AG265" s="9">
        <v>0.375</v>
      </c>
      <c r="AH265" s="9">
        <v>0.9166666666666666</v>
      </c>
      <c r="AI265" s="4" t="s">
        <v>49</v>
      </c>
      <c r="AJ265" s="5" t="s">
        <v>1549</v>
      </c>
      <c r="AK265" s="12"/>
      <c r="AL265" s="12"/>
      <c r="AM265" s="12"/>
      <c r="AN265" s="12"/>
      <c r="AO265" s="12"/>
      <c r="AP265" s="12"/>
      <c r="AQ265" s="12"/>
    </row>
    <row r="266">
      <c r="A266" s="5" t="s">
        <v>1550</v>
      </c>
      <c r="B266" s="5">
        <v>1.1398423E7</v>
      </c>
      <c r="C266" s="5" t="s">
        <v>37</v>
      </c>
      <c r="D266" s="5" t="s">
        <v>1551</v>
      </c>
      <c r="E266" s="5" t="s">
        <v>39</v>
      </c>
      <c r="F266" s="5" t="s">
        <v>370</v>
      </c>
      <c r="G266" s="15">
        <v>2.177833109E9</v>
      </c>
      <c r="H266" s="5" t="s">
        <v>371</v>
      </c>
      <c r="I266" s="5" t="s">
        <v>42</v>
      </c>
      <c r="J266" s="5" t="s">
        <v>43</v>
      </c>
      <c r="K266" s="5">
        <v>8.7733785699E10</v>
      </c>
      <c r="L266" s="4" t="s">
        <v>44</v>
      </c>
      <c r="M266" s="5" t="s">
        <v>42</v>
      </c>
      <c r="N266" s="4" t="s">
        <v>45</v>
      </c>
      <c r="O266" s="4" t="s">
        <v>46</v>
      </c>
      <c r="P266" s="4" t="s">
        <v>47</v>
      </c>
      <c r="Q266" s="4">
        <v>16451.0</v>
      </c>
      <c r="R266" s="5" t="s">
        <v>1552</v>
      </c>
      <c r="S266" s="8">
        <v>46177.0</v>
      </c>
      <c r="T266" s="9">
        <v>0.375</v>
      </c>
      <c r="U266" s="9">
        <v>0.9166666666666666</v>
      </c>
      <c r="V266" s="4" t="s">
        <v>49</v>
      </c>
      <c r="W266" s="5">
        <v>1.0</v>
      </c>
      <c r="X266" s="5" t="b">
        <v>1</v>
      </c>
      <c r="Y266" s="5" t="s">
        <v>50</v>
      </c>
      <c r="Z266" s="5" t="b">
        <v>0</v>
      </c>
      <c r="AA266" s="10"/>
      <c r="AB266" s="4">
        <v>1.0</v>
      </c>
      <c r="AC266" s="11" t="s">
        <v>1553</v>
      </c>
      <c r="AD266" s="5">
        <v>0.0</v>
      </c>
      <c r="AE266" s="5">
        <v>1.0</v>
      </c>
      <c r="AF266" s="8">
        <v>46177.0</v>
      </c>
      <c r="AG266" s="9">
        <v>0.375</v>
      </c>
      <c r="AH266" s="9">
        <v>0.9166666666666666</v>
      </c>
      <c r="AI266" s="4" t="s">
        <v>49</v>
      </c>
      <c r="AJ266" s="5" t="s">
        <v>1554</v>
      </c>
      <c r="AK266" s="12"/>
      <c r="AL266" s="12"/>
      <c r="AM266" s="12"/>
      <c r="AN266" s="12"/>
      <c r="AO266" s="12"/>
      <c r="AP266" s="12"/>
      <c r="AQ266" s="12"/>
    </row>
    <row r="267">
      <c r="A267" s="5" t="s">
        <v>1555</v>
      </c>
      <c r="B267" s="5">
        <v>1.1398423E7</v>
      </c>
      <c r="C267" s="5" t="s">
        <v>37</v>
      </c>
      <c r="D267" s="5" t="s">
        <v>1556</v>
      </c>
      <c r="E267" s="5" t="s">
        <v>39</v>
      </c>
      <c r="F267" s="5" t="s">
        <v>1557</v>
      </c>
      <c r="G267" s="15">
        <v>6.28138E17</v>
      </c>
      <c r="H267" s="5" t="s">
        <v>1558</v>
      </c>
      <c r="I267" s="5" t="s">
        <v>42</v>
      </c>
      <c r="J267" s="5" t="s">
        <v>43</v>
      </c>
      <c r="K267" s="5">
        <v>8.7733785699E10</v>
      </c>
      <c r="L267" s="4" t="s">
        <v>44</v>
      </c>
      <c r="M267" s="5" t="s">
        <v>42</v>
      </c>
      <c r="N267" s="4" t="s">
        <v>45</v>
      </c>
      <c r="O267" s="4" t="s">
        <v>46</v>
      </c>
      <c r="P267" s="4" t="s">
        <v>47</v>
      </c>
      <c r="Q267" s="4">
        <v>16451.0</v>
      </c>
      <c r="R267" s="5" t="s">
        <v>1559</v>
      </c>
      <c r="S267" s="8">
        <v>46177.0</v>
      </c>
      <c r="T267" s="9">
        <v>0.375</v>
      </c>
      <c r="U267" s="9">
        <v>0.9166666666666666</v>
      </c>
      <c r="V267" s="4" t="s">
        <v>49</v>
      </c>
      <c r="W267" s="5">
        <v>1.0</v>
      </c>
      <c r="X267" s="5" t="b">
        <v>1</v>
      </c>
      <c r="Y267" s="5" t="s">
        <v>50</v>
      </c>
      <c r="Z267" s="5" t="b">
        <v>0</v>
      </c>
      <c r="AA267" s="10"/>
      <c r="AB267" s="4">
        <v>1.0</v>
      </c>
      <c r="AC267" s="11" t="s">
        <v>1560</v>
      </c>
      <c r="AD267" s="5">
        <v>0.0</v>
      </c>
      <c r="AE267" s="5">
        <v>1.0</v>
      </c>
      <c r="AF267" s="8">
        <v>46177.0</v>
      </c>
      <c r="AG267" s="9">
        <v>0.375</v>
      </c>
      <c r="AH267" s="9">
        <v>0.9166666666666666</v>
      </c>
      <c r="AI267" s="4" t="s">
        <v>49</v>
      </c>
      <c r="AJ267" s="5" t="s">
        <v>1561</v>
      </c>
      <c r="AK267" s="12"/>
      <c r="AL267" s="12"/>
      <c r="AM267" s="12"/>
      <c r="AN267" s="12"/>
      <c r="AO267" s="12"/>
      <c r="AP267" s="12"/>
      <c r="AQ267" s="12"/>
    </row>
    <row r="268">
      <c r="A268" s="5" t="s">
        <v>1562</v>
      </c>
      <c r="B268" s="5">
        <v>1.1398423E7</v>
      </c>
      <c r="C268" s="5" t="s">
        <v>37</v>
      </c>
      <c r="D268" s="5" t="s">
        <v>1563</v>
      </c>
      <c r="E268" s="5" t="s">
        <v>39</v>
      </c>
      <c r="F268" s="5" t="s">
        <v>1564</v>
      </c>
      <c r="G268" s="15">
        <v>6.28531E17</v>
      </c>
      <c r="H268" s="5" t="s">
        <v>1565</v>
      </c>
      <c r="I268" s="5" t="s">
        <v>42</v>
      </c>
      <c r="J268" s="5" t="s">
        <v>43</v>
      </c>
      <c r="K268" s="5">
        <v>8.7733785699E10</v>
      </c>
      <c r="L268" s="4" t="s">
        <v>44</v>
      </c>
      <c r="M268" s="5" t="s">
        <v>42</v>
      </c>
      <c r="N268" s="4" t="s">
        <v>45</v>
      </c>
      <c r="O268" s="4" t="s">
        <v>46</v>
      </c>
      <c r="P268" s="4" t="s">
        <v>47</v>
      </c>
      <c r="Q268" s="4">
        <v>16451.0</v>
      </c>
      <c r="R268" s="5" t="s">
        <v>1566</v>
      </c>
      <c r="S268" s="8">
        <v>46177.0</v>
      </c>
      <c r="T268" s="9">
        <v>0.375</v>
      </c>
      <c r="U268" s="9">
        <v>0.9166666666666666</v>
      </c>
      <c r="V268" s="4" t="s">
        <v>49</v>
      </c>
      <c r="W268" s="5">
        <v>1.0</v>
      </c>
      <c r="X268" s="5" t="b">
        <v>1</v>
      </c>
      <c r="Y268" s="5" t="s">
        <v>50</v>
      </c>
      <c r="Z268" s="5" t="b">
        <v>0</v>
      </c>
      <c r="AA268" s="10"/>
      <c r="AB268" s="4">
        <v>1.0</v>
      </c>
      <c r="AC268" s="11" t="s">
        <v>1567</v>
      </c>
      <c r="AD268" s="5">
        <v>0.0</v>
      </c>
      <c r="AE268" s="5">
        <v>1.0</v>
      </c>
      <c r="AF268" s="8">
        <v>46177.0</v>
      </c>
      <c r="AG268" s="9">
        <v>0.375</v>
      </c>
      <c r="AH268" s="9">
        <v>0.9166666666666666</v>
      </c>
      <c r="AI268" s="4" t="s">
        <v>49</v>
      </c>
      <c r="AJ268" s="5" t="s">
        <v>1568</v>
      </c>
      <c r="AK268" s="12"/>
      <c r="AL268" s="12"/>
      <c r="AM268" s="12"/>
      <c r="AN268" s="12"/>
      <c r="AO268" s="12"/>
      <c r="AP268" s="12"/>
      <c r="AQ268" s="12"/>
    </row>
    <row r="269">
      <c r="A269" s="5" t="s">
        <v>1569</v>
      </c>
      <c r="B269" s="5">
        <v>1.1398423E7</v>
      </c>
      <c r="C269" s="5" t="s">
        <v>37</v>
      </c>
      <c r="D269" s="5" t="s">
        <v>1570</v>
      </c>
      <c r="E269" s="5" t="s">
        <v>39</v>
      </c>
      <c r="F269" s="5" t="s">
        <v>1571</v>
      </c>
      <c r="G269" s="15">
        <v>6.28132E17</v>
      </c>
      <c r="H269" s="5" t="s">
        <v>1572</v>
      </c>
      <c r="I269" s="5" t="s">
        <v>42</v>
      </c>
      <c r="J269" s="5" t="s">
        <v>43</v>
      </c>
      <c r="K269" s="5">
        <v>8.7733785699E10</v>
      </c>
      <c r="L269" s="4" t="s">
        <v>44</v>
      </c>
      <c r="M269" s="5" t="s">
        <v>42</v>
      </c>
      <c r="N269" s="4" t="s">
        <v>45</v>
      </c>
      <c r="O269" s="4" t="s">
        <v>46</v>
      </c>
      <c r="P269" s="4" t="s">
        <v>47</v>
      </c>
      <c r="Q269" s="4">
        <v>16451.0</v>
      </c>
      <c r="R269" s="5" t="s">
        <v>1573</v>
      </c>
      <c r="S269" s="8">
        <v>46177.0</v>
      </c>
      <c r="T269" s="9">
        <v>0.375</v>
      </c>
      <c r="U269" s="9">
        <v>0.9166666666666666</v>
      </c>
      <c r="V269" s="4" t="s">
        <v>49</v>
      </c>
      <c r="W269" s="5">
        <v>1.0</v>
      </c>
      <c r="X269" s="5" t="b">
        <v>1</v>
      </c>
      <c r="Y269" s="5" t="s">
        <v>50</v>
      </c>
      <c r="Z269" s="5" t="b">
        <v>0</v>
      </c>
      <c r="AA269" s="10"/>
      <c r="AB269" s="4">
        <v>1.0</v>
      </c>
      <c r="AC269" s="11" t="s">
        <v>1574</v>
      </c>
      <c r="AD269" s="5">
        <v>0.0</v>
      </c>
      <c r="AE269" s="5">
        <v>1.0</v>
      </c>
      <c r="AF269" s="8">
        <v>46177.0</v>
      </c>
      <c r="AG269" s="9">
        <v>0.375</v>
      </c>
      <c r="AH269" s="9">
        <v>0.9166666666666666</v>
      </c>
      <c r="AI269" s="4" t="s">
        <v>49</v>
      </c>
      <c r="AJ269" s="5" t="s">
        <v>1575</v>
      </c>
      <c r="AK269" s="12"/>
      <c r="AL269" s="12"/>
      <c r="AM269" s="12"/>
      <c r="AN269" s="12"/>
      <c r="AO269" s="12"/>
      <c r="AP269" s="12"/>
      <c r="AQ269" s="12"/>
    </row>
    <row r="270">
      <c r="A270" s="5" t="s">
        <v>1576</v>
      </c>
      <c r="B270" s="5">
        <v>1.1398423E7</v>
      </c>
      <c r="C270" s="5" t="s">
        <v>37</v>
      </c>
      <c r="D270" s="5" t="s">
        <v>1577</v>
      </c>
      <c r="E270" s="5" t="s">
        <v>39</v>
      </c>
      <c r="F270" s="5" t="s">
        <v>1578</v>
      </c>
      <c r="G270" s="15">
        <v>8.1519121661E10</v>
      </c>
      <c r="H270" s="5" t="s">
        <v>1579</v>
      </c>
      <c r="I270" s="5" t="s">
        <v>42</v>
      </c>
      <c r="J270" s="5" t="s">
        <v>43</v>
      </c>
      <c r="K270" s="5">
        <v>8.7733785699E10</v>
      </c>
      <c r="L270" s="4" t="s">
        <v>44</v>
      </c>
      <c r="M270" s="5" t="s">
        <v>42</v>
      </c>
      <c r="N270" s="4" t="s">
        <v>45</v>
      </c>
      <c r="O270" s="4" t="s">
        <v>46</v>
      </c>
      <c r="P270" s="4" t="s">
        <v>47</v>
      </c>
      <c r="Q270" s="4">
        <v>16451.0</v>
      </c>
      <c r="R270" s="5" t="s">
        <v>1580</v>
      </c>
      <c r="S270" s="8">
        <v>46177.0</v>
      </c>
      <c r="T270" s="9">
        <v>0.375</v>
      </c>
      <c r="U270" s="9">
        <v>0.9166666666666666</v>
      </c>
      <c r="V270" s="4" t="s">
        <v>49</v>
      </c>
      <c r="W270" s="5">
        <v>1.0</v>
      </c>
      <c r="X270" s="5" t="b">
        <v>1</v>
      </c>
      <c r="Y270" s="5" t="s">
        <v>50</v>
      </c>
      <c r="Z270" s="5" t="b">
        <v>0</v>
      </c>
      <c r="AA270" s="10"/>
      <c r="AB270" s="4">
        <v>1.0</v>
      </c>
      <c r="AC270" s="11" t="s">
        <v>1581</v>
      </c>
      <c r="AD270" s="5">
        <v>0.0</v>
      </c>
      <c r="AE270" s="5">
        <v>1.0</v>
      </c>
      <c r="AF270" s="8">
        <v>46177.0</v>
      </c>
      <c r="AG270" s="9">
        <v>0.375</v>
      </c>
      <c r="AH270" s="9">
        <v>0.9166666666666666</v>
      </c>
      <c r="AI270" s="4" t="s">
        <v>49</v>
      </c>
      <c r="AJ270" s="5" t="s">
        <v>1582</v>
      </c>
      <c r="AK270" s="12"/>
      <c r="AL270" s="12"/>
      <c r="AM270" s="12"/>
      <c r="AN270" s="12"/>
      <c r="AO270" s="12"/>
      <c r="AP270" s="12"/>
      <c r="AQ270" s="12"/>
    </row>
    <row r="271">
      <c r="A271" s="5" t="s">
        <v>1583</v>
      </c>
      <c r="B271" s="5">
        <v>1.1398423E7</v>
      </c>
      <c r="C271" s="5" t="s">
        <v>37</v>
      </c>
      <c r="D271" s="5" t="s">
        <v>1584</v>
      </c>
      <c r="E271" s="5" t="s">
        <v>39</v>
      </c>
      <c r="F271" s="5" t="s">
        <v>1585</v>
      </c>
      <c r="G271" s="15">
        <v>6.28537E17</v>
      </c>
      <c r="H271" s="5" t="s">
        <v>1586</v>
      </c>
      <c r="I271" s="5" t="s">
        <v>42</v>
      </c>
      <c r="J271" s="5" t="s">
        <v>43</v>
      </c>
      <c r="K271" s="5">
        <v>8.7733785699E10</v>
      </c>
      <c r="L271" s="4" t="s">
        <v>44</v>
      </c>
      <c r="M271" s="5" t="s">
        <v>42</v>
      </c>
      <c r="N271" s="4" t="s">
        <v>45</v>
      </c>
      <c r="O271" s="4" t="s">
        <v>46</v>
      </c>
      <c r="P271" s="4" t="s">
        <v>47</v>
      </c>
      <c r="Q271" s="4">
        <v>16451.0</v>
      </c>
      <c r="R271" s="5" t="s">
        <v>1587</v>
      </c>
      <c r="S271" s="8">
        <v>46178.0</v>
      </c>
      <c r="T271" s="9">
        <v>0.375</v>
      </c>
      <c r="U271" s="9">
        <v>0.9166666666666666</v>
      </c>
      <c r="V271" s="4" t="s">
        <v>49</v>
      </c>
      <c r="W271" s="5">
        <v>1.0</v>
      </c>
      <c r="X271" s="5" t="b">
        <v>1</v>
      </c>
      <c r="Y271" s="5" t="s">
        <v>50</v>
      </c>
      <c r="Z271" s="5" t="b">
        <v>0</v>
      </c>
      <c r="AA271" s="10"/>
      <c r="AB271" s="4">
        <v>1.0</v>
      </c>
      <c r="AC271" s="11" t="s">
        <v>1588</v>
      </c>
      <c r="AD271" s="5">
        <v>0.0</v>
      </c>
      <c r="AE271" s="5">
        <v>1.0</v>
      </c>
      <c r="AF271" s="8">
        <v>46178.0</v>
      </c>
      <c r="AG271" s="9">
        <v>0.375</v>
      </c>
      <c r="AH271" s="9">
        <v>0.9166666666666666</v>
      </c>
      <c r="AI271" s="4" t="s">
        <v>49</v>
      </c>
      <c r="AJ271" s="5" t="s">
        <v>1589</v>
      </c>
      <c r="AK271" s="12"/>
      <c r="AL271" s="12"/>
      <c r="AM271" s="12"/>
      <c r="AN271" s="12"/>
      <c r="AO271" s="12"/>
      <c r="AP271" s="12"/>
      <c r="AQ271" s="12"/>
    </row>
    <row r="272">
      <c r="A272" s="5" t="s">
        <v>1590</v>
      </c>
      <c r="B272" s="5">
        <v>1.1398423E7</v>
      </c>
      <c r="C272" s="5" t="s">
        <v>37</v>
      </c>
      <c r="D272" s="5" t="s">
        <v>1591</v>
      </c>
      <c r="E272" s="5" t="s">
        <v>39</v>
      </c>
      <c r="F272" s="5" t="s">
        <v>1592</v>
      </c>
      <c r="G272" s="15">
        <v>8.5883142584E10</v>
      </c>
      <c r="H272" s="5" t="s">
        <v>1593</v>
      </c>
      <c r="I272" s="5" t="s">
        <v>42</v>
      </c>
      <c r="J272" s="5" t="s">
        <v>43</v>
      </c>
      <c r="K272" s="5">
        <v>8.7733785699E10</v>
      </c>
      <c r="L272" s="4" t="s">
        <v>44</v>
      </c>
      <c r="M272" s="5" t="s">
        <v>42</v>
      </c>
      <c r="N272" s="4" t="s">
        <v>45</v>
      </c>
      <c r="O272" s="4" t="s">
        <v>46</v>
      </c>
      <c r="P272" s="4" t="s">
        <v>47</v>
      </c>
      <c r="Q272" s="4">
        <v>16451.0</v>
      </c>
      <c r="R272" s="5" t="s">
        <v>1594</v>
      </c>
      <c r="S272" s="8">
        <v>46178.0</v>
      </c>
      <c r="T272" s="9">
        <v>0.375</v>
      </c>
      <c r="U272" s="9">
        <v>0.9166666666666666</v>
      </c>
      <c r="V272" s="4" t="s">
        <v>49</v>
      </c>
      <c r="W272" s="5">
        <v>1.0</v>
      </c>
      <c r="X272" s="5" t="b">
        <v>1</v>
      </c>
      <c r="Y272" s="5" t="s">
        <v>50</v>
      </c>
      <c r="Z272" s="5" t="b">
        <v>0</v>
      </c>
      <c r="AA272" s="10"/>
      <c r="AB272" s="4">
        <v>1.0</v>
      </c>
      <c r="AC272" s="11" t="s">
        <v>1595</v>
      </c>
      <c r="AD272" s="5">
        <v>0.0</v>
      </c>
      <c r="AE272" s="5">
        <v>1.0</v>
      </c>
      <c r="AF272" s="8">
        <v>46178.0</v>
      </c>
      <c r="AG272" s="9">
        <v>0.375</v>
      </c>
      <c r="AH272" s="9">
        <v>0.9166666666666666</v>
      </c>
      <c r="AI272" s="4" t="s">
        <v>49</v>
      </c>
      <c r="AJ272" s="5" t="s">
        <v>1596</v>
      </c>
      <c r="AK272" s="12"/>
      <c r="AL272" s="12"/>
      <c r="AM272" s="12"/>
      <c r="AN272" s="12"/>
      <c r="AO272" s="12"/>
      <c r="AP272" s="12"/>
      <c r="AQ272" s="12"/>
    </row>
    <row r="273">
      <c r="A273" s="5" t="s">
        <v>1597</v>
      </c>
      <c r="B273" s="5">
        <v>1.1398423E7</v>
      </c>
      <c r="C273" s="5" t="s">
        <v>37</v>
      </c>
      <c r="D273" s="5" t="s">
        <v>1598</v>
      </c>
      <c r="E273" s="5" t="s">
        <v>39</v>
      </c>
      <c r="F273" s="5" t="s">
        <v>240</v>
      </c>
      <c r="G273" s="15">
        <v>8.131705404E10</v>
      </c>
      <c r="H273" s="5" t="s">
        <v>241</v>
      </c>
      <c r="I273" s="5" t="s">
        <v>42</v>
      </c>
      <c r="J273" s="5" t="s">
        <v>43</v>
      </c>
      <c r="K273" s="5">
        <v>8.7733785699E10</v>
      </c>
      <c r="L273" s="4" t="s">
        <v>44</v>
      </c>
      <c r="M273" s="5" t="s">
        <v>42</v>
      </c>
      <c r="N273" s="4" t="s">
        <v>45</v>
      </c>
      <c r="O273" s="4" t="s">
        <v>46</v>
      </c>
      <c r="P273" s="4" t="s">
        <v>47</v>
      </c>
      <c r="Q273" s="4">
        <v>16451.0</v>
      </c>
      <c r="R273" s="5" t="s">
        <v>1599</v>
      </c>
      <c r="S273" s="8">
        <v>46178.0</v>
      </c>
      <c r="T273" s="9">
        <v>0.375</v>
      </c>
      <c r="U273" s="9">
        <v>0.9166666666666666</v>
      </c>
      <c r="V273" s="4" t="s">
        <v>49</v>
      </c>
      <c r="W273" s="5">
        <v>1.0</v>
      </c>
      <c r="X273" s="5" t="b">
        <v>1</v>
      </c>
      <c r="Y273" s="5" t="s">
        <v>50</v>
      </c>
      <c r="Z273" s="5" t="b">
        <v>0</v>
      </c>
      <c r="AA273" s="10"/>
      <c r="AB273" s="4">
        <v>1.0</v>
      </c>
      <c r="AC273" s="11" t="s">
        <v>1600</v>
      </c>
      <c r="AD273" s="5">
        <v>0.0</v>
      </c>
      <c r="AE273" s="5">
        <v>1.0</v>
      </c>
      <c r="AF273" s="8">
        <v>46178.0</v>
      </c>
      <c r="AG273" s="9">
        <v>0.375</v>
      </c>
      <c r="AH273" s="9">
        <v>0.9166666666666666</v>
      </c>
      <c r="AI273" s="4" t="s">
        <v>49</v>
      </c>
      <c r="AJ273" s="5" t="s">
        <v>1601</v>
      </c>
      <c r="AK273" s="12"/>
      <c r="AL273" s="12"/>
      <c r="AM273" s="12"/>
      <c r="AN273" s="12"/>
      <c r="AO273" s="12"/>
      <c r="AP273" s="12"/>
      <c r="AQ273" s="12"/>
    </row>
    <row r="274">
      <c r="A274" s="5" t="s">
        <v>1602</v>
      </c>
      <c r="B274" s="5">
        <v>1.1398423E7</v>
      </c>
      <c r="C274" s="5" t="s">
        <v>37</v>
      </c>
      <c r="D274" s="5" t="s">
        <v>1603</v>
      </c>
      <c r="E274" s="5" t="s">
        <v>39</v>
      </c>
      <c r="F274" s="5" t="s">
        <v>294</v>
      </c>
      <c r="G274" s="15">
        <v>8.5283705505E10</v>
      </c>
      <c r="H274" s="5" t="s">
        <v>295</v>
      </c>
      <c r="I274" s="5" t="s">
        <v>42</v>
      </c>
      <c r="J274" s="5" t="s">
        <v>43</v>
      </c>
      <c r="K274" s="5">
        <v>8.7733785699E10</v>
      </c>
      <c r="L274" s="4" t="s">
        <v>44</v>
      </c>
      <c r="M274" s="5" t="s">
        <v>42</v>
      </c>
      <c r="N274" s="4" t="s">
        <v>45</v>
      </c>
      <c r="O274" s="4" t="s">
        <v>46</v>
      </c>
      <c r="P274" s="4" t="s">
        <v>47</v>
      </c>
      <c r="Q274" s="4">
        <v>16451.0</v>
      </c>
      <c r="R274" s="5" t="s">
        <v>1604</v>
      </c>
      <c r="S274" s="8">
        <v>46178.0</v>
      </c>
      <c r="T274" s="9">
        <v>0.375</v>
      </c>
      <c r="U274" s="9">
        <v>0.9166666666666666</v>
      </c>
      <c r="V274" s="4" t="s">
        <v>49</v>
      </c>
      <c r="W274" s="5">
        <v>1.0</v>
      </c>
      <c r="X274" s="5" t="b">
        <v>1</v>
      </c>
      <c r="Y274" s="5" t="s">
        <v>50</v>
      </c>
      <c r="Z274" s="5" t="b">
        <v>0</v>
      </c>
      <c r="AA274" s="10"/>
      <c r="AB274" s="4">
        <v>1.0</v>
      </c>
      <c r="AC274" s="11" t="s">
        <v>1605</v>
      </c>
      <c r="AD274" s="5">
        <v>0.0</v>
      </c>
      <c r="AE274" s="5">
        <v>1.0</v>
      </c>
      <c r="AF274" s="8">
        <v>46178.0</v>
      </c>
      <c r="AG274" s="9">
        <v>0.375</v>
      </c>
      <c r="AH274" s="9">
        <v>0.9166666666666666</v>
      </c>
      <c r="AI274" s="4" t="s">
        <v>49</v>
      </c>
      <c r="AJ274" s="5" t="s">
        <v>1606</v>
      </c>
      <c r="AK274" s="12"/>
      <c r="AL274" s="12"/>
      <c r="AM274" s="12"/>
      <c r="AN274" s="12"/>
      <c r="AO274" s="12"/>
      <c r="AP274" s="12"/>
      <c r="AQ274" s="12"/>
    </row>
    <row r="275">
      <c r="A275" s="5" t="s">
        <v>1607</v>
      </c>
      <c r="B275" s="5">
        <v>1.1398423E7</v>
      </c>
      <c r="C275" s="5" t="s">
        <v>37</v>
      </c>
      <c r="D275" s="5" t="s">
        <v>1608</v>
      </c>
      <c r="E275" s="5" t="s">
        <v>39</v>
      </c>
      <c r="F275" s="5" t="s">
        <v>1609</v>
      </c>
      <c r="G275" s="15">
        <v>8.1315668881E10</v>
      </c>
      <c r="H275" s="5" t="s">
        <v>1610</v>
      </c>
      <c r="I275" s="5" t="s">
        <v>42</v>
      </c>
      <c r="J275" s="5" t="s">
        <v>43</v>
      </c>
      <c r="K275" s="5">
        <v>8.7733785699E10</v>
      </c>
      <c r="L275" s="4" t="s">
        <v>44</v>
      </c>
      <c r="M275" s="5" t="s">
        <v>42</v>
      </c>
      <c r="N275" s="4" t="s">
        <v>45</v>
      </c>
      <c r="O275" s="4" t="s">
        <v>46</v>
      </c>
      <c r="P275" s="4" t="s">
        <v>47</v>
      </c>
      <c r="Q275" s="4">
        <v>16451.0</v>
      </c>
      <c r="R275" s="5" t="s">
        <v>1611</v>
      </c>
      <c r="S275" s="8">
        <v>46178.0</v>
      </c>
      <c r="T275" s="9">
        <v>0.375</v>
      </c>
      <c r="U275" s="9">
        <v>0.9166666666666666</v>
      </c>
      <c r="V275" s="4" t="s">
        <v>49</v>
      </c>
      <c r="W275" s="5">
        <v>1.0</v>
      </c>
      <c r="X275" s="5" t="b">
        <v>1</v>
      </c>
      <c r="Y275" s="5" t="s">
        <v>50</v>
      </c>
      <c r="Z275" s="5" t="b">
        <v>0</v>
      </c>
      <c r="AA275" s="10"/>
      <c r="AB275" s="4">
        <v>1.0</v>
      </c>
      <c r="AC275" s="11" t="s">
        <v>1612</v>
      </c>
      <c r="AD275" s="5">
        <v>0.0</v>
      </c>
      <c r="AE275" s="5">
        <v>1.0</v>
      </c>
      <c r="AF275" s="8">
        <v>46178.0</v>
      </c>
      <c r="AG275" s="9">
        <v>0.375</v>
      </c>
      <c r="AH275" s="9">
        <v>0.9166666666666666</v>
      </c>
      <c r="AI275" s="4" t="s">
        <v>49</v>
      </c>
      <c r="AJ275" s="5" t="s">
        <v>1613</v>
      </c>
      <c r="AK275" s="12"/>
      <c r="AL275" s="12"/>
      <c r="AM275" s="12"/>
      <c r="AN275" s="12"/>
      <c r="AO275" s="12"/>
      <c r="AP275" s="12"/>
      <c r="AQ275" s="12"/>
    </row>
    <row r="276">
      <c r="A276" s="5" t="s">
        <v>1614</v>
      </c>
      <c r="B276" s="5">
        <v>1.1398423E7</v>
      </c>
      <c r="C276" s="5" t="s">
        <v>37</v>
      </c>
      <c r="D276" s="5" t="s">
        <v>1615</v>
      </c>
      <c r="E276" s="5" t="s">
        <v>39</v>
      </c>
      <c r="F276" s="5" t="s">
        <v>1616</v>
      </c>
      <c r="G276" s="15">
        <v>6.28139E17</v>
      </c>
      <c r="H276" s="5" t="s">
        <v>1617</v>
      </c>
      <c r="I276" s="5" t="s">
        <v>42</v>
      </c>
      <c r="J276" s="5" t="s">
        <v>43</v>
      </c>
      <c r="K276" s="5">
        <v>8.7733785699E10</v>
      </c>
      <c r="L276" s="4" t="s">
        <v>44</v>
      </c>
      <c r="M276" s="5" t="s">
        <v>42</v>
      </c>
      <c r="N276" s="4" t="s">
        <v>45</v>
      </c>
      <c r="O276" s="4" t="s">
        <v>46</v>
      </c>
      <c r="P276" s="4" t="s">
        <v>47</v>
      </c>
      <c r="Q276" s="4">
        <v>16451.0</v>
      </c>
      <c r="R276" s="5" t="s">
        <v>1618</v>
      </c>
      <c r="S276" s="8">
        <v>46178.0</v>
      </c>
      <c r="T276" s="9">
        <v>0.375</v>
      </c>
      <c r="U276" s="9">
        <v>0.9166666666666666</v>
      </c>
      <c r="V276" s="4" t="s">
        <v>49</v>
      </c>
      <c r="W276" s="5">
        <v>1.0</v>
      </c>
      <c r="X276" s="5" t="b">
        <v>1</v>
      </c>
      <c r="Y276" s="5" t="s">
        <v>50</v>
      </c>
      <c r="Z276" s="5" t="b">
        <v>0</v>
      </c>
      <c r="AA276" s="10"/>
      <c r="AB276" s="4">
        <v>1.0</v>
      </c>
      <c r="AC276" s="11" t="s">
        <v>1619</v>
      </c>
      <c r="AD276" s="5">
        <v>0.0</v>
      </c>
      <c r="AE276" s="5">
        <v>1.0</v>
      </c>
      <c r="AF276" s="8">
        <v>46178.0</v>
      </c>
      <c r="AG276" s="9">
        <v>0.375</v>
      </c>
      <c r="AH276" s="9">
        <v>0.9166666666666666</v>
      </c>
      <c r="AI276" s="4" t="s">
        <v>49</v>
      </c>
      <c r="AJ276" s="5" t="s">
        <v>1620</v>
      </c>
      <c r="AK276" s="12"/>
      <c r="AL276" s="12"/>
      <c r="AM276" s="12"/>
      <c r="AN276" s="12"/>
      <c r="AO276" s="12"/>
      <c r="AP276" s="12"/>
      <c r="AQ276" s="12"/>
    </row>
    <row r="277">
      <c r="A277" s="5" t="s">
        <v>1621</v>
      </c>
      <c r="B277" s="5">
        <v>1.1398423E7</v>
      </c>
      <c r="C277" s="5" t="s">
        <v>37</v>
      </c>
      <c r="D277" s="5" t="s">
        <v>1622</v>
      </c>
      <c r="E277" s="5" t="s">
        <v>39</v>
      </c>
      <c r="F277" s="5" t="s">
        <v>386</v>
      </c>
      <c r="G277" s="15">
        <v>6.28177E16</v>
      </c>
      <c r="H277" s="5" t="s">
        <v>387</v>
      </c>
      <c r="I277" s="5" t="s">
        <v>42</v>
      </c>
      <c r="J277" s="5" t="s">
        <v>43</v>
      </c>
      <c r="K277" s="5">
        <v>8.7733785699E10</v>
      </c>
      <c r="L277" s="4" t="s">
        <v>44</v>
      </c>
      <c r="M277" s="5" t="s">
        <v>42</v>
      </c>
      <c r="N277" s="4" t="s">
        <v>45</v>
      </c>
      <c r="O277" s="4" t="s">
        <v>46</v>
      </c>
      <c r="P277" s="4" t="s">
        <v>47</v>
      </c>
      <c r="Q277" s="4">
        <v>16451.0</v>
      </c>
      <c r="R277" s="5" t="s">
        <v>1623</v>
      </c>
      <c r="S277" s="8">
        <v>46178.0</v>
      </c>
      <c r="T277" s="9">
        <v>0.375</v>
      </c>
      <c r="U277" s="9">
        <v>0.9166666666666666</v>
      </c>
      <c r="V277" s="4" t="s">
        <v>49</v>
      </c>
      <c r="W277" s="5">
        <v>1.0</v>
      </c>
      <c r="X277" s="5" t="b">
        <v>1</v>
      </c>
      <c r="Y277" s="5" t="s">
        <v>50</v>
      </c>
      <c r="Z277" s="5" t="b">
        <v>0</v>
      </c>
      <c r="AA277" s="10"/>
      <c r="AB277" s="4">
        <v>1.0</v>
      </c>
      <c r="AC277" s="11" t="s">
        <v>1624</v>
      </c>
      <c r="AD277" s="5">
        <v>0.0</v>
      </c>
      <c r="AE277" s="5">
        <v>1.0</v>
      </c>
      <c r="AF277" s="8">
        <v>46178.0</v>
      </c>
      <c r="AG277" s="9">
        <v>0.375</v>
      </c>
      <c r="AH277" s="9">
        <v>0.9166666666666666</v>
      </c>
      <c r="AI277" s="4" t="s">
        <v>49</v>
      </c>
      <c r="AJ277" s="5" t="s">
        <v>1625</v>
      </c>
      <c r="AK277" s="12"/>
      <c r="AL277" s="12"/>
      <c r="AM277" s="12"/>
      <c r="AN277" s="12"/>
      <c r="AO277" s="12"/>
      <c r="AP277" s="12"/>
      <c r="AQ277" s="12"/>
    </row>
    <row r="278">
      <c r="A278" s="5" t="s">
        <v>1626</v>
      </c>
      <c r="B278" s="5">
        <v>1.1398423E7</v>
      </c>
      <c r="C278" s="5" t="s">
        <v>37</v>
      </c>
      <c r="D278" s="5" t="s">
        <v>1627</v>
      </c>
      <c r="E278" s="5" t="s">
        <v>39</v>
      </c>
      <c r="F278" s="5" t="s">
        <v>923</v>
      </c>
      <c r="G278" s="15">
        <v>6.28584E17</v>
      </c>
      <c r="H278" s="5" t="s">
        <v>924</v>
      </c>
      <c r="I278" s="5" t="s">
        <v>42</v>
      </c>
      <c r="J278" s="5" t="s">
        <v>43</v>
      </c>
      <c r="K278" s="5">
        <v>8.7733785699E10</v>
      </c>
      <c r="L278" s="4" t="s">
        <v>44</v>
      </c>
      <c r="M278" s="5" t="s">
        <v>42</v>
      </c>
      <c r="N278" s="4" t="s">
        <v>45</v>
      </c>
      <c r="O278" s="4" t="s">
        <v>46</v>
      </c>
      <c r="P278" s="4" t="s">
        <v>47</v>
      </c>
      <c r="Q278" s="4">
        <v>16451.0</v>
      </c>
      <c r="R278" s="5" t="s">
        <v>1628</v>
      </c>
      <c r="S278" s="8">
        <v>46178.0</v>
      </c>
      <c r="T278" s="9">
        <v>0.375</v>
      </c>
      <c r="U278" s="9">
        <v>0.9166666666666666</v>
      </c>
      <c r="V278" s="4" t="s">
        <v>49</v>
      </c>
      <c r="W278" s="5">
        <v>1.0</v>
      </c>
      <c r="X278" s="5" t="b">
        <v>1</v>
      </c>
      <c r="Y278" s="5" t="s">
        <v>50</v>
      </c>
      <c r="Z278" s="5" t="b">
        <v>0</v>
      </c>
      <c r="AA278" s="10"/>
      <c r="AB278" s="4">
        <v>1.0</v>
      </c>
      <c r="AC278" s="11" t="s">
        <v>1629</v>
      </c>
      <c r="AD278" s="5">
        <v>0.0</v>
      </c>
      <c r="AE278" s="5">
        <v>1.0</v>
      </c>
      <c r="AF278" s="8">
        <v>46178.0</v>
      </c>
      <c r="AG278" s="9">
        <v>0.375</v>
      </c>
      <c r="AH278" s="9">
        <v>0.9166666666666666</v>
      </c>
      <c r="AI278" s="4" t="s">
        <v>49</v>
      </c>
      <c r="AJ278" s="5" t="s">
        <v>1630</v>
      </c>
      <c r="AK278" s="12"/>
      <c r="AL278" s="12"/>
      <c r="AM278" s="12"/>
      <c r="AN278" s="12"/>
      <c r="AO278" s="12"/>
      <c r="AP278" s="12"/>
      <c r="AQ278" s="12"/>
    </row>
    <row r="279">
      <c r="A279" s="5" t="s">
        <v>1631</v>
      </c>
      <c r="B279" s="5">
        <v>1.1398423E7</v>
      </c>
      <c r="C279" s="5" t="s">
        <v>37</v>
      </c>
      <c r="D279" s="5" t="s">
        <v>1632</v>
      </c>
      <c r="E279" s="5" t="s">
        <v>39</v>
      </c>
      <c r="F279" s="5" t="s">
        <v>1633</v>
      </c>
      <c r="G279" s="15">
        <v>6.28217E17</v>
      </c>
      <c r="H279" s="5" t="s">
        <v>1634</v>
      </c>
      <c r="I279" s="5" t="s">
        <v>42</v>
      </c>
      <c r="J279" s="5" t="s">
        <v>43</v>
      </c>
      <c r="K279" s="5">
        <v>8.7733785699E10</v>
      </c>
      <c r="L279" s="4" t="s">
        <v>44</v>
      </c>
      <c r="M279" s="5" t="s">
        <v>42</v>
      </c>
      <c r="N279" s="4" t="s">
        <v>45</v>
      </c>
      <c r="O279" s="4" t="s">
        <v>46</v>
      </c>
      <c r="P279" s="4" t="s">
        <v>47</v>
      </c>
      <c r="Q279" s="4">
        <v>16451.0</v>
      </c>
      <c r="R279" s="5" t="s">
        <v>1635</v>
      </c>
      <c r="S279" s="8">
        <v>46178.0</v>
      </c>
      <c r="T279" s="9">
        <v>0.375</v>
      </c>
      <c r="U279" s="9">
        <v>0.9166666666666666</v>
      </c>
      <c r="V279" s="4" t="s">
        <v>49</v>
      </c>
      <c r="W279" s="5">
        <v>1.0</v>
      </c>
      <c r="X279" s="5" t="b">
        <v>1</v>
      </c>
      <c r="Y279" s="5" t="s">
        <v>50</v>
      </c>
      <c r="Z279" s="5" t="b">
        <v>0</v>
      </c>
      <c r="AA279" s="10"/>
      <c r="AB279" s="4">
        <v>1.0</v>
      </c>
      <c r="AC279" s="11" t="s">
        <v>1636</v>
      </c>
      <c r="AD279" s="5">
        <v>0.0</v>
      </c>
      <c r="AE279" s="5">
        <v>1.0</v>
      </c>
      <c r="AF279" s="8">
        <v>46178.0</v>
      </c>
      <c r="AG279" s="9">
        <v>0.375</v>
      </c>
      <c r="AH279" s="9">
        <v>0.9166666666666666</v>
      </c>
      <c r="AI279" s="4" t="s">
        <v>49</v>
      </c>
      <c r="AJ279" s="5" t="s">
        <v>1637</v>
      </c>
      <c r="AK279" s="12"/>
      <c r="AL279" s="12"/>
      <c r="AM279" s="12"/>
      <c r="AN279" s="12"/>
      <c r="AO279" s="12"/>
      <c r="AP279" s="12"/>
      <c r="AQ279" s="12"/>
    </row>
    <row r="280">
      <c r="A280" s="5" t="s">
        <v>1638</v>
      </c>
      <c r="B280" s="5">
        <v>1.1398423E7</v>
      </c>
      <c r="C280" s="5" t="s">
        <v>37</v>
      </c>
      <c r="D280" s="5" t="s">
        <v>1639</v>
      </c>
      <c r="E280" s="5" t="s">
        <v>39</v>
      </c>
      <c r="F280" s="5" t="s">
        <v>1640</v>
      </c>
      <c r="G280" s="15">
        <v>6.28598E17</v>
      </c>
      <c r="H280" s="5" t="s">
        <v>1641</v>
      </c>
      <c r="I280" s="5" t="s">
        <v>42</v>
      </c>
      <c r="J280" s="5" t="s">
        <v>43</v>
      </c>
      <c r="K280" s="5">
        <v>8.7733785699E10</v>
      </c>
      <c r="L280" s="4" t="s">
        <v>44</v>
      </c>
      <c r="M280" s="5" t="s">
        <v>42</v>
      </c>
      <c r="N280" s="4" t="s">
        <v>45</v>
      </c>
      <c r="O280" s="4" t="s">
        <v>46</v>
      </c>
      <c r="P280" s="4" t="s">
        <v>47</v>
      </c>
      <c r="Q280" s="4">
        <v>16451.0</v>
      </c>
      <c r="R280" s="5" t="s">
        <v>1642</v>
      </c>
      <c r="S280" s="8">
        <v>46178.0</v>
      </c>
      <c r="T280" s="9">
        <v>0.375</v>
      </c>
      <c r="U280" s="9">
        <v>0.9166666666666666</v>
      </c>
      <c r="V280" s="4" t="s">
        <v>49</v>
      </c>
      <c r="W280" s="5">
        <v>1.0</v>
      </c>
      <c r="X280" s="5" t="b">
        <v>1</v>
      </c>
      <c r="Y280" s="5" t="s">
        <v>50</v>
      </c>
      <c r="Z280" s="5" t="b">
        <v>0</v>
      </c>
      <c r="AA280" s="10"/>
      <c r="AB280" s="4">
        <v>1.0</v>
      </c>
      <c r="AC280" s="11" t="s">
        <v>1643</v>
      </c>
      <c r="AD280" s="5">
        <v>0.0</v>
      </c>
      <c r="AE280" s="5">
        <v>1.0</v>
      </c>
      <c r="AF280" s="8">
        <v>46178.0</v>
      </c>
      <c r="AG280" s="9">
        <v>0.375</v>
      </c>
      <c r="AH280" s="9">
        <v>0.9166666666666666</v>
      </c>
      <c r="AI280" s="4" t="s">
        <v>49</v>
      </c>
      <c r="AJ280" s="5" t="s">
        <v>1644</v>
      </c>
      <c r="AK280" s="12"/>
      <c r="AL280" s="12"/>
      <c r="AM280" s="12"/>
      <c r="AN280" s="12"/>
      <c r="AO280" s="12"/>
      <c r="AP280" s="12"/>
      <c r="AQ280" s="12"/>
    </row>
    <row r="281">
      <c r="A281" s="5" t="s">
        <v>1645</v>
      </c>
      <c r="B281" s="5">
        <v>1.1398423E7</v>
      </c>
      <c r="C281" s="5" t="s">
        <v>37</v>
      </c>
      <c r="D281" s="5" t="s">
        <v>1646</v>
      </c>
      <c r="E281" s="5" t="s">
        <v>39</v>
      </c>
      <c r="F281" s="5" t="s">
        <v>1647</v>
      </c>
      <c r="G281" s="15">
        <v>6.2881E17</v>
      </c>
      <c r="H281" s="5" t="s">
        <v>1648</v>
      </c>
      <c r="I281" s="5" t="s">
        <v>42</v>
      </c>
      <c r="J281" s="5" t="s">
        <v>43</v>
      </c>
      <c r="K281" s="5">
        <v>8.7733785699E10</v>
      </c>
      <c r="L281" s="4" t="s">
        <v>44</v>
      </c>
      <c r="M281" s="5" t="s">
        <v>42</v>
      </c>
      <c r="N281" s="4" t="s">
        <v>45</v>
      </c>
      <c r="O281" s="4" t="s">
        <v>46</v>
      </c>
      <c r="P281" s="4" t="s">
        <v>47</v>
      </c>
      <c r="Q281" s="4">
        <v>16451.0</v>
      </c>
      <c r="R281" s="5" t="s">
        <v>1649</v>
      </c>
      <c r="S281" s="8">
        <v>46178.0</v>
      </c>
      <c r="T281" s="9">
        <v>0.375</v>
      </c>
      <c r="U281" s="9">
        <v>0.9166666666666666</v>
      </c>
      <c r="V281" s="4" t="s">
        <v>49</v>
      </c>
      <c r="W281" s="5">
        <v>1.0</v>
      </c>
      <c r="X281" s="5" t="b">
        <v>1</v>
      </c>
      <c r="Y281" s="5" t="s">
        <v>50</v>
      </c>
      <c r="Z281" s="5" t="b">
        <v>0</v>
      </c>
      <c r="AA281" s="10"/>
      <c r="AB281" s="4">
        <v>1.0</v>
      </c>
      <c r="AC281" s="11" t="s">
        <v>1650</v>
      </c>
      <c r="AD281" s="5">
        <v>0.0</v>
      </c>
      <c r="AE281" s="5">
        <v>1.0</v>
      </c>
      <c r="AF281" s="8">
        <v>46178.0</v>
      </c>
      <c r="AG281" s="9">
        <v>0.375</v>
      </c>
      <c r="AH281" s="9">
        <v>0.9166666666666666</v>
      </c>
      <c r="AI281" s="4" t="s">
        <v>49</v>
      </c>
      <c r="AJ281" s="5" t="s">
        <v>1651</v>
      </c>
      <c r="AK281" s="12"/>
      <c r="AL281" s="12"/>
      <c r="AM281" s="12"/>
      <c r="AN281" s="12"/>
      <c r="AO281" s="12"/>
      <c r="AP281" s="12"/>
      <c r="AQ281" s="12"/>
    </row>
    <row r="282">
      <c r="A282" s="5" t="s">
        <v>1652</v>
      </c>
      <c r="B282" s="5">
        <v>1.1398423E7</v>
      </c>
      <c r="C282" s="5" t="s">
        <v>37</v>
      </c>
      <c r="D282" s="5" t="s">
        <v>1653</v>
      </c>
      <c r="E282" s="5" t="s">
        <v>39</v>
      </c>
      <c r="F282" s="5" t="s">
        <v>1654</v>
      </c>
      <c r="G282" s="15">
        <v>8.5703465396E10</v>
      </c>
      <c r="H282" s="5" t="s">
        <v>1655</v>
      </c>
      <c r="I282" s="5" t="s">
        <v>42</v>
      </c>
      <c r="J282" s="5" t="s">
        <v>43</v>
      </c>
      <c r="K282" s="5">
        <v>8.7733785699E10</v>
      </c>
      <c r="L282" s="4" t="s">
        <v>44</v>
      </c>
      <c r="M282" s="5" t="s">
        <v>42</v>
      </c>
      <c r="N282" s="4" t="s">
        <v>45</v>
      </c>
      <c r="O282" s="4" t="s">
        <v>46</v>
      </c>
      <c r="P282" s="4" t="s">
        <v>47</v>
      </c>
      <c r="Q282" s="4">
        <v>16451.0</v>
      </c>
      <c r="R282" s="5" t="s">
        <v>1656</v>
      </c>
      <c r="S282" s="8">
        <v>46178.0</v>
      </c>
      <c r="T282" s="9">
        <v>0.375</v>
      </c>
      <c r="U282" s="9">
        <v>0.9166666666666666</v>
      </c>
      <c r="V282" s="4" t="s">
        <v>49</v>
      </c>
      <c r="W282" s="5">
        <v>1.0</v>
      </c>
      <c r="X282" s="5" t="b">
        <v>1</v>
      </c>
      <c r="Y282" s="5" t="s">
        <v>50</v>
      </c>
      <c r="Z282" s="5" t="b">
        <v>0</v>
      </c>
      <c r="AA282" s="10"/>
      <c r="AB282" s="4">
        <v>1.0</v>
      </c>
      <c r="AC282" s="11" t="s">
        <v>1657</v>
      </c>
      <c r="AD282" s="5">
        <v>0.0</v>
      </c>
      <c r="AE282" s="5">
        <v>1.0</v>
      </c>
      <c r="AF282" s="8">
        <v>46178.0</v>
      </c>
      <c r="AG282" s="9">
        <v>0.375</v>
      </c>
      <c r="AH282" s="9">
        <v>0.9166666666666666</v>
      </c>
      <c r="AI282" s="4" t="s">
        <v>49</v>
      </c>
      <c r="AJ282" s="5" t="s">
        <v>1658</v>
      </c>
      <c r="AK282" s="12"/>
      <c r="AL282" s="12"/>
      <c r="AM282" s="12"/>
      <c r="AN282" s="12"/>
      <c r="AO282" s="12"/>
      <c r="AP282" s="12"/>
      <c r="AQ282" s="12"/>
    </row>
    <row r="283">
      <c r="A283" s="5" t="s">
        <v>1659</v>
      </c>
      <c r="B283" s="5">
        <v>1.1398423E7</v>
      </c>
      <c r="C283" s="5" t="s">
        <v>37</v>
      </c>
      <c r="D283" s="5" t="s">
        <v>1660</v>
      </c>
      <c r="E283" s="5" t="s">
        <v>39</v>
      </c>
      <c r="F283" s="5" t="s">
        <v>1661</v>
      </c>
      <c r="G283" s="15">
        <v>6.28139E17</v>
      </c>
      <c r="H283" s="5" t="s">
        <v>1662</v>
      </c>
      <c r="I283" s="5" t="s">
        <v>42</v>
      </c>
      <c r="J283" s="5" t="s">
        <v>43</v>
      </c>
      <c r="K283" s="5">
        <v>8.7733785699E10</v>
      </c>
      <c r="L283" s="4" t="s">
        <v>44</v>
      </c>
      <c r="M283" s="5" t="s">
        <v>42</v>
      </c>
      <c r="N283" s="4" t="s">
        <v>45</v>
      </c>
      <c r="O283" s="4" t="s">
        <v>46</v>
      </c>
      <c r="P283" s="4" t="s">
        <v>47</v>
      </c>
      <c r="Q283" s="4">
        <v>16451.0</v>
      </c>
      <c r="R283" s="5" t="s">
        <v>1663</v>
      </c>
      <c r="S283" s="8">
        <v>46178.0</v>
      </c>
      <c r="T283" s="9">
        <v>0.375</v>
      </c>
      <c r="U283" s="9">
        <v>0.9166666666666666</v>
      </c>
      <c r="V283" s="4" t="s">
        <v>49</v>
      </c>
      <c r="W283" s="5">
        <v>1.0</v>
      </c>
      <c r="X283" s="5" t="b">
        <v>1</v>
      </c>
      <c r="Y283" s="5" t="s">
        <v>50</v>
      </c>
      <c r="Z283" s="5" t="b">
        <v>0</v>
      </c>
      <c r="AA283" s="10"/>
      <c r="AB283" s="4">
        <v>1.0</v>
      </c>
      <c r="AC283" s="11" t="s">
        <v>1664</v>
      </c>
      <c r="AD283" s="5">
        <v>0.0</v>
      </c>
      <c r="AE283" s="5">
        <v>1.0</v>
      </c>
      <c r="AF283" s="8">
        <v>46178.0</v>
      </c>
      <c r="AG283" s="9">
        <v>0.375</v>
      </c>
      <c r="AH283" s="9">
        <v>0.9166666666666666</v>
      </c>
      <c r="AI283" s="4" t="s">
        <v>49</v>
      </c>
      <c r="AJ283" s="5" t="s">
        <v>1665</v>
      </c>
      <c r="AK283" s="12"/>
      <c r="AL283" s="12"/>
      <c r="AM283" s="12"/>
      <c r="AN283" s="12"/>
      <c r="AO283" s="12"/>
      <c r="AP283" s="12"/>
      <c r="AQ283" s="12"/>
    </row>
    <row r="284">
      <c r="A284" s="5" t="s">
        <v>1666</v>
      </c>
      <c r="B284" s="5">
        <v>1.1398423E7</v>
      </c>
      <c r="C284" s="5" t="s">
        <v>37</v>
      </c>
      <c r="D284" s="5" t="s">
        <v>1667</v>
      </c>
      <c r="E284" s="5" t="s">
        <v>39</v>
      </c>
      <c r="F284" s="5" t="s">
        <v>1668</v>
      </c>
      <c r="G284" s="15">
        <v>6.28127E17</v>
      </c>
      <c r="H284" s="5" t="s">
        <v>1669</v>
      </c>
      <c r="I284" s="5" t="s">
        <v>42</v>
      </c>
      <c r="J284" s="5" t="s">
        <v>43</v>
      </c>
      <c r="K284" s="5">
        <v>8.7733785699E10</v>
      </c>
      <c r="L284" s="4" t="s">
        <v>44</v>
      </c>
      <c r="M284" s="5" t="s">
        <v>42</v>
      </c>
      <c r="N284" s="4" t="s">
        <v>45</v>
      </c>
      <c r="O284" s="4" t="s">
        <v>46</v>
      </c>
      <c r="P284" s="4" t="s">
        <v>47</v>
      </c>
      <c r="Q284" s="4">
        <v>16451.0</v>
      </c>
      <c r="R284" s="5" t="s">
        <v>1670</v>
      </c>
      <c r="S284" s="8">
        <v>46178.0</v>
      </c>
      <c r="T284" s="9">
        <v>0.375</v>
      </c>
      <c r="U284" s="9">
        <v>0.9166666666666666</v>
      </c>
      <c r="V284" s="4" t="s">
        <v>49</v>
      </c>
      <c r="W284" s="5">
        <v>1.0</v>
      </c>
      <c r="X284" s="5" t="b">
        <v>1</v>
      </c>
      <c r="Y284" s="5" t="s">
        <v>50</v>
      </c>
      <c r="Z284" s="5" t="b">
        <v>0</v>
      </c>
      <c r="AA284" s="10"/>
      <c r="AB284" s="4">
        <v>1.0</v>
      </c>
      <c r="AC284" s="11" t="s">
        <v>1671</v>
      </c>
      <c r="AD284" s="5">
        <v>0.0</v>
      </c>
      <c r="AE284" s="5">
        <v>1.0</v>
      </c>
      <c r="AF284" s="8">
        <v>46178.0</v>
      </c>
      <c r="AG284" s="9">
        <v>0.375</v>
      </c>
      <c r="AH284" s="9">
        <v>0.9166666666666666</v>
      </c>
      <c r="AI284" s="4" t="s">
        <v>49</v>
      </c>
      <c r="AJ284" s="5" t="s">
        <v>1672</v>
      </c>
      <c r="AK284" s="12"/>
      <c r="AL284" s="12"/>
      <c r="AM284" s="12"/>
      <c r="AN284" s="12"/>
      <c r="AO284" s="12"/>
      <c r="AP284" s="12"/>
      <c r="AQ284" s="12"/>
    </row>
    <row r="285">
      <c r="A285" s="5" t="s">
        <v>1673</v>
      </c>
      <c r="B285" s="5">
        <v>1.1398423E7</v>
      </c>
      <c r="C285" s="5" t="s">
        <v>37</v>
      </c>
      <c r="D285" s="5" t="s">
        <v>1674</v>
      </c>
      <c r="E285" s="5" t="s">
        <v>39</v>
      </c>
      <c r="F285" s="5" t="s">
        <v>1675</v>
      </c>
      <c r="G285" s="15">
        <v>6.28112E16</v>
      </c>
      <c r="H285" s="5" t="s">
        <v>1676</v>
      </c>
      <c r="I285" s="5" t="s">
        <v>42</v>
      </c>
      <c r="J285" s="5" t="s">
        <v>43</v>
      </c>
      <c r="K285" s="5">
        <v>8.7733785699E10</v>
      </c>
      <c r="L285" s="4" t="s">
        <v>44</v>
      </c>
      <c r="M285" s="5" t="s">
        <v>42</v>
      </c>
      <c r="N285" s="4" t="s">
        <v>45</v>
      </c>
      <c r="O285" s="4" t="s">
        <v>46</v>
      </c>
      <c r="P285" s="4" t="s">
        <v>47</v>
      </c>
      <c r="Q285" s="4">
        <v>16451.0</v>
      </c>
      <c r="R285" s="5" t="s">
        <v>1677</v>
      </c>
      <c r="S285" s="8">
        <v>46178.0</v>
      </c>
      <c r="T285" s="9">
        <v>0.375</v>
      </c>
      <c r="U285" s="9">
        <v>0.9166666666666666</v>
      </c>
      <c r="V285" s="4" t="s">
        <v>49</v>
      </c>
      <c r="W285" s="5">
        <v>1.0</v>
      </c>
      <c r="X285" s="5" t="b">
        <v>1</v>
      </c>
      <c r="Y285" s="5" t="s">
        <v>50</v>
      </c>
      <c r="Z285" s="5" t="b">
        <v>0</v>
      </c>
      <c r="AA285" s="10"/>
      <c r="AB285" s="4">
        <v>1.0</v>
      </c>
      <c r="AC285" s="11" t="s">
        <v>1678</v>
      </c>
      <c r="AD285" s="5">
        <v>0.0</v>
      </c>
      <c r="AE285" s="5">
        <v>1.0</v>
      </c>
      <c r="AF285" s="8">
        <v>46178.0</v>
      </c>
      <c r="AG285" s="9">
        <v>0.375</v>
      </c>
      <c r="AH285" s="9">
        <v>0.9166666666666666</v>
      </c>
      <c r="AI285" s="4" t="s">
        <v>49</v>
      </c>
      <c r="AJ285" s="5" t="s">
        <v>1679</v>
      </c>
      <c r="AK285" s="12"/>
      <c r="AL285" s="12"/>
      <c r="AM285" s="12"/>
      <c r="AN285" s="12"/>
      <c r="AO285" s="12"/>
      <c r="AP285" s="12"/>
      <c r="AQ285" s="12"/>
    </row>
    <row r="286">
      <c r="A286" s="5" t="s">
        <v>1680</v>
      </c>
      <c r="B286" s="5">
        <v>1.1398423E7</v>
      </c>
      <c r="C286" s="5" t="s">
        <v>37</v>
      </c>
      <c r="D286" s="5" t="s">
        <v>1681</v>
      </c>
      <c r="E286" s="5" t="s">
        <v>39</v>
      </c>
      <c r="F286" s="5" t="s">
        <v>155</v>
      </c>
      <c r="G286" s="15">
        <v>6.28526E17</v>
      </c>
      <c r="H286" s="5" t="s">
        <v>156</v>
      </c>
      <c r="I286" s="5" t="s">
        <v>42</v>
      </c>
      <c r="J286" s="5" t="s">
        <v>43</v>
      </c>
      <c r="K286" s="5">
        <v>8.7733785699E10</v>
      </c>
      <c r="L286" s="4" t="s">
        <v>44</v>
      </c>
      <c r="M286" s="5" t="s">
        <v>42</v>
      </c>
      <c r="N286" s="4" t="s">
        <v>45</v>
      </c>
      <c r="O286" s="4" t="s">
        <v>46</v>
      </c>
      <c r="P286" s="4" t="s">
        <v>47</v>
      </c>
      <c r="Q286" s="4">
        <v>16451.0</v>
      </c>
      <c r="R286" s="5" t="s">
        <v>1682</v>
      </c>
      <c r="S286" s="8">
        <v>46178.0</v>
      </c>
      <c r="T286" s="9">
        <v>0.375</v>
      </c>
      <c r="U286" s="9">
        <v>0.9166666666666666</v>
      </c>
      <c r="V286" s="4" t="s">
        <v>49</v>
      </c>
      <c r="W286" s="5">
        <v>1.0</v>
      </c>
      <c r="X286" s="5" t="b">
        <v>1</v>
      </c>
      <c r="Y286" s="5" t="s">
        <v>50</v>
      </c>
      <c r="Z286" s="5" t="b">
        <v>0</v>
      </c>
      <c r="AA286" s="10"/>
      <c r="AB286" s="4">
        <v>1.0</v>
      </c>
      <c r="AC286" s="11" t="s">
        <v>1683</v>
      </c>
      <c r="AD286" s="5">
        <v>0.0</v>
      </c>
      <c r="AE286" s="5">
        <v>1.0</v>
      </c>
      <c r="AF286" s="8">
        <v>46178.0</v>
      </c>
      <c r="AG286" s="9">
        <v>0.375</v>
      </c>
      <c r="AH286" s="9">
        <v>0.9166666666666666</v>
      </c>
      <c r="AI286" s="4" t="s">
        <v>49</v>
      </c>
      <c r="AJ286" s="5" t="s">
        <v>1684</v>
      </c>
      <c r="AK286" s="12"/>
      <c r="AL286" s="12"/>
      <c r="AM286" s="12"/>
      <c r="AN286" s="12"/>
      <c r="AO286" s="12"/>
      <c r="AP286" s="12"/>
      <c r="AQ286" s="12"/>
    </row>
    <row r="287">
      <c r="A287" s="5" t="s">
        <v>1685</v>
      </c>
      <c r="B287" s="5">
        <v>1.1398423E7</v>
      </c>
      <c r="C287" s="5" t="s">
        <v>37</v>
      </c>
      <c r="D287" s="5" t="s">
        <v>1686</v>
      </c>
      <c r="E287" s="5" t="s">
        <v>39</v>
      </c>
      <c r="F287" s="5" t="s">
        <v>1687</v>
      </c>
      <c r="G287" s="15">
        <v>8.130964542E9</v>
      </c>
      <c r="H287" s="5" t="s">
        <v>1688</v>
      </c>
      <c r="I287" s="5" t="s">
        <v>42</v>
      </c>
      <c r="J287" s="5" t="s">
        <v>43</v>
      </c>
      <c r="K287" s="5">
        <v>8.7733785699E10</v>
      </c>
      <c r="L287" s="4" t="s">
        <v>44</v>
      </c>
      <c r="M287" s="5" t="s">
        <v>42</v>
      </c>
      <c r="N287" s="4" t="s">
        <v>45</v>
      </c>
      <c r="O287" s="4" t="s">
        <v>46</v>
      </c>
      <c r="P287" s="4" t="s">
        <v>47</v>
      </c>
      <c r="Q287" s="4">
        <v>16451.0</v>
      </c>
      <c r="R287" s="5" t="s">
        <v>1689</v>
      </c>
      <c r="S287" s="8">
        <v>46178.0</v>
      </c>
      <c r="T287" s="9">
        <v>0.375</v>
      </c>
      <c r="U287" s="9">
        <v>0.9166666666666666</v>
      </c>
      <c r="V287" s="4" t="s">
        <v>49</v>
      </c>
      <c r="W287" s="5">
        <v>1.0</v>
      </c>
      <c r="X287" s="5" t="b">
        <v>1</v>
      </c>
      <c r="Y287" s="5" t="s">
        <v>50</v>
      </c>
      <c r="Z287" s="5" t="b">
        <v>0</v>
      </c>
      <c r="AA287" s="10"/>
      <c r="AB287" s="4">
        <v>1.0</v>
      </c>
      <c r="AC287" s="11" t="s">
        <v>1690</v>
      </c>
      <c r="AD287" s="5">
        <v>0.0</v>
      </c>
      <c r="AE287" s="5">
        <v>1.0</v>
      </c>
      <c r="AF287" s="8">
        <v>46178.0</v>
      </c>
      <c r="AG287" s="9">
        <v>0.375</v>
      </c>
      <c r="AH287" s="9">
        <v>0.9166666666666666</v>
      </c>
      <c r="AI287" s="4" t="s">
        <v>49</v>
      </c>
      <c r="AJ287" s="5" t="s">
        <v>1691</v>
      </c>
      <c r="AK287" s="12"/>
      <c r="AL287" s="12"/>
      <c r="AM287" s="12"/>
      <c r="AN287" s="12"/>
      <c r="AO287" s="12"/>
      <c r="AP287" s="12"/>
      <c r="AQ287" s="12"/>
    </row>
    <row r="288">
      <c r="A288" s="5" t="s">
        <v>1692</v>
      </c>
      <c r="B288" s="5">
        <v>1.1398423E7</v>
      </c>
      <c r="C288" s="5" t="s">
        <v>37</v>
      </c>
      <c r="D288" s="5" t="s">
        <v>1693</v>
      </c>
      <c r="E288" s="5" t="s">
        <v>39</v>
      </c>
      <c r="F288" s="5" t="s">
        <v>1694</v>
      </c>
      <c r="G288" s="15">
        <v>8.2389858226E10</v>
      </c>
      <c r="H288" s="5" t="s">
        <v>1695</v>
      </c>
      <c r="I288" s="5" t="s">
        <v>42</v>
      </c>
      <c r="J288" s="5" t="s">
        <v>43</v>
      </c>
      <c r="K288" s="5">
        <v>8.7733785699E10</v>
      </c>
      <c r="L288" s="4" t="s">
        <v>44</v>
      </c>
      <c r="M288" s="5" t="s">
        <v>42</v>
      </c>
      <c r="N288" s="4" t="s">
        <v>45</v>
      </c>
      <c r="O288" s="4" t="s">
        <v>46</v>
      </c>
      <c r="P288" s="4" t="s">
        <v>47</v>
      </c>
      <c r="Q288" s="4">
        <v>16451.0</v>
      </c>
      <c r="R288" s="5" t="s">
        <v>1696</v>
      </c>
      <c r="S288" s="8">
        <v>46178.0</v>
      </c>
      <c r="T288" s="9">
        <v>0.375</v>
      </c>
      <c r="U288" s="9">
        <v>0.9166666666666666</v>
      </c>
      <c r="V288" s="4" t="s">
        <v>49</v>
      </c>
      <c r="W288" s="5">
        <v>1.0</v>
      </c>
      <c r="X288" s="5" t="b">
        <v>1</v>
      </c>
      <c r="Y288" s="5" t="s">
        <v>50</v>
      </c>
      <c r="Z288" s="5" t="b">
        <v>0</v>
      </c>
      <c r="AA288" s="10"/>
      <c r="AB288" s="4">
        <v>1.0</v>
      </c>
      <c r="AC288" s="11" t="s">
        <v>1697</v>
      </c>
      <c r="AD288" s="5">
        <v>0.0</v>
      </c>
      <c r="AE288" s="5">
        <v>1.0</v>
      </c>
      <c r="AF288" s="8">
        <v>46178.0</v>
      </c>
      <c r="AG288" s="9">
        <v>0.375</v>
      </c>
      <c r="AH288" s="9">
        <v>0.9166666666666666</v>
      </c>
      <c r="AI288" s="4" t="s">
        <v>49</v>
      </c>
      <c r="AJ288" s="5" t="s">
        <v>1698</v>
      </c>
      <c r="AK288" s="12"/>
      <c r="AL288" s="12"/>
      <c r="AM288" s="12"/>
      <c r="AN288" s="12"/>
      <c r="AO288" s="12"/>
      <c r="AP288" s="12"/>
      <c r="AQ288" s="12"/>
    </row>
    <row r="289">
      <c r="A289" s="5" t="s">
        <v>1699</v>
      </c>
      <c r="B289" s="5">
        <v>1.1398423E7</v>
      </c>
      <c r="C289" s="5" t="s">
        <v>37</v>
      </c>
      <c r="D289" s="5" t="s">
        <v>1700</v>
      </c>
      <c r="E289" s="5" t="s">
        <v>39</v>
      </c>
      <c r="F289" s="5" t="s">
        <v>1701</v>
      </c>
      <c r="G289" s="15">
        <v>6.28139E17</v>
      </c>
      <c r="H289" s="5" t="s">
        <v>1702</v>
      </c>
      <c r="I289" s="5" t="s">
        <v>42</v>
      </c>
      <c r="J289" s="5" t="s">
        <v>43</v>
      </c>
      <c r="K289" s="5">
        <v>8.7733785699E10</v>
      </c>
      <c r="L289" s="4" t="s">
        <v>44</v>
      </c>
      <c r="M289" s="5" t="s">
        <v>42</v>
      </c>
      <c r="N289" s="4" t="s">
        <v>45</v>
      </c>
      <c r="O289" s="4" t="s">
        <v>46</v>
      </c>
      <c r="P289" s="4" t="s">
        <v>47</v>
      </c>
      <c r="Q289" s="4">
        <v>16451.0</v>
      </c>
      <c r="R289" s="5" t="s">
        <v>1703</v>
      </c>
      <c r="S289" s="8">
        <v>46178.0</v>
      </c>
      <c r="T289" s="9">
        <v>0.375</v>
      </c>
      <c r="U289" s="9">
        <v>0.9166666666666666</v>
      </c>
      <c r="V289" s="4" t="s">
        <v>49</v>
      </c>
      <c r="W289" s="5">
        <v>1.0</v>
      </c>
      <c r="X289" s="5" t="b">
        <v>1</v>
      </c>
      <c r="Y289" s="5" t="s">
        <v>50</v>
      </c>
      <c r="Z289" s="5" t="b">
        <v>0</v>
      </c>
      <c r="AA289" s="10"/>
      <c r="AB289" s="4">
        <v>1.0</v>
      </c>
      <c r="AC289" s="11" t="s">
        <v>1704</v>
      </c>
      <c r="AD289" s="5">
        <v>0.0</v>
      </c>
      <c r="AE289" s="5">
        <v>1.0</v>
      </c>
      <c r="AF289" s="8">
        <v>46178.0</v>
      </c>
      <c r="AG289" s="9">
        <v>0.375</v>
      </c>
      <c r="AH289" s="9">
        <v>0.9166666666666666</v>
      </c>
      <c r="AI289" s="4" t="s">
        <v>49</v>
      </c>
      <c r="AJ289" s="5" t="s">
        <v>1705</v>
      </c>
      <c r="AK289" s="12"/>
      <c r="AL289" s="12"/>
      <c r="AM289" s="12"/>
      <c r="AN289" s="12"/>
      <c r="AO289" s="12"/>
      <c r="AP289" s="12"/>
      <c r="AQ289" s="12"/>
    </row>
    <row r="290">
      <c r="A290" s="5" t="s">
        <v>1706</v>
      </c>
      <c r="B290" s="5">
        <v>1.1398423E7</v>
      </c>
      <c r="C290" s="5" t="s">
        <v>37</v>
      </c>
      <c r="D290" s="5" t="s">
        <v>1707</v>
      </c>
      <c r="E290" s="5" t="s">
        <v>39</v>
      </c>
      <c r="F290" s="5" t="s">
        <v>1708</v>
      </c>
      <c r="G290" s="15">
        <v>6.28578E17</v>
      </c>
      <c r="H290" s="5" t="s">
        <v>1709</v>
      </c>
      <c r="I290" s="5" t="s">
        <v>42</v>
      </c>
      <c r="J290" s="5" t="s">
        <v>43</v>
      </c>
      <c r="K290" s="5">
        <v>8.7733785699E10</v>
      </c>
      <c r="L290" s="4" t="s">
        <v>44</v>
      </c>
      <c r="M290" s="5" t="s">
        <v>42</v>
      </c>
      <c r="N290" s="4" t="s">
        <v>45</v>
      </c>
      <c r="O290" s="4" t="s">
        <v>46</v>
      </c>
      <c r="P290" s="4" t="s">
        <v>47</v>
      </c>
      <c r="Q290" s="4">
        <v>16451.0</v>
      </c>
      <c r="R290" s="5" t="s">
        <v>1710</v>
      </c>
      <c r="S290" s="8">
        <v>46178.0</v>
      </c>
      <c r="T290" s="9">
        <v>0.375</v>
      </c>
      <c r="U290" s="9">
        <v>0.9166666666666666</v>
      </c>
      <c r="V290" s="4" t="s">
        <v>49</v>
      </c>
      <c r="W290" s="5">
        <v>1.0</v>
      </c>
      <c r="X290" s="5" t="b">
        <v>1</v>
      </c>
      <c r="Y290" s="5" t="s">
        <v>50</v>
      </c>
      <c r="Z290" s="5" t="b">
        <v>0</v>
      </c>
      <c r="AA290" s="10"/>
      <c r="AB290" s="4">
        <v>1.0</v>
      </c>
      <c r="AC290" s="11" t="s">
        <v>1711</v>
      </c>
      <c r="AD290" s="5">
        <v>0.0</v>
      </c>
      <c r="AE290" s="5">
        <v>1.0</v>
      </c>
      <c r="AF290" s="8">
        <v>46178.0</v>
      </c>
      <c r="AG290" s="9">
        <v>0.375</v>
      </c>
      <c r="AH290" s="9">
        <v>0.9166666666666666</v>
      </c>
      <c r="AI290" s="4" t="s">
        <v>49</v>
      </c>
      <c r="AJ290" s="5" t="s">
        <v>1712</v>
      </c>
      <c r="AK290" s="12"/>
      <c r="AL290" s="12"/>
      <c r="AM290" s="12"/>
      <c r="AN290" s="12"/>
      <c r="AO290" s="12"/>
      <c r="AP290" s="12"/>
      <c r="AQ290" s="12"/>
    </row>
    <row r="291">
      <c r="A291" s="5" t="s">
        <v>1713</v>
      </c>
      <c r="B291" s="5">
        <v>1.1398423E7</v>
      </c>
      <c r="C291" s="5" t="s">
        <v>37</v>
      </c>
      <c r="D291" s="5" t="s">
        <v>1714</v>
      </c>
      <c r="E291" s="5" t="s">
        <v>39</v>
      </c>
      <c r="F291" s="5" t="s">
        <v>1715</v>
      </c>
      <c r="G291" s="15">
        <v>6.2813E16</v>
      </c>
      <c r="H291" s="5" t="s">
        <v>1716</v>
      </c>
      <c r="I291" s="5" t="s">
        <v>42</v>
      </c>
      <c r="J291" s="5" t="s">
        <v>43</v>
      </c>
      <c r="K291" s="5">
        <v>8.7733785699E10</v>
      </c>
      <c r="L291" s="4" t="s">
        <v>44</v>
      </c>
      <c r="M291" s="5" t="s">
        <v>42</v>
      </c>
      <c r="N291" s="4" t="s">
        <v>45</v>
      </c>
      <c r="O291" s="4" t="s">
        <v>46</v>
      </c>
      <c r="P291" s="4" t="s">
        <v>47</v>
      </c>
      <c r="Q291" s="4">
        <v>16451.0</v>
      </c>
      <c r="R291" s="5" t="s">
        <v>1717</v>
      </c>
      <c r="S291" s="8">
        <v>46178.0</v>
      </c>
      <c r="T291" s="9">
        <v>0.375</v>
      </c>
      <c r="U291" s="9">
        <v>0.9166666666666666</v>
      </c>
      <c r="V291" s="4" t="s">
        <v>49</v>
      </c>
      <c r="W291" s="5">
        <v>1.0</v>
      </c>
      <c r="X291" s="5" t="b">
        <v>1</v>
      </c>
      <c r="Y291" s="5" t="s">
        <v>50</v>
      </c>
      <c r="Z291" s="5" t="b">
        <v>0</v>
      </c>
      <c r="AA291" s="10"/>
      <c r="AB291" s="4">
        <v>1.0</v>
      </c>
      <c r="AC291" s="11" t="s">
        <v>1718</v>
      </c>
      <c r="AD291" s="5">
        <v>0.0</v>
      </c>
      <c r="AE291" s="5">
        <v>1.0</v>
      </c>
      <c r="AF291" s="8">
        <v>46178.0</v>
      </c>
      <c r="AG291" s="9">
        <v>0.375</v>
      </c>
      <c r="AH291" s="9">
        <v>0.9166666666666666</v>
      </c>
      <c r="AI291" s="4" t="s">
        <v>49</v>
      </c>
      <c r="AJ291" s="5" t="s">
        <v>1719</v>
      </c>
      <c r="AK291" s="12"/>
      <c r="AL291" s="12"/>
      <c r="AM291" s="12"/>
      <c r="AN291" s="12"/>
      <c r="AO291" s="12"/>
      <c r="AP291" s="12"/>
      <c r="AQ291" s="12"/>
    </row>
    <row r="292">
      <c r="A292" s="5" t="s">
        <v>1720</v>
      </c>
      <c r="B292" s="5">
        <v>1.1398423E7</v>
      </c>
      <c r="C292" s="5" t="s">
        <v>37</v>
      </c>
      <c r="D292" s="5" t="s">
        <v>1721</v>
      </c>
      <c r="E292" s="5" t="s">
        <v>39</v>
      </c>
      <c r="F292" s="5" t="s">
        <v>161</v>
      </c>
      <c r="G292" s="15">
        <v>6.28138E17</v>
      </c>
      <c r="H292" s="5" t="s">
        <v>162</v>
      </c>
      <c r="I292" s="5" t="s">
        <v>42</v>
      </c>
      <c r="J292" s="5" t="s">
        <v>43</v>
      </c>
      <c r="K292" s="5">
        <v>8.7733785699E10</v>
      </c>
      <c r="L292" s="4" t="s">
        <v>44</v>
      </c>
      <c r="M292" s="5" t="s">
        <v>42</v>
      </c>
      <c r="N292" s="4" t="s">
        <v>45</v>
      </c>
      <c r="O292" s="4" t="s">
        <v>46</v>
      </c>
      <c r="P292" s="4" t="s">
        <v>47</v>
      </c>
      <c r="Q292" s="4">
        <v>16451.0</v>
      </c>
      <c r="R292" s="5" t="s">
        <v>1722</v>
      </c>
      <c r="S292" s="8">
        <v>46178.0</v>
      </c>
      <c r="T292" s="9">
        <v>0.375</v>
      </c>
      <c r="U292" s="9">
        <v>0.9166666666666666</v>
      </c>
      <c r="V292" s="4" t="s">
        <v>49</v>
      </c>
      <c r="W292" s="5">
        <v>1.0</v>
      </c>
      <c r="X292" s="5" t="b">
        <v>1</v>
      </c>
      <c r="Y292" s="5" t="s">
        <v>50</v>
      </c>
      <c r="Z292" s="5" t="b">
        <v>0</v>
      </c>
      <c r="AA292" s="10"/>
      <c r="AB292" s="4">
        <v>1.0</v>
      </c>
      <c r="AC292" s="11" t="s">
        <v>1723</v>
      </c>
      <c r="AD292" s="5">
        <v>0.0</v>
      </c>
      <c r="AE292" s="5">
        <v>1.0</v>
      </c>
      <c r="AF292" s="8">
        <v>46178.0</v>
      </c>
      <c r="AG292" s="9">
        <v>0.375</v>
      </c>
      <c r="AH292" s="9">
        <v>0.9166666666666666</v>
      </c>
      <c r="AI292" s="4" t="s">
        <v>49</v>
      </c>
      <c r="AJ292" s="5" t="s">
        <v>1724</v>
      </c>
      <c r="AK292" s="12"/>
      <c r="AL292" s="12"/>
      <c r="AM292" s="12"/>
      <c r="AN292" s="12"/>
      <c r="AO292" s="12"/>
      <c r="AP292" s="12"/>
      <c r="AQ292" s="12"/>
    </row>
    <row r="293">
      <c r="A293" s="5" t="s">
        <v>1725</v>
      </c>
      <c r="B293" s="5">
        <v>1.1398423E7</v>
      </c>
      <c r="C293" s="5" t="s">
        <v>37</v>
      </c>
      <c r="D293" s="5" t="s">
        <v>1726</v>
      </c>
      <c r="E293" s="5" t="s">
        <v>39</v>
      </c>
      <c r="F293" s="5" t="s">
        <v>1105</v>
      </c>
      <c r="G293" s="15">
        <v>6.2859E16</v>
      </c>
      <c r="H293" s="5" t="s">
        <v>1106</v>
      </c>
      <c r="I293" s="5" t="s">
        <v>42</v>
      </c>
      <c r="J293" s="5" t="s">
        <v>43</v>
      </c>
      <c r="K293" s="5">
        <v>8.7733785699E10</v>
      </c>
      <c r="L293" s="4" t="s">
        <v>44</v>
      </c>
      <c r="M293" s="5" t="s">
        <v>42</v>
      </c>
      <c r="N293" s="4" t="s">
        <v>45</v>
      </c>
      <c r="O293" s="4" t="s">
        <v>46</v>
      </c>
      <c r="P293" s="4" t="s">
        <v>47</v>
      </c>
      <c r="Q293" s="4">
        <v>16451.0</v>
      </c>
      <c r="R293" s="5" t="s">
        <v>1727</v>
      </c>
      <c r="S293" s="8">
        <v>46178.0</v>
      </c>
      <c r="T293" s="9">
        <v>0.375</v>
      </c>
      <c r="U293" s="9">
        <v>0.9166666666666666</v>
      </c>
      <c r="V293" s="4" t="s">
        <v>49</v>
      </c>
      <c r="W293" s="5">
        <v>1.0</v>
      </c>
      <c r="X293" s="5" t="b">
        <v>1</v>
      </c>
      <c r="Y293" s="5" t="s">
        <v>50</v>
      </c>
      <c r="Z293" s="5" t="b">
        <v>0</v>
      </c>
      <c r="AA293" s="10"/>
      <c r="AB293" s="4">
        <v>1.0</v>
      </c>
      <c r="AC293" s="11" t="s">
        <v>1728</v>
      </c>
      <c r="AD293" s="5">
        <v>0.0</v>
      </c>
      <c r="AE293" s="5">
        <v>1.0</v>
      </c>
      <c r="AF293" s="8">
        <v>46178.0</v>
      </c>
      <c r="AG293" s="9">
        <v>0.375</v>
      </c>
      <c r="AH293" s="9">
        <v>0.9166666666666666</v>
      </c>
      <c r="AI293" s="4" t="s">
        <v>49</v>
      </c>
      <c r="AJ293" s="5" t="s">
        <v>1729</v>
      </c>
      <c r="AK293" s="12"/>
      <c r="AL293" s="12"/>
      <c r="AM293" s="12"/>
      <c r="AN293" s="12"/>
      <c r="AO293" s="12"/>
      <c r="AP293" s="12"/>
      <c r="AQ293" s="12"/>
    </row>
    <row r="294">
      <c r="A294" s="5" t="s">
        <v>1730</v>
      </c>
      <c r="B294" s="5">
        <v>1.1398423E7</v>
      </c>
      <c r="C294" s="5" t="s">
        <v>37</v>
      </c>
      <c r="D294" s="5" t="s">
        <v>1731</v>
      </c>
      <c r="E294" s="5" t="s">
        <v>39</v>
      </c>
      <c r="F294" s="5" t="s">
        <v>1732</v>
      </c>
      <c r="G294" s="15">
        <v>6.28521E17</v>
      </c>
      <c r="H294" s="5" t="s">
        <v>1733</v>
      </c>
      <c r="I294" s="5" t="s">
        <v>42</v>
      </c>
      <c r="J294" s="5" t="s">
        <v>43</v>
      </c>
      <c r="K294" s="5">
        <v>8.7733785699E10</v>
      </c>
      <c r="L294" s="4" t="s">
        <v>44</v>
      </c>
      <c r="M294" s="5" t="s">
        <v>42</v>
      </c>
      <c r="N294" s="4" t="s">
        <v>45</v>
      </c>
      <c r="O294" s="4" t="s">
        <v>46</v>
      </c>
      <c r="P294" s="4" t="s">
        <v>47</v>
      </c>
      <c r="Q294" s="4">
        <v>16451.0</v>
      </c>
      <c r="R294" s="5" t="s">
        <v>1734</v>
      </c>
      <c r="S294" s="8">
        <v>46178.0</v>
      </c>
      <c r="T294" s="9">
        <v>0.375</v>
      </c>
      <c r="U294" s="9">
        <v>0.9166666666666666</v>
      </c>
      <c r="V294" s="4" t="s">
        <v>49</v>
      </c>
      <c r="W294" s="5">
        <v>1.0</v>
      </c>
      <c r="X294" s="5" t="b">
        <v>1</v>
      </c>
      <c r="Y294" s="5" t="s">
        <v>50</v>
      </c>
      <c r="Z294" s="5" t="b">
        <v>0</v>
      </c>
      <c r="AA294" s="10"/>
      <c r="AB294" s="4">
        <v>1.0</v>
      </c>
      <c r="AC294" s="11" t="s">
        <v>1735</v>
      </c>
      <c r="AD294" s="5">
        <v>0.0</v>
      </c>
      <c r="AE294" s="5">
        <v>1.0</v>
      </c>
      <c r="AF294" s="8">
        <v>46178.0</v>
      </c>
      <c r="AG294" s="9">
        <v>0.375</v>
      </c>
      <c r="AH294" s="9">
        <v>0.9166666666666666</v>
      </c>
      <c r="AI294" s="4" t="s">
        <v>49</v>
      </c>
      <c r="AJ294" s="5" t="s">
        <v>1736</v>
      </c>
      <c r="AK294" s="12"/>
      <c r="AL294" s="12"/>
      <c r="AM294" s="12"/>
      <c r="AN294" s="12"/>
      <c r="AO294" s="12"/>
      <c r="AP294" s="12"/>
      <c r="AQ294" s="12"/>
    </row>
    <row r="295">
      <c r="A295" s="5" t="s">
        <v>1737</v>
      </c>
      <c r="B295" s="5">
        <v>1.1398423E7</v>
      </c>
      <c r="C295" s="5" t="s">
        <v>37</v>
      </c>
      <c r="D295" s="5" t="s">
        <v>1738</v>
      </c>
      <c r="E295" s="5" t="s">
        <v>39</v>
      </c>
      <c r="F295" s="5" t="s">
        <v>1739</v>
      </c>
      <c r="G295" s="15">
        <v>8.5299456766E10</v>
      </c>
      <c r="H295" s="5" t="s">
        <v>1740</v>
      </c>
      <c r="I295" s="5" t="s">
        <v>42</v>
      </c>
      <c r="J295" s="5" t="s">
        <v>43</v>
      </c>
      <c r="K295" s="5">
        <v>8.7733785699E10</v>
      </c>
      <c r="L295" s="4" t="s">
        <v>44</v>
      </c>
      <c r="M295" s="5" t="s">
        <v>42</v>
      </c>
      <c r="N295" s="4" t="s">
        <v>45</v>
      </c>
      <c r="O295" s="4" t="s">
        <v>46</v>
      </c>
      <c r="P295" s="4" t="s">
        <v>47</v>
      </c>
      <c r="Q295" s="4">
        <v>16451.0</v>
      </c>
      <c r="R295" s="5" t="s">
        <v>1741</v>
      </c>
      <c r="S295" s="8">
        <v>46178.0</v>
      </c>
      <c r="T295" s="9">
        <v>0.375</v>
      </c>
      <c r="U295" s="9">
        <v>0.9166666666666666</v>
      </c>
      <c r="V295" s="4" t="s">
        <v>49</v>
      </c>
      <c r="W295" s="5">
        <v>1.0</v>
      </c>
      <c r="X295" s="5" t="b">
        <v>1</v>
      </c>
      <c r="Y295" s="5" t="s">
        <v>50</v>
      </c>
      <c r="Z295" s="5" t="b">
        <v>0</v>
      </c>
      <c r="AA295" s="10"/>
      <c r="AB295" s="4">
        <v>1.0</v>
      </c>
      <c r="AC295" s="11" t="s">
        <v>1742</v>
      </c>
      <c r="AD295" s="5">
        <v>0.0</v>
      </c>
      <c r="AE295" s="5">
        <v>1.0</v>
      </c>
      <c r="AF295" s="8">
        <v>46178.0</v>
      </c>
      <c r="AG295" s="9">
        <v>0.375</v>
      </c>
      <c r="AH295" s="9">
        <v>0.9166666666666666</v>
      </c>
      <c r="AI295" s="4" t="s">
        <v>49</v>
      </c>
      <c r="AJ295" s="5" t="s">
        <v>1743</v>
      </c>
      <c r="AK295" s="12"/>
      <c r="AL295" s="12"/>
      <c r="AM295" s="12"/>
      <c r="AN295" s="12"/>
      <c r="AO295" s="12"/>
      <c r="AP295" s="12"/>
      <c r="AQ295" s="12"/>
    </row>
    <row r="296">
      <c r="A296" s="5" t="s">
        <v>1744</v>
      </c>
      <c r="B296" s="5">
        <v>1.1398423E7</v>
      </c>
      <c r="C296" s="5" t="s">
        <v>37</v>
      </c>
      <c r="D296" s="5" t="s">
        <v>1745</v>
      </c>
      <c r="E296" s="5" t="s">
        <v>39</v>
      </c>
      <c r="F296" s="5" t="s">
        <v>1746</v>
      </c>
      <c r="G296" s="15">
        <v>6.28572E17</v>
      </c>
      <c r="H296" s="5" t="s">
        <v>1747</v>
      </c>
      <c r="I296" s="5" t="s">
        <v>42</v>
      </c>
      <c r="J296" s="5" t="s">
        <v>43</v>
      </c>
      <c r="K296" s="5">
        <v>8.7733785699E10</v>
      </c>
      <c r="L296" s="4" t="s">
        <v>44</v>
      </c>
      <c r="M296" s="5" t="s">
        <v>42</v>
      </c>
      <c r="N296" s="4" t="s">
        <v>45</v>
      </c>
      <c r="O296" s="4" t="s">
        <v>46</v>
      </c>
      <c r="P296" s="4" t="s">
        <v>47</v>
      </c>
      <c r="Q296" s="4">
        <v>16451.0</v>
      </c>
      <c r="R296" s="5" t="s">
        <v>1748</v>
      </c>
      <c r="S296" s="8">
        <v>46178.0</v>
      </c>
      <c r="T296" s="9">
        <v>0.375</v>
      </c>
      <c r="U296" s="9">
        <v>0.9166666666666666</v>
      </c>
      <c r="V296" s="4" t="s">
        <v>49</v>
      </c>
      <c r="W296" s="5">
        <v>1.0</v>
      </c>
      <c r="X296" s="5" t="b">
        <v>1</v>
      </c>
      <c r="Y296" s="5" t="s">
        <v>50</v>
      </c>
      <c r="Z296" s="5" t="b">
        <v>0</v>
      </c>
      <c r="AA296" s="10"/>
      <c r="AB296" s="4">
        <v>1.0</v>
      </c>
      <c r="AC296" s="11" t="s">
        <v>1749</v>
      </c>
      <c r="AD296" s="5">
        <v>0.0</v>
      </c>
      <c r="AE296" s="5">
        <v>1.0</v>
      </c>
      <c r="AF296" s="8">
        <v>46178.0</v>
      </c>
      <c r="AG296" s="9">
        <v>0.375</v>
      </c>
      <c r="AH296" s="9">
        <v>0.9166666666666666</v>
      </c>
      <c r="AI296" s="4" t="s">
        <v>49</v>
      </c>
      <c r="AJ296" s="5" t="s">
        <v>1750</v>
      </c>
      <c r="AK296" s="12"/>
      <c r="AL296" s="12"/>
      <c r="AM296" s="12"/>
      <c r="AN296" s="12"/>
      <c r="AO296" s="12"/>
      <c r="AP296" s="12"/>
      <c r="AQ296" s="12"/>
    </row>
    <row r="297">
      <c r="A297" s="5" t="s">
        <v>1751</v>
      </c>
      <c r="B297" s="5">
        <v>1.1398423E7</v>
      </c>
      <c r="C297" s="5" t="s">
        <v>37</v>
      </c>
      <c r="D297" s="5" t="s">
        <v>1752</v>
      </c>
      <c r="E297" s="5" t="s">
        <v>39</v>
      </c>
      <c r="F297" s="5" t="s">
        <v>1753</v>
      </c>
      <c r="G297" s="15">
        <v>6.2813E16</v>
      </c>
      <c r="H297" s="5" t="s">
        <v>1754</v>
      </c>
      <c r="I297" s="5" t="s">
        <v>42</v>
      </c>
      <c r="J297" s="5" t="s">
        <v>43</v>
      </c>
      <c r="K297" s="5">
        <v>8.7733785699E10</v>
      </c>
      <c r="L297" s="4" t="s">
        <v>44</v>
      </c>
      <c r="M297" s="5" t="s">
        <v>42</v>
      </c>
      <c r="N297" s="4" t="s">
        <v>45</v>
      </c>
      <c r="O297" s="4" t="s">
        <v>46</v>
      </c>
      <c r="P297" s="4" t="s">
        <v>47</v>
      </c>
      <c r="Q297" s="4">
        <v>16451.0</v>
      </c>
      <c r="R297" s="5" t="s">
        <v>1755</v>
      </c>
      <c r="S297" s="8">
        <v>46178.0</v>
      </c>
      <c r="T297" s="9">
        <v>0.375</v>
      </c>
      <c r="U297" s="9">
        <v>0.9166666666666666</v>
      </c>
      <c r="V297" s="4" t="s">
        <v>49</v>
      </c>
      <c r="W297" s="5">
        <v>1.0</v>
      </c>
      <c r="X297" s="5" t="b">
        <v>1</v>
      </c>
      <c r="Y297" s="5" t="s">
        <v>50</v>
      </c>
      <c r="Z297" s="5" t="b">
        <v>0</v>
      </c>
      <c r="AA297" s="10"/>
      <c r="AB297" s="4">
        <v>1.0</v>
      </c>
      <c r="AC297" s="11" t="s">
        <v>1756</v>
      </c>
      <c r="AD297" s="5">
        <v>0.0</v>
      </c>
      <c r="AE297" s="5">
        <v>1.0</v>
      </c>
      <c r="AF297" s="8">
        <v>46178.0</v>
      </c>
      <c r="AG297" s="9">
        <v>0.375</v>
      </c>
      <c r="AH297" s="9">
        <v>0.9166666666666666</v>
      </c>
      <c r="AI297" s="4" t="s">
        <v>49</v>
      </c>
      <c r="AJ297" s="5" t="s">
        <v>1757</v>
      </c>
      <c r="AK297" s="12"/>
      <c r="AL297" s="12"/>
      <c r="AM297" s="12"/>
      <c r="AN297" s="12"/>
      <c r="AO297" s="12"/>
      <c r="AP297" s="12"/>
      <c r="AQ297" s="12"/>
    </row>
    <row r="298">
      <c r="A298" s="5" t="s">
        <v>1758</v>
      </c>
      <c r="B298" s="5">
        <v>1.1398423E7</v>
      </c>
      <c r="C298" s="5" t="s">
        <v>37</v>
      </c>
      <c r="D298" s="5" t="s">
        <v>1759</v>
      </c>
      <c r="E298" s="5" t="s">
        <v>39</v>
      </c>
      <c r="F298" s="5" t="s">
        <v>1760</v>
      </c>
      <c r="G298" s="15">
        <v>8.1327050527E10</v>
      </c>
      <c r="H298" s="5" t="s">
        <v>1761</v>
      </c>
      <c r="I298" s="5" t="s">
        <v>42</v>
      </c>
      <c r="J298" s="5" t="s">
        <v>43</v>
      </c>
      <c r="K298" s="5">
        <v>8.7733785699E10</v>
      </c>
      <c r="L298" s="4" t="s">
        <v>44</v>
      </c>
      <c r="M298" s="5" t="s">
        <v>42</v>
      </c>
      <c r="N298" s="4" t="s">
        <v>45</v>
      </c>
      <c r="O298" s="4" t="s">
        <v>46</v>
      </c>
      <c r="P298" s="4" t="s">
        <v>47</v>
      </c>
      <c r="Q298" s="4">
        <v>16451.0</v>
      </c>
      <c r="R298" s="5" t="s">
        <v>1762</v>
      </c>
      <c r="S298" s="8">
        <v>46178.0</v>
      </c>
      <c r="T298" s="9">
        <v>0.375</v>
      </c>
      <c r="U298" s="9">
        <v>0.9166666666666666</v>
      </c>
      <c r="V298" s="4" t="s">
        <v>49</v>
      </c>
      <c r="W298" s="5">
        <v>1.0</v>
      </c>
      <c r="X298" s="5" t="b">
        <v>1</v>
      </c>
      <c r="Y298" s="5" t="s">
        <v>50</v>
      </c>
      <c r="Z298" s="5" t="b">
        <v>0</v>
      </c>
      <c r="AA298" s="10"/>
      <c r="AB298" s="4">
        <v>1.0</v>
      </c>
      <c r="AC298" s="11" t="s">
        <v>1763</v>
      </c>
      <c r="AD298" s="5">
        <v>0.0</v>
      </c>
      <c r="AE298" s="5">
        <v>1.0</v>
      </c>
      <c r="AF298" s="8">
        <v>46178.0</v>
      </c>
      <c r="AG298" s="9">
        <v>0.375</v>
      </c>
      <c r="AH298" s="9">
        <v>0.9166666666666666</v>
      </c>
      <c r="AI298" s="4" t="s">
        <v>49</v>
      </c>
      <c r="AJ298" s="5" t="s">
        <v>1764</v>
      </c>
      <c r="AK298" s="12"/>
      <c r="AL298" s="12"/>
      <c r="AM298" s="12"/>
      <c r="AN298" s="12"/>
      <c r="AO298" s="12"/>
      <c r="AP298" s="12"/>
      <c r="AQ298" s="12"/>
    </row>
    <row r="299">
      <c r="A299" s="5" t="s">
        <v>1765</v>
      </c>
      <c r="B299" s="5">
        <v>1.1398423E7</v>
      </c>
      <c r="C299" s="5" t="s">
        <v>37</v>
      </c>
      <c r="D299" s="5" t="s">
        <v>1766</v>
      </c>
      <c r="E299" s="5" t="s">
        <v>39</v>
      </c>
      <c r="F299" s="5" t="s">
        <v>107</v>
      </c>
      <c r="G299" s="15">
        <v>8.128011014E9</v>
      </c>
      <c r="H299" s="5" t="s">
        <v>108</v>
      </c>
      <c r="I299" s="5" t="s">
        <v>42</v>
      </c>
      <c r="J299" s="5" t="s">
        <v>43</v>
      </c>
      <c r="K299" s="5">
        <v>8.7733785699E10</v>
      </c>
      <c r="L299" s="4" t="s">
        <v>44</v>
      </c>
      <c r="M299" s="5" t="s">
        <v>42</v>
      </c>
      <c r="N299" s="4" t="s">
        <v>45</v>
      </c>
      <c r="O299" s="4" t="s">
        <v>46</v>
      </c>
      <c r="P299" s="4" t="s">
        <v>47</v>
      </c>
      <c r="Q299" s="4">
        <v>16451.0</v>
      </c>
      <c r="R299" s="5" t="s">
        <v>1767</v>
      </c>
      <c r="S299" s="8">
        <v>46178.0</v>
      </c>
      <c r="T299" s="9">
        <v>0.375</v>
      </c>
      <c r="U299" s="9">
        <v>0.9166666666666666</v>
      </c>
      <c r="V299" s="4" t="s">
        <v>49</v>
      </c>
      <c r="W299" s="5">
        <v>1.0</v>
      </c>
      <c r="X299" s="5" t="b">
        <v>1</v>
      </c>
      <c r="Y299" s="5" t="s">
        <v>50</v>
      </c>
      <c r="Z299" s="5" t="b">
        <v>0</v>
      </c>
      <c r="AA299" s="10"/>
      <c r="AB299" s="4">
        <v>1.0</v>
      </c>
      <c r="AC299" s="11" t="s">
        <v>1768</v>
      </c>
      <c r="AD299" s="5">
        <v>0.0</v>
      </c>
      <c r="AE299" s="5">
        <v>1.0</v>
      </c>
      <c r="AF299" s="8">
        <v>46178.0</v>
      </c>
      <c r="AG299" s="9">
        <v>0.375</v>
      </c>
      <c r="AH299" s="9">
        <v>0.9166666666666666</v>
      </c>
      <c r="AI299" s="4" t="s">
        <v>49</v>
      </c>
      <c r="AJ299" s="5" t="s">
        <v>1769</v>
      </c>
      <c r="AK299" s="12"/>
      <c r="AL299" s="12"/>
      <c r="AM299" s="12"/>
      <c r="AN299" s="12"/>
      <c r="AO299" s="12"/>
      <c r="AP299" s="12"/>
      <c r="AQ299" s="12"/>
    </row>
    <row r="300">
      <c r="A300" s="5" t="s">
        <v>1770</v>
      </c>
      <c r="B300" s="5">
        <v>1.1398423E7</v>
      </c>
      <c r="C300" s="5" t="s">
        <v>37</v>
      </c>
      <c r="D300" s="5" t="s">
        <v>1771</v>
      </c>
      <c r="E300" s="5" t="s">
        <v>39</v>
      </c>
      <c r="F300" s="5" t="s">
        <v>1772</v>
      </c>
      <c r="G300" s="15">
        <v>8.1399209703E10</v>
      </c>
      <c r="H300" s="5" t="s">
        <v>1773</v>
      </c>
      <c r="I300" s="5" t="s">
        <v>42</v>
      </c>
      <c r="J300" s="5" t="s">
        <v>43</v>
      </c>
      <c r="K300" s="5">
        <v>8.7733785699E10</v>
      </c>
      <c r="L300" s="4" t="s">
        <v>44</v>
      </c>
      <c r="M300" s="5" t="s">
        <v>42</v>
      </c>
      <c r="N300" s="4" t="s">
        <v>45</v>
      </c>
      <c r="O300" s="4" t="s">
        <v>46</v>
      </c>
      <c r="P300" s="4" t="s">
        <v>47</v>
      </c>
      <c r="Q300" s="4">
        <v>16451.0</v>
      </c>
      <c r="R300" s="5" t="s">
        <v>1774</v>
      </c>
      <c r="S300" s="8">
        <v>46178.0</v>
      </c>
      <c r="T300" s="9">
        <v>0.375</v>
      </c>
      <c r="U300" s="9">
        <v>0.9166666666666666</v>
      </c>
      <c r="V300" s="4" t="s">
        <v>49</v>
      </c>
      <c r="W300" s="5">
        <v>1.0</v>
      </c>
      <c r="X300" s="5" t="b">
        <v>1</v>
      </c>
      <c r="Y300" s="5" t="s">
        <v>50</v>
      </c>
      <c r="Z300" s="5" t="b">
        <v>0</v>
      </c>
      <c r="AA300" s="10"/>
      <c r="AB300" s="4">
        <v>1.0</v>
      </c>
      <c r="AC300" s="11" t="s">
        <v>1775</v>
      </c>
      <c r="AD300" s="5">
        <v>0.0</v>
      </c>
      <c r="AE300" s="5">
        <v>1.0</v>
      </c>
      <c r="AF300" s="8">
        <v>46178.0</v>
      </c>
      <c r="AG300" s="9">
        <v>0.375</v>
      </c>
      <c r="AH300" s="9">
        <v>0.9166666666666666</v>
      </c>
      <c r="AI300" s="4" t="s">
        <v>49</v>
      </c>
      <c r="AJ300" s="5" t="s">
        <v>1776</v>
      </c>
      <c r="AK300" s="12"/>
      <c r="AL300" s="12"/>
      <c r="AM300" s="12"/>
      <c r="AN300" s="12"/>
      <c r="AO300" s="12"/>
      <c r="AP300" s="12"/>
      <c r="AQ300" s="12"/>
    </row>
    <row r="301">
      <c r="A301" s="5" t="s">
        <v>1777</v>
      </c>
      <c r="B301" s="5">
        <v>1.1398423E7</v>
      </c>
      <c r="C301" s="5" t="s">
        <v>37</v>
      </c>
      <c r="D301" s="5" t="s">
        <v>1778</v>
      </c>
      <c r="E301" s="5" t="s">
        <v>39</v>
      </c>
      <c r="F301" s="5" t="s">
        <v>1779</v>
      </c>
      <c r="G301" s="15">
        <v>8.1398912227E10</v>
      </c>
      <c r="H301" s="5" t="s">
        <v>1780</v>
      </c>
      <c r="I301" s="5" t="s">
        <v>42</v>
      </c>
      <c r="J301" s="5" t="s">
        <v>43</v>
      </c>
      <c r="K301" s="5">
        <v>8.7733785699E10</v>
      </c>
      <c r="L301" s="4" t="s">
        <v>44</v>
      </c>
      <c r="M301" s="5" t="s">
        <v>42</v>
      </c>
      <c r="N301" s="4" t="s">
        <v>45</v>
      </c>
      <c r="O301" s="4" t="s">
        <v>46</v>
      </c>
      <c r="P301" s="4" t="s">
        <v>47</v>
      </c>
      <c r="Q301" s="4">
        <v>16451.0</v>
      </c>
      <c r="R301" s="5" t="s">
        <v>1781</v>
      </c>
      <c r="S301" s="8">
        <v>46178.0</v>
      </c>
      <c r="T301" s="9">
        <v>0.375</v>
      </c>
      <c r="U301" s="9">
        <v>0.9166666666666666</v>
      </c>
      <c r="V301" s="4" t="s">
        <v>49</v>
      </c>
      <c r="W301" s="5">
        <v>1.0</v>
      </c>
      <c r="X301" s="5" t="b">
        <v>1</v>
      </c>
      <c r="Y301" s="5" t="s">
        <v>50</v>
      </c>
      <c r="Z301" s="5" t="b">
        <v>0</v>
      </c>
      <c r="AA301" s="10"/>
      <c r="AB301" s="4">
        <v>1.0</v>
      </c>
      <c r="AC301" s="11" t="s">
        <v>1782</v>
      </c>
      <c r="AD301" s="5">
        <v>0.0</v>
      </c>
      <c r="AE301" s="5">
        <v>1.0</v>
      </c>
      <c r="AF301" s="8">
        <v>46178.0</v>
      </c>
      <c r="AG301" s="9">
        <v>0.375</v>
      </c>
      <c r="AH301" s="9">
        <v>0.9166666666666666</v>
      </c>
      <c r="AI301" s="4" t="s">
        <v>49</v>
      </c>
      <c r="AJ301" s="5" t="s">
        <v>1783</v>
      </c>
      <c r="AK301" s="12"/>
      <c r="AL301" s="12"/>
      <c r="AM301" s="12"/>
      <c r="AN301" s="12"/>
      <c r="AO301" s="12"/>
      <c r="AP301" s="12"/>
      <c r="AQ301" s="12"/>
    </row>
    <row r="302">
      <c r="A302" s="5" t="s">
        <v>1784</v>
      </c>
      <c r="B302" s="5">
        <v>1.1398423E7</v>
      </c>
      <c r="C302" s="5" t="s">
        <v>37</v>
      </c>
      <c r="D302" s="5" t="s">
        <v>1785</v>
      </c>
      <c r="E302" s="5" t="s">
        <v>39</v>
      </c>
      <c r="F302" s="5" t="s">
        <v>1786</v>
      </c>
      <c r="G302" s="15">
        <v>6.28122E16</v>
      </c>
      <c r="H302" s="5" t="s">
        <v>1787</v>
      </c>
      <c r="I302" s="5" t="s">
        <v>42</v>
      </c>
      <c r="J302" s="5" t="s">
        <v>43</v>
      </c>
      <c r="K302" s="5">
        <v>8.7733785699E10</v>
      </c>
      <c r="L302" s="4" t="s">
        <v>44</v>
      </c>
      <c r="M302" s="5" t="s">
        <v>42</v>
      </c>
      <c r="N302" s="4" t="s">
        <v>45</v>
      </c>
      <c r="O302" s="4" t="s">
        <v>46</v>
      </c>
      <c r="P302" s="4" t="s">
        <v>47</v>
      </c>
      <c r="Q302" s="4">
        <v>16451.0</v>
      </c>
      <c r="R302" s="5" t="s">
        <v>1788</v>
      </c>
      <c r="S302" s="8">
        <v>46178.0</v>
      </c>
      <c r="T302" s="9">
        <v>0.375</v>
      </c>
      <c r="U302" s="9">
        <v>0.9166666666666666</v>
      </c>
      <c r="V302" s="4" t="s">
        <v>49</v>
      </c>
      <c r="W302" s="5">
        <v>1.0</v>
      </c>
      <c r="X302" s="5" t="b">
        <v>1</v>
      </c>
      <c r="Y302" s="5" t="s">
        <v>50</v>
      </c>
      <c r="Z302" s="5" t="b">
        <v>0</v>
      </c>
      <c r="AA302" s="10"/>
      <c r="AB302" s="4">
        <v>1.0</v>
      </c>
      <c r="AC302" s="11" t="s">
        <v>1789</v>
      </c>
      <c r="AD302" s="5">
        <v>0.0</v>
      </c>
      <c r="AE302" s="5">
        <v>1.0</v>
      </c>
      <c r="AF302" s="8">
        <v>46178.0</v>
      </c>
      <c r="AG302" s="9">
        <v>0.375</v>
      </c>
      <c r="AH302" s="9">
        <v>0.9166666666666666</v>
      </c>
      <c r="AI302" s="4" t="s">
        <v>49</v>
      </c>
      <c r="AJ302" s="5" t="s">
        <v>1790</v>
      </c>
      <c r="AK302" s="12"/>
      <c r="AL302" s="12"/>
      <c r="AM302" s="12"/>
      <c r="AN302" s="12"/>
      <c r="AO302" s="12"/>
      <c r="AP302" s="12"/>
      <c r="AQ302" s="12"/>
    </row>
    <row r="303">
      <c r="A303" s="5" t="s">
        <v>1791</v>
      </c>
      <c r="B303" s="5">
        <v>1.1398423E7</v>
      </c>
      <c r="C303" s="5" t="s">
        <v>37</v>
      </c>
      <c r="D303" s="5" t="s">
        <v>1792</v>
      </c>
      <c r="E303" s="5" t="s">
        <v>39</v>
      </c>
      <c r="F303" s="5" t="s">
        <v>1793</v>
      </c>
      <c r="G303" s="15">
        <v>6.28122E17</v>
      </c>
      <c r="H303" s="5" t="s">
        <v>1794</v>
      </c>
      <c r="I303" s="5" t="s">
        <v>42</v>
      </c>
      <c r="J303" s="5" t="s">
        <v>43</v>
      </c>
      <c r="K303" s="5">
        <v>8.7733785699E10</v>
      </c>
      <c r="L303" s="4" t="s">
        <v>44</v>
      </c>
      <c r="M303" s="5" t="s">
        <v>42</v>
      </c>
      <c r="N303" s="4" t="s">
        <v>45</v>
      </c>
      <c r="O303" s="4" t="s">
        <v>46</v>
      </c>
      <c r="P303" s="4" t="s">
        <v>47</v>
      </c>
      <c r="Q303" s="4">
        <v>16451.0</v>
      </c>
      <c r="R303" s="5" t="s">
        <v>1795</v>
      </c>
      <c r="S303" s="8">
        <v>46178.0</v>
      </c>
      <c r="T303" s="9">
        <v>0.375</v>
      </c>
      <c r="U303" s="9">
        <v>0.9166666666666666</v>
      </c>
      <c r="V303" s="4" t="s">
        <v>49</v>
      </c>
      <c r="W303" s="5">
        <v>1.0</v>
      </c>
      <c r="X303" s="5" t="b">
        <v>1</v>
      </c>
      <c r="Y303" s="5" t="s">
        <v>50</v>
      </c>
      <c r="Z303" s="5" t="b">
        <v>0</v>
      </c>
      <c r="AA303" s="10"/>
      <c r="AB303" s="4">
        <v>1.0</v>
      </c>
      <c r="AC303" s="11" t="s">
        <v>1796</v>
      </c>
      <c r="AD303" s="5">
        <v>0.0</v>
      </c>
      <c r="AE303" s="5">
        <v>1.0</v>
      </c>
      <c r="AF303" s="8">
        <v>46178.0</v>
      </c>
      <c r="AG303" s="9">
        <v>0.375</v>
      </c>
      <c r="AH303" s="9">
        <v>0.9166666666666666</v>
      </c>
      <c r="AI303" s="4" t="s">
        <v>49</v>
      </c>
      <c r="AJ303" s="5" t="s">
        <v>1797</v>
      </c>
      <c r="AK303" s="12"/>
      <c r="AL303" s="12"/>
      <c r="AM303" s="12"/>
      <c r="AN303" s="12"/>
      <c r="AO303" s="12"/>
      <c r="AP303" s="12"/>
      <c r="AQ303" s="12"/>
    </row>
    <row r="304">
      <c r="A304" s="5" t="s">
        <v>1798</v>
      </c>
      <c r="B304" s="5">
        <v>1.1398423E7</v>
      </c>
      <c r="C304" s="5" t="s">
        <v>37</v>
      </c>
      <c r="D304" s="5" t="s">
        <v>1799</v>
      </c>
      <c r="E304" s="5" t="s">
        <v>39</v>
      </c>
      <c r="F304" s="5" t="s">
        <v>1800</v>
      </c>
      <c r="G304" s="15">
        <v>6.28533E17</v>
      </c>
      <c r="H304" s="5" t="s">
        <v>1801</v>
      </c>
      <c r="I304" s="5" t="s">
        <v>42</v>
      </c>
      <c r="J304" s="5" t="s">
        <v>43</v>
      </c>
      <c r="K304" s="5">
        <v>8.7733785699E10</v>
      </c>
      <c r="L304" s="4" t="s">
        <v>44</v>
      </c>
      <c r="M304" s="5" t="s">
        <v>42</v>
      </c>
      <c r="N304" s="4" t="s">
        <v>45</v>
      </c>
      <c r="O304" s="4" t="s">
        <v>46</v>
      </c>
      <c r="P304" s="4" t="s">
        <v>47</v>
      </c>
      <c r="Q304" s="4">
        <v>16451.0</v>
      </c>
      <c r="R304" s="5" t="s">
        <v>1802</v>
      </c>
      <c r="S304" s="8">
        <v>46178.0</v>
      </c>
      <c r="T304" s="9">
        <v>0.375</v>
      </c>
      <c r="U304" s="9">
        <v>0.9166666666666666</v>
      </c>
      <c r="V304" s="4" t="s">
        <v>49</v>
      </c>
      <c r="W304" s="5">
        <v>1.0</v>
      </c>
      <c r="X304" s="5" t="b">
        <v>1</v>
      </c>
      <c r="Y304" s="5" t="s">
        <v>50</v>
      </c>
      <c r="Z304" s="5" t="b">
        <v>0</v>
      </c>
      <c r="AA304" s="10"/>
      <c r="AB304" s="4">
        <v>1.0</v>
      </c>
      <c r="AC304" s="11" t="s">
        <v>1803</v>
      </c>
      <c r="AD304" s="5">
        <v>0.0</v>
      </c>
      <c r="AE304" s="5">
        <v>1.0</v>
      </c>
      <c r="AF304" s="8">
        <v>46178.0</v>
      </c>
      <c r="AG304" s="9">
        <v>0.375</v>
      </c>
      <c r="AH304" s="9">
        <v>0.9166666666666666</v>
      </c>
      <c r="AI304" s="4" t="s">
        <v>49</v>
      </c>
      <c r="AJ304" s="5" t="s">
        <v>1804</v>
      </c>
      <c r="AK304" s="12"/>
      <c r="AL304" s="12"/>
      <c r="AM304" s="12"/>
      <c r="AN304" s="12"/>
      <c r="AO304" s="12"/>
      <c r="AP304" s="12"/>
      <c r="AQ304" s="12"/>
    </row>
    <row r="305">
      <c r="A305" s="5" t="s">
        <v>1805</v>
      </c>
      <c r="B305" s="5">
        <v>1.1398423E7</v>
      </c>
      <c r="C305" s="5" t="s">
        <v>37</v>
      </c>
      <c r="D305" s="5" t="s">
        <v>1806</v>
      </c>
      <c r="E305" s="5" t="s">
        <v>39</v>
      </c>
      <c r="F305" s="5" t="s">
        <v>1807</v>
      </c>
      <c r="G305" s="15">
        <v>6.28534E17</v>
      </c>
      <c r="H305" s="5" t="s">
        <v>1808</v>
      </c>
      <c r="I305" s="5" t="s">
        <v>42</v>
      </c>
      <c r="J305" s="5" t="s">
        <v>43</v>
      </c>
      <c r="K305" s="5">
        <v>8.7733785699E10</v>
      </c>
      <c r="L305" s="4" t="s">
        <v>44</v>
      </c>
      <c r="M305" s="5" t="s">
        <v>42</v>
      </c>
      <c r="N305" s="4" t="s">
        <v>45</v>
      </c>
      <c r="O305" s="4" t="s">
        <v>46</v>
      </c>
      <c r="P305" s="4" t="s">
        <v>47</v>
      </c>
      <c r="Q305" s="4">
        <v>16451.0</v>
      </c>
      <c r="R305" s="5" t="s">
        <v>1809</v>
      </c>
      <c r="S305" s="8">
        <v>46178.0</v>
      </c>
      <c r="T305" s="9">
        <v>0.375</v>
      </c>
      <c r="U305" s="9">
        <v>0.9166666666666666</v>
      </c>
      <c r="V305" s="4" t="s">
        <v>49</v>
      </c>
      <c r="W305" s="5">
        <v>1.0</v>
      </c>
      <c r="X305" s="5" t="b">
        <v>1</v>
      </c>
      <c r="Y305" s="5" t="s">
        <v>50</v>
      </c>
      <c r="Z305" s="5" t="b">
        <v>0</v>
      </c>
      <c r="AA305" s="10"/>
      <c r="AB305" s="4">
        <v>1.0</v>
      </c>
      <c r="AC305" s="11" t="s">
        <v>1810</v>
      </c>
      <c r="AD305" s="5">
        <v>0.0</v>
      </c>
      <c r="AE305" s="5">
        <v>1.0</v>
      </c>
      <c r="AF305" s="8">
        <v>46178.0</v>
      </c>
      <c r="AG305" s="9">
        <v>0.375</v>
      </c>
      <c r="AH305" s="9">
        <v>0.9166666666666666</v>
      </c>
      <c r="AI305" s="4" t="s">
        <v>49</v>
      </c>
      <c r="AJ305" s="5" t="s">
        <v>1811</v>
      </c>
      <c r="AK305" s="12"/>
      <c r="AL305" s="12"/>
      <c r="AM305" s="12"/>
      <c r="AN305" s="12"/>
      <c r="AO305" s="12"/>
      <c r="AP305" s="12"/>
      <c r="AQ305" s="12"/>
    </row>
    <row r="306">
      <c r="A306" s="5" t="s">
        <v>1812</v>
      </c>
      <c r="B306" s="5">
        <v>1.1398423E7</v>
      </c>
      <c r="C306" s="5" t="s">
        <v>37</v>
      </c>
      <c r="D306" s="5" t="s">
        <v>1813</v>
      </c>
      <c r="E306" s="5" t="s">
        <v>39</v>
      </c>
      <c r="F306" s="5" t="s">
        <v>1814</v>
      </c>
      <c r="G306" s="15">
        <v>6.28577E17</v>
      </c>
      <c r="H306" s="5" t="s">
        <v>1815</v>
      </c>
      <c r="I306" s="5" t="s">
        <v>42</v>
      </c>
      <c r="J306" s="5" t="s">
        <v>43</v>
      </c>
      <c r="K306" s="5">
        <v>8.7733785699E10</v>
      </c>
      <c r="L306" s="4" t="s">
        <v>44</v>
      </c>
      <c r="M306" s="5" t="s">
        <v>42</v>
      </c>
      <c r="N306" s="4" t="s">
        <v>45</v>
      </c>
      <c r="O306" s="4" t="s">
        <v>46</v>
      </c>
      <c r="P306" s="4" t="s">
        <v>47</v>
      </c>
      <c r="Q306" s="4">
        <v>16451.0</v>
      </c>
      <c r="R306" s="5" t="s">
        <v>1816</v>
      </c>
      <c r="S306" s="8">
        <v>46178.0</v>
      </c>
      <c r="T306" s="9">
        <v>0.375</v>
      </c>
      <c r="U306" s="9">
        <v>0.9166666666666666</v>
      </c>
      <c r="V306" s="4" t="s">
        <v>49</v>
      </c>
      <c r="W306" s="5">
        <v>1.0</v>
      </c>
      <c r="X306" s="5" t="b">
        <v>1</v>
      </c>
      <c r="Y306" s="5" t="s">
        <v>50</v>
      </c>
      <c r="Z306" s="5" t="b">
        <v>0</v>
      </c>
      <c r="AA306" s="10"/>
      <c r="AB306" s="4">
        <v>1.0</v>
      </c>
      <c r="AC306" s="11" t="s">
        <v>1817</v>
      </c>
      <c r="AD306" s="5">
        <v>0.0</v>
      </c>
      <c r="AE306" s="5">
        <v>1.0</v>
      </c>
      <c r="AF306" s="8">
        <v>46178.0</v>
      </c>
      <c r="AG306" s="9">
        <v>0.375</v>
      </c>
      <c r="AH306" s="9">
        <v>0.9166666666666666</v>
      </c>
      <c r="AI306" s="4" t="s">
        <v>49</v>
      </c>
      <c r="AJ306" s="5" t="s">
        <v>1818</v>
      </c>
      <c r="AK306" s="12"/>
      <c r="AL306" s="12"/>
      <c r="AM306" s="12"/>
      <c r="AN306" s="12"/>
      <c r="AO306" s="12"/>
      <c r="AP306" s="12"/>
      <c r="AQ306" s="12"/>
    </row>
    <row r="307">
      <c r="A307" s="5" t="s">
        <v>1819</v>
      </c>
      <c r="B307" s="5">
        <v>1.1398423E7</v>
      </c>
      <c r="C307" s="5" t="s">
        <v>37</v>
      </c>
      <c r="D307" s="5" t="s">
        <v>1820</v>
      </c>
      <c r="E307" s="5" t="s">
        <v>39</v>
      </c>
      <c r="F307" s="5" t="s">
        <v>1313</v>
      </c>
      <c r="G307" s="15">
        <v>6.28122E17</v>
      </c>
      <c r="H307" s="5" t="s">
        <v>1314</v>
      </c>
      <c r="I307" s="5" t="s">
        <v>42</v>
      </c>
      <c r="J307" s="5" t="s">
        <v>43</v>
      </c>
      <c r="K307" s="5">
        <v>8.7733785699E10</v>
      </c>
      <c r="L307" s="4" t="s">
        <v>44</v>
      </c>
      <c r="M307" s="5" t="s">
        <v>42</v>
      </c>
      <c r="N307" s="4" t="s">
        <v>45</v>
      </c>
      <c r="O307" s="4" t="s">
        <v>46</v>
      </c>
      <c r="P307" s="4" t="s">
        <v>47</v>
      </c>
      <c r="Q307" s="4">
        <v>16451.0</v>
      </c>
      <c r="R307" s="5" t="s">
        <v>1821</v>
      </c>
      <c r="S307" s="8">
        <v>46178.0</v>
      </c>
      <c r="T307" s="9">
        <v>0.375</v>
      </c>
      <c r="U307" s="9">
        <v>0.9166666666666666</v>
      </c>
      <c r="V307" s="4" t="s">
        <v>49</v>
      </c>
      <c r="W307" s="5">
        <v>1.0</v>
      </c>
      <c r="X307" s="5" t="b">
        <v>1</v>
      </c>
      <c r="Y307" s="5" t="s">
        <v>50</v>
      </c>
      <c r="Z307" s="5" t="b">
        <v>0</v>
      </c>
      <c r="AA307" s="10"/>
      <c r="AB307" s="4">
        <v>1.0</v>
      </c>
      <c r="AC307" s="11" t="s">
        <v>1822</v>
      </c>
      <c r="AD307" s="5">
        <v>0.0</v>
      </c>
      <c r="AE307" s="5">
        <v>1.0</v>
      </c>
      <c r="AF307" s="8">
        <v>46178.0</v>
      </c>
      <c r="AG307" s="9">
        <v>0.375</v>
      </c>
      <c r="AH307" s="9">
        <v>0.9166666666666666</v>
      </c>
      <c r="AI307" s="4" t="s">
        <v>49</v>
      </c>
      <c r="AJ307" s="5" t="s">
        <v>1823</v>
      </c>
      <c r="AK307" s="12"/>
      <c r="AL307" s="12"/>
      <c r="AM307" s="12"/>
      <c r="AN307" s="12"/>
      <c r="AO307" s="12"/>
      <c r="AP307" s="12"/>
      <c r="AQ307" s="12"/>
    </row>
    <row r="308">
      <c r="A308" s="5" t="s">
        <v>1824</v>
      </c>
      <c r="B308" s="5">
        <v>1.1398423E7</v>
      </c>
      <c r="C308" s="5" t="s">
        <v>37</v>
      </c>
      <c r="D308" s="5" t="s">
        <v>900</v>
      </c>
      <c r="E308" s="5" t="s">
        <v>39</v>
      </c>
      <c r="F308" s="5" t="s">
        <v>1825</v>
      </c>
      <c r="G308" s="15">
        <v>6.28232E17</v>
      </c>
      <c r="H308" s="5" t="s">
        <v>1826</v>
      </c>
      <c r="I308" s="5" t="s">
        <v>42</v>
      </c>
      <c r="J308" s="5" t="s">
        <v>43</v>
      </c>
      <c r="K308" s="5">
        <v>6.285143002578E12</v>
      </c>
      <c r="L308" s="4" t="s">
        <v>57</v>
      </c>
      <c r="M308" s="5" t="s">
        <v>42</v>
      </c>
      <c r="N308" s="4" t="s">
        <v>58</v>
      </c>
      <c r="O308" s="4" t="s">
        <v>59</v>
      </c>
      <c r="P308" s="4" t="s">
        <v>60</v>
      </c>
      <c r="Q308" s="4">
        <v>60291.0</v>
      </c>
      <c r="R308" s="5" t="s">
        <v>1827</v>
      </c>
      <c r="S308" s="8">
        <v>46178.0</v>
      </c>
      <c r="T308" s="9">
        <v>0.375</v>
      </c>
      <c r="U308" s="9">
        <v>0.9166666666666666</v>
      </c>
      <c r="V308" s="4" t="s">
        <v>49</v>
      </c>
      <c r="W308" s="5">
        <v>1.0</v>
      </c>
      <c r="X308" s="5" t="b">
        <v>1</v>
      </c>
      <c r="Y308" s="5" t="s">
        <v>50</v>
      </c>
      <c r="Z308" s="5" t="b">
        <v>0</v>
      </c>
      <c r="AA308" s="10"/>
      <c r="AB308" s="4">
        <v>1.0</v>
      </c>
      <c r="AC308" s="11" t="s">
        <v>1828</v>
      </c>
      <c r="AD308" s="5">
        <v>0.0</v>
      </c>
      <c r="AE308" s="5">
        <v>1.0</v>
      </c>
      <c r="AF308" s="8">
        <v>46178.0</v>
      </c>
      <c r="AG308" s="9">
        <v>0.375</v>
      </c>
      <c r="AH308" s="9">
        <v>0.9166666666666666</v>
      </c>
      <c r="AI308" s="4" t="s">
        <v>49</v>
      </c>
      <c r="AJ308" s="5" t="s">
        <v>1829</v>
      </c>
      <c r="AK308" s="12"/>
      <c r="AL308" s="12"/>
      <c r="AM308" s="12"/>
      <c r="AN308" s="12"/>
      <c r="AO308" s="12"/>
      <c r="AP308" s="12"/>
      <c r="AQ308" s="12"/>
    </row>
    <row r="309">
      <c r="A309" s="5" t="s">
        <v>1830</v>
      </c>
      <c r="B309" s="5">
        <v>1.1398423E7</v>
      </c>
      <c r="C309" s="5" t="s">
        <v>37</v>
      </c>
      <c r="D309" s="5" t="s">
        <v>1831</v>
      </c>
      <c r="E309" s="5" t="s">
        <v>39</v>
      </c>
      <c r="F309" s="5" t="s">
        <v>1832</v>
      </c>
      <c r="G309" s="15">
        <v>8.1291779304E10</v>
      </c>
      <c r="H309" s="5" t="s">
        <v>1833</v>
      </c>
      <c r="I309" s="5" t="s">
        <v>42</v>
      </c>
      <c r="J309" s="5" t="s">
        <v>43</v>
      </c>
      <c r="K309" s="5">
        <v>8.7733785699E10</v>
      </c>
      <c r="L309" s="4" t="s">
        <v>44</v>
      </c>
      <c r="M309" s="5" t="s">
        <v>42</v>
      </c>
      <c r="N309" s="4" t="s">
        <v>45</v>
      </c>
      <c r="O309" s="4" t="s">
        <v>46</v>
      </c>
      <c r="P309" s="4" t="s">
        <v>47</v>
      </c>
      <c r="Q309" s="4">
        <v>16451.0</v>
      </c>
      <c r="R309" s="5" t="s">
        <v>1834</v>
      </c>
      <c r="S309" s="8">
        <v>46179.0</v>
      </c>
      <c r="T309" s="9">
        <v>0.375</v>
      </c>
      <c r="U309" s="9">
        <v>0.9166666666666666</v>
      </c>
      <c r="V309" s="4" t="s">
        <v>49</v>
      </c>
      <c r="W309" s="5">
        <v>1.0</v>
      </c>
      <c r="X309" s="5" t="b">
        <v>1</v>
      </c>
      <c r="Y309" s="5" t="s">
        <v>50</v>
      </c>
      <c r="Z309" s="5" t="b">
        <v>0</v>
      </c>
      <c r="AA309" s="10"/>
      <c r="AB309" s="4">
        <v>1.0</v>
      </c>
      <c r="AC309" s="11" t="s">
        <v>1835</v>
      </c>
      <c r="AD309" s="5">
        <v>0.0</v>
      </c>
      <c r="AE309" s="5">
        <v>1.0</v>
      </c>
      <c r="AF309" s="8">
        <v>46179.0</v>
      </c>
      <c r="AG309" s="9">
        <v>0.375</v>
      </c>
      <c r="AH309" s="9">
        <v>0.9166666666666666</v>
      </c>
      <c r="AI309" s="4" t="s">
        <v>49</v>
      </c>
      <c r="AJ309" s="5" t="s">
        <v>1836</v>
      </c>
      <c r="AK309" s="12"/>
      <c r="AL309" s="12"/>
      <c r="AM309" s="12"/>
      <c r="AN309" s="12"/>
      <c r="AO309" s="12"/>
      <c r="AP309" s="12"/>
      <c r="AQ309" s="12"/>
    </row>
    <row r="310">
      <c r="A310" s="5" t="s">
        <v>1837</v>
      </c>
      <c r="B310" s="5">
        <v>1.1398423E7</v>
      </c>
      <c r="C310" s="5" t="s">
        <v>37</v>
      </c>
      <c r="D310" s="5" t="s">
        <v>1838</v>
      </c>
      <c r="E310" s="5" t="s">
        <v>39</v>
      </c>
      <c r="F310" s="5" t="s">
        <v>1839</v>
      </c>
      <c r="G310" s="15">
        <v>6.28211E17</v>
      </c>
      <c r="H310" s="5" t="s">
        <v>1840</v>
      </c>
      <c r="I310" s="5" t="s">
        <v>42</v>
      </c>
      <c r="J310" s="5" t="s">
        <v>43</v>
      </c>
      <c r="K310" s="5">
        <v>8.7733785699E10</v>
      </c>
      <c r="L310" s="4" t="s">
        <v>44</v>
      </c>
      <c r="M310" s="5" t="s">
        <v>42</v>
      </c>
      <c r="N310" s="4" t="s">
        <v>45</v>
      </c>
      <c r="O310" s="4" t="s">
        <v>46</v>
      </c>
      <c r="P310" s="4" t="s">
        <v>47</v>
      </c>
      <c r="Q310" s="4">
        <v>16451.0</v>
      </c>
      <c r="R310" s="5" t="s">
        <v>1841</v>
      </c>
      <c r="S310" s="8">
        <v>46179.0</v>
      </c>
      <c r="T310" s="9">
        <v>0.375</v>
      </c>
      <c r="U310" s="9">
        <v>0.9166666666666666</v>
      </c>
      <c r="V310" s="4" t="s">
        <v>49</v>
      </c>
      <c r="W310" s="5">
        <v>1.0</v>
      </c>
      <c r="X310" s="5" t="b">
        <v>1</v>
      </c>
      <c r="Y310" s="5" t="s">
        <v>50</v>
      </c>
      <c r="Z310" s="5" t="b">
        <v>0</v>
      </c>
      <c r="AA310" s="10"/>
      <c r="AB310" s="4">
        <v>1.0</v>
      </c>
      <c r="AC310" s="11" t="s">
        <v>1842</v>
      </c>
      <c r="AD310" s="5">
        <v>0.0</v>
      </c>
      <c r="AE310" s="5">
        <v>1.0</v>
      </c>
      <c r="AF310" s="8">
        <v>46179.0</v>
      </c>
      <c r="AG310" s="9">
        <v>0.375</v>
      </c>
      <c r="AH310" s="9">
        <v>0.9166666666666666</v>
      </c>
      <c r="AI310" s="4" t="s">
        <v>49</v>
      </c>
      <c r="AJ310" s="5" t="s">
        <v>1843</v>
      </c>
      <c r="AK310" s="12"/>
      <c r="AL310" s="12"/>
      <c r="AM310" s="12"/>
      <c r="AN310" s="12"/>
      <c r="AO310" s="12"/>
      <c r="AP310" s="12"/>
      <c r="AQ310" s="12"/>
    </row>
    <row r="311">
      <c r="A311" s="5" t="s">
        <v>1844</v>
      </c>
      <c r="B311" s="5">
        <v>1.1398423E7</v>
      </c>
      <c r="C311" s="5" t="s">
        <v>37</v>
      </c>
      <c r="D311" s="5" t="s">
        <v>1845</v>
      </c>
      <c r="E311" s="5" t="s">
        <v>39</v>
      </c>
      <c r="F311" s="5" t="s">
        <v>923</v>
      </c>
      <c r="G311" s="15">
        <v>6.28584E17</v>
      </c>
      <c r="H311" s="5" t="s">
        <v>924</v>
      </c>
      <c r="I311" s="5" t="s">
        <v>42</v>
      </c>
      <c r="J311" s="5" t="s">
        <v>43</v>
      </c>
      <c r="K311" s="5">
        <v>8.7733785699E10</v>
      </c>
      <c r="L311" s="4" t="s">
        <v>44</v>
      </c>
      <c r="M311" s="5" t="s">
        <v>42</v>
      </c>
      <c r="N311" s="4" t="s">
        <v>45</v>
      </c>
      <c r="O311" s="4" t="s">
        <v>46</v>
      </c>
      <c r="P311" s="4" t="s">
        <v>47</v>
      </c>
      <c r="Q311" s="4">
        <v>16451.0</v>
      </c>
      <c r="R311" s="5" t="s">
        <v>1846</v>
      </c>
      <c r="S311" s="8">
        <v>46179.0</v>
      </c>
      <c r="T311" s="9">
        <v>0.375</v>
      </c>
      <c r="U311" s="9">
        <v>0.9166666666666666</v>
      </c>
      <c r="V311" s="4" t="s">
        <v>49</v>
      </c>
      <c r="W311" s="5">
        <v>1.0</v>
      </c>
      <c r="X311" s="5" t="b">
        <v>1</v>
      </c>
      <c r="Y311" s="5" t="s">
        <v>50</v>
      </c>
      <c r="Z311" s="5" t="b">
        <v>0</v>
      </c>
      <c r="AA311" s="10"/>
      <c r="AB311" s="4">
        <v>1.0</v>
      </c>
      <c r="AC311" s="11" t="s">
        <v>1847</v>
      </c>
      <c r="AD311" s="5">
        <v>0.0</v>
      </c>
      <c r="AE311" s="5">
        <v>1.0</v>
      </c>
      <c r="AF311" s="8">
        <v>46179.0</v>
      </c>
      <c r="AG311" s="9">
        <v>0.375</v>
      </c>
      <c r="AH311" s="9">
        <v>0.9166666666666666</v>
      </c>
      <c r="AI311" s="4" t="s">
        <v>49</v>
      </c>
      <c r="AJ311" s="5" t="s">
        <v>1848</v>
      </c>
      <c r="AK311" s="12"/>
      <c r="AL311" s="12"/>
      <c r="AM311" s="12"/>
      <c r="AN311" s="12"/>
      <c r="AO311" s="12"/>
      <c r="AP311" s="12"/>
      <c r="AQ311" s="12"/>
    </row>
    <row r="312">
      <c r="A312" s="5" t="s">
        <v>1849</v>
      </c>
      <c r="B312" s="5">
        <v>1.1398423E7</v>
      </c>
      <c r="C312" s="5" t="s">
        <v>37</v>
      </c>
      <c r="D312" s="5" t="s">
        <v>1850</v>
      </c>
      <c r="E312" s="5" t="s">
        <v>39</v>
      </c>
      <c r="F312" s="5" t="s">
        <v>1851</v>
      </c>
      <c r="G312" s="15">
        <v>6.28211E17</v>
      </c>
      <c r="H312" s="5" t="s">
        <v>1852</v>
      </c>
      <c r="I312" s="5" t="s">
        <v>42</v>
      </c>
      <c r="J312" s="5" t="s">
        <v>43</v>
      </c>
      <c r="K312" s="5">
        <v>8.7733785699E10</v>
      </c>
      <c r="L312" s="4" t="s">
        <v>44</v>
      </c>
      <c r="M312" s="5" t="s">
        <v>42</v>
      </c>
      <c r="N312" s="4" t="s">
        <v>45</v>
      </c>
      <c r="O312" s="4" t="s">
        <v>46</v>
      </c>
      <c r="P312" s="4" t="s">
        <v>47</v>
      </c>
      <c r="Q312" s="4">
        <v>16451.0</v>
      </c>
      <c r="R312" s="5" t="s">
        <v>1853</v>
      </c>
      <c r="S312" s="8">
        <v>46179.0</v>
      </c>
      <c r="T312" s="9">
        <v>0.375</v>
      </c>
      <c r="U312" s="9">
        <v>0.9166666666666666</v>
      </c>
      <c r="V312" s="4" t="s">
        <v>49</v>
      </c>
      <c r="W312" s="5">
        <v>1.0</v>
      </c>
      <c r="X312" s="5" t="b">
        <v>1</v>
      </c>
      <c r="Y312" s="5" t="s">
        <v>50</v>
      </c>
      <c r="Z312" s="5" t="b">
        <v>0</v>
      </c>
      <c r="AA312" s="10"/>
      <c r="AB312" s="4">
        <v>1.0</v>
      </c>
      <c r="AC312" s="11" t="s">
        <v>1854</v>
      </c>
      <c r="AD312" s="5">
        <v>0.0</v>
      </c>
      <c r="AE312" s="5">
        <v>1.0</v>
      </c>
      <c r="AF312" s="8">
        <v>46179.0</v>
      </c>
      <c r="AG312" s="9">
        <v>0.375</v>
      </c>
      <c r="AH312" s="9">
        <v>0.9166666666666666</v>
      </c>
      <c r="AI312" s="4" t="s">
        <v>49</v>
      </c>
      <c r="AJ312" s="5" t="s">
        <v>1855</v>
      </c>
      <c r="AK312" s="12"/>
      <c r="AL312" s="12"/>
      <c r="AM312" s="12"/>
      <c r="AN312" s="12"/>
      <c r="AO312" s="12"/>
      <c r="AP312" s="12"/>
      <c r="AQ312" s="12"/>
    </row>
    <row r="313">
      <c r="A313" s="5" t="s">
        <v>1856</v>
      </c>
      <c r="B313" s="5">
        <v>1.1398423E7</v>
      </c>
      <c r="C313" s="5" t="s">
        <v>37</v>
      </c>
      <c r="D313" s="5" t="s">
        <v>1857</v>
      </c>
      <c r="E313" s="5" t="s">
        <v>39</v>
      </c>
      <c r="F313" s="5" t="s">
        <v>1858</v>
      </c>
      <c r="G313" s="15">
        <v>6.28222E17</v>
      </c>
      <c r="H313" s="5" t="s">
        <v>1859</v>
      </c>
      <c r="I313" s="5" t="s">
        <v>42</v>
      </c>
      <c r="J313" s="5" t="s">
        <v>43</v>
      </c>
      <c r="K313" s="5">
        <v>8.7733785699E10</v>
      </c>
      <c r="L313" s="4" t="s">
        <v>44</v>
      </c>
      <c r="M313" s="5" t="s">
        <v>42</v>
      </c>
      <c r="N313" s="4" t="s">
        <v>45</v>
      </c>
      <c r="O313" s="4" t="s">
        <v>46</v>
      </c>
      <c r="P313" s="4" t="s">
        <v>47</v>
      </c>
      <c r="Q313" s="4">
        <v>16451.0</v>
      </c>
      <c r="R313" s="5" t="s">
        <v>1860</v>
      </c>
      <c r="S313" s="8">
        <v>46179.0</v>
      </c>
      <c r="T313" s="9">
        <v>0.375</v>
      </c>
      <c r="U313" s="9">
        <v>0.9166666666666666</v>
      </c>
      <c r="V313" s="4" t="s">
        <v>49</v>
      </c>
      <c r="W313" s="5">
        <v>1.0</v>
      </c>
      <c r="X313" s="5" t="b">
        <v>1</v>
      </c>
      <c r="Y313" s="5" t="s">
        <v>50</v>
      </c>
      <c r="Z313" s="5" t="b">
        <v>0</v>
      </c>
      <c r="AA313" s="10"/>
      <c r="AB313" s="4">
        <v>1.0</v>
      </c>
      <c r="AC313" s="11" t="s">
        <v>1861</v>
      </c>
      <c r="AD313" s="5">
        <v>0.0</v>
      </c>
      <c r="AE313" s="5">
        <v>1.0</v>
      </c>
      <c r="AF313" s="8">
        <v>46179.0</v>
      </c>
      <c r="AG313" s="9">
        <v>0.375</v>
      </c>
      <c r="AH313" s="9">
        <v>0.9166666666666666</v>
      </c>
      <c r="AI313" s="4" t="s">
        <v>49</v>
      </c>
      <c r="AJ313" s="5" t="s">
        <v>1862</v>
      </c>
      <c r="AK313" s="12"/>
      <c r="AL313" s="12"/>
      <c r="AM313" s="12"/>
      <c r="AN313" s="12"/>
      <c r="AO313" s="12"/>
      <c r="AP313" s="12"/>
      <c r="AQ313" s="12"/>
    </row>
    <row r="314">
      <c r="A314" s="5" t="s">
        <v>1863</v>
      </c>
      <c r="B314" s="5">
        <v>1.1398423E7</v>
      </c>
      <c r="C314" s="5" t="s">
        <v>37</v>
      </c>
      <c r="D314" s="5" t="s">
        <v>1864</v>
      </c>
      <c r="E314" s="5" t="s">
        <v>39</v>
      </c>
      <c r="F314" s="5" t="s">
        <v>492</v>
      </c>
      <c r="G314" s="15">
        <v>6.28139E17</v>
      </c>
      <c r="H314" s="5" t="s">
        <v>493</v>
      </c>
      <c r="I314" s="5" t="s">
        <v>42</v>
      </c>
      <c r="J314" s="5" t="s">
        <v>43</v>
      </c>
      <c r="K314" s="5">
        <v>8.7733785699E10</v>
      </c>
      <c r="L314" s="4" t="s">
        <v>44</v>
      </c>
      <c r="M314" s="5" t="s">
        <v>42</v>
      </c>
      <c r="N314" s="4" t="s">
        <v>45</v>
      </c>
      <c r="O314" s="4" t="s">
        <v>46</v>
      </c>
      <c r="P314" s="4" t="s">
        <v>47</v>
      </c>
      <c r="Q314" s="4">
        <v>16451.0</v>
      </c>
      <c r="R314" s="5" t="s">
        <v>1865</v>
      </c>
      <c r="S314" s="8">
        <v>46179.0</v>
      </c>
      <c r="T314" s="9">
        <v>0.375</v>
      </c>
      <c r="U314" s="9">
        <v>0.9166666666666666</v>
      </c>
      <c r="V314" s="4" t="s">
        <v>49</v>
      </c>
      <c r="W314" s="5">
        <v>1.0</v>
      </c>
      <c r="X314" s="5" t="b">
        <v>1</v>
      </c>
      <c r="Y314" s="5" t="s">
        <v>50</v>
      </c>
      <c r="Z314" s="5" t="b">
        <v>0</v>
      </c>
      <c r="AA314" s="10"/>
      <c r="AB314" s="4">
        <v>1.0</v>
      </c>
      <c r="AC314" s="11" t="s">
        <v>1866</v>
      </c>
      <c r="AD314" s="5">
        <v>0.0</v>
      </c>
      <c r="AE314" s="5">
        <v>1.0</v>
      </c>
      <c r="AF314" s="8">
        <v>46179.0</v>
      </c>
      <c r="AG314" s="9">
        <v>0.375</v>
      </c>
      <c r="AH314" s="9">
        <v>0.9166666666666666</v>
      </c>
      <c r="AI314" s="4" t="s">
        <v>49</v>
      </c>
      <c r="AJ314" s="5" t="s">
        <v>1867</v>
      </c>
      <c r="AK314" s="12"/>
      <c r="AL314" s="12"/>
      <c r="AM314" s="12"/>
      <c r="AN314" s="12"/>
      <c r="AO314" s="12"/>
      <c r="AP314" s="12"/>
      <c r="AQ314" s="12"/>
    </row>
    <row r="315">
      <c r="A315" s="5" t="s">
        <v>1868</v>
      </c>
      <c r="B315" s="5">
        <v>1.1398423E7</v>
      </c>
      <c r="C315" s="5" t="s">
        <v>37</v>
      </c>
      <c r="D315" s="5" t="s">
        <v>1869</v>
      </c>
      <c r="E315" s="5" t="s">
        <v>39</v>
      </c>
      <c r="F315" s="5" t="s">
        <v>1870</v>
      </c>
      <c r="G315" s="15">
        <v>2.15703335E8</v>
      </c>
      <c r="H315" s="5" t="s">
        <v>1871</v>
      </c>
      <c r="I315" s="5" t="s">
        <v>42</v>
      </c>
      <c r="J315" s="5" t="s">
        <v>43</v>
      </c>
      <c r="K315" s="5">
        <v>8.7733785699E10</v>
      </c>
      <c r="L315" s="4" t="s">
        <v>44</v>
      </c>
      <c r="M315" s="5" t="s">
        <v>42</v>
      </c>
      <c r="N315" s="4" t="s">
        <v>45</v>
      </c>
      <c r="O315" s="4" t="s">
        <v>46</v>
      </c>
      <c r="P315" s="4" t="s">
        <v>47</v>
      </c>
      <c r="Q315" s="4">
        <v>16451.0</v>
      </c>
      <c r="R315" s="5" t="s">
        <v>1872</v>
      </c>
      <c r="S315" s="8">
        <v>46179.0</v>
      </c>
      <c r="T315" s="9">
        <v>0.375</v>
      </c>
      <c r="U315" s="9">
        <v>0.9166666666666666</v>
      </c>
      <c r="V315" s="4" t="s">
        <v>49</v>
      </c>
      <c r="W315" s="5">
        <v>1.0</v>
      </c>
      <c r="X315" s="5" t="b">
        <v>1</v>
      </c>
      <c r="Y315" s="5" t="s">
        <v>50</v>
      </c>
      <c r="Z315" s="5" t="b">
        <v>0</v>
      </c>
      <c r="AA315" s="10"/>
      <c r="AB315" s="4">
        <v>1.0</v>
      </c>
      <c r="AC315" s="11" t="s">
        <v>1873</v>
      </c>
      <c r="AD315" s="5">
        <v>0.0</v>
      </c>
      <c r="AE315" s="5">
        <v>1.0</v>
      </c>
      <c r="AF315" s="8">
        <v>46179.0</v>
      </c>
      <c r="AG315" s="9">
        <v>0.375</v>
      </c>
      <c r="AH315" s="9">
        <v>0.9166666666666666</v>
      </c>
      <c r="AI315" s="4" t="s">
        <v>49</v>
      </c>
      <c r="AJ315" s="5" t="s">
        <v>1874</v>
      </c>
      <c r="AK315" s="12"/>
      <c r="AL315" s="12"/>
      <c r="AM315" s="12"/>
      <c r="AN315" s="12"/>
      <c r="AO315" s="12"/>
      <c r="AP315" s="12"/>
      <c r="AQ315" s="12"/>
    </row>
    <row r="316">
      <c r="A316" s="5" t="s">
        <v>1875</v>
      </c>
      <c r="B316" s="5">
        <v>1.1398423E7</v>
      </c>
      <c r="C316" s="5" t="s">
        <v>37</v>
      </c>
      <c r="D316" s="5" t="s">
        <v>1876</v>
      </c>
      <c r="E316" s="5" t="s">
        <v>39</v>
      </c>
      <c r="F316" s="5" t="s">
        <v>1877</v>
      </c>
      <c r="G316" s="15">
        <v>8.1310611737E10</v>
      </c>
      <c r="H316" s="5" t="s">
        <v>1878</v>
      </c>
      <c r="I316" s="5" t="s">
        <v>42</v>
      </c>
      <c r="J316" s="5" t="s">
        <v>43</v>
      </c>
      <c r="K316" s="5">
        <v>8.7733785699E10</v>
      </c>
      <c r="L316" s="4" t="s">
        <v>44</v>
      </c>
      <c r="M316" s="5" t="s">
        <v>42</v>
      </c>
      <c r="N316" s="4" t="s">
        <v>45</v>
      </c>
      <c r="O316" s="4" t="s">
        <v>46</v>
      </c>
      <c r="P316" s="4" t="s">
        <v>47</v>
      </c>
      <c r="Q316" s="4">
        <v>16451.0</v>
      </c>
      <c r="R316" s="5" t="s">
        <v>1879</v>
      </c>
      <c r="S316" s="8">
        <v>46179.0</v>
      </c>
      <c r="T316" s="9">
        <v>0.375</v>
      </c>
      <c r="U316" s="9">
        <v>0.9166666666666666</v>
      </c>
      <c r="V316" s="4" t="s">
        <v>49</v>
      </c>
      <c r="W316" s="5">
        <v>1.0</v>
      </c>
      <c r="X316" s="5" t="b">
        <v>1</v>
      </c>
      <c r="Y316" s="5" t="s">
        <v>50</v>
      </c>
      <c r="Z316" s="5" t="b">
        <v>0</v>
      </c>
      <c r="AA316" s="10"/>
      <c r="AB316" s="4">
        <v>1.0</v>
      </c>
      <c r="AC316" s="11" t="s">
        <v>1880</v>
      </c>
      <c r="AD316" s="5">
        <v>0.0</v>
      </c>
      <c r="AE316" s="5">
        <v>1.0</v>
      </c>
      <c r="AF316" s="8">
        <v>46179.0</v>
      </c>
      <c r="AG316" s="9">
        <v>0.375</v>
      </c>
      <c r="AH316" s="9">
        <v>0.9166666666666666</v>
      </c>
      <c r="AI316" s="4" t="s">
        <v>49</v>
      </c>
      <c r="AJ316" s="5" t="s">
        <v>1881</v>
      </c>
      <c r="AK316" s="12"/>
      <c r="AL316" s="12"/>
      <c r="AM316" s="12"/>
      <c r="AN316" s="12"/>
      <c r="AO316" s="12"/>
      <c r="AP316" s="12"/>
      <c r="AQ316" s="12"/>
    </row>
    <row r="317">
      <c r="A317" s="5" t="s">
        <v>1882</v>
      </c>
      <c r="B317" s="5">
        <v>1.1398423E7</v>
      </c>
      <c r="C317" s="5" t="s">
        <v>37</v>
      </c>
      <c r="D317" s="5" t="s">
        <v>1883</v>
      </c>
      <c r="E317" s="5" t="s">
        <v>39</v>
      </c>
      <c r="F317" s="5" t="s">
        <v>1884</v>
      </c>
      <c r="G317" s="15">
        <v>8.1991086509E10</v>
      </c>
      <c r="H317" s="5" t="s">
        <v>1885</v>
      </c>
      <c r="I317" s="5" t="s">
        <v>42</v>
      </c>
      <c r="J317" s="5" t="s">
        <v>43</v>
      </c>
      <c r="K317" s="5">
        <v>8.7733785699E10</v>
      </c>
      <c r="L317" s="4" t="s">
        <v>44</v>
      </c>
      <c r="M317" s="5" t="s">
        <v>42</v>
      </c>
      <c r="N317" s="4" t="s">
        <v>45</v>
      </c>
      <c r="O317" s="4" t="s">
        <v>46</v>
      </c>
      <c r="P317" s="4" t="s">
        <v>47</v>
      </c>
      <c r="Q317" s="4">
        <v>16451.0</v>
      </c>
      <c r="R317" s="5" t="s">
        <v>1886</v>
      </c>
      <c r="S317" s="8">
        <v>46179.0</v>
      </c>
      <c r="T317" s="9">
        <v>0.375</v>
      </c>
      <c r="U317" s="9">
        <v>0.9166666666666666</v>
      </c>
      <c r="V317" s="4" t="s">
        <v>49</v>
      </c>
      <c r="W317" s="5">
        <v>1.0</v>
      </c>
      <c r="X317" s="5" t="b">
        <v>1</v>
      </c>
      <c r="Y317" s="5" t="s">
        <v>50</v>
      </c>
      <c r="Z317" s="5" t="b">
        <v>0</v>
      </c>
      <c r="AA317" s="10"/>
      <c r="AB317" s="4">
        <v>1.0</v>
      </c>
      <c r="AC317" s="11" t="s">
        <v>1887</v>
      </c>
      <c r="AD317" s="5">
        <v>0.0</v>
      </c>
      <c r="AE317" s="5">
        <v>1.0</v>
      </c>
      <c r="AF317" s="8">
        <v>46179.0</v>
      </c>
      <c r="AG317" s="9">
        <v>0.375</v>
      </c>
      <c r="AH317" s="9">
        <v>0.9166666666666666</v>
      </c>
      <c r="AI317" s="4" t="s">
        <v>49</v>
      </c>
      <c r="AJ317" s="5" t="s">
        <v>1888</v>
      </c>
      <c r="AK317" s="12"/>
      <c r="AL317" s="12"/>
      <c r="AM317" s="12"/>
      <c r="AN317" s="12"/>
      <c r="AO317" s="12"/>
      <c r="AP317" s="12"/>
      <c r="AQ317" s="12"/>
    </row>
    <row r="318">
      <c r="A318" s="5" t="s">
        <v>1889</v>
      </c>
      <c r="B318" s="5">
        <v>1.1398423E7</v>
      </c>
      <c r="C318" s="5" t="s">
        <v>37</v>
      </c>
      <c r="D318" s="5" t="s">
        <v>1890</v>
      </c>
      <c r="E318" s="5" t="s">
        <v>39</v>
      </c>
      <c r="F318" s="5" t="s">
        <v>1458</v>
      </c>
      <c r="G318" s="15">
        <v>6.28212E17</v>
      </c>
      <c r="H318" s="5" t="s">
        <v>1459</v>
      </c>
      <c r="I318" s="5" t="s">
        <v>42</v>
      </c>
      <c r="J318" s="5" t="s">
        <v>43</v>
      </c>
      <c r="K318" s="5">
        <v>8.7733785699E10</v>
      </c>
      <c r="L318" s="4" t="s">
        <v>44</v>
      </c>
      <c r="M318" s="5" t="s">
        <v>42</v>
      </c>
      <c r="N318" s="4" t="s">
        <v>45</v>
      </c>
      <c r="O318" s="4" t="s">
        <v>46</v>
      </c>
      <c r="P318" s="4" t="s">
        <v>47</v>
      </c>
      <c r="Q318" s="4">
        <v>16451.0</v>
      </c>
      <c r="R318" s="5" t="s">
        <v>1891</v>
      </c>
      <c r="S318" s="8">
        <v>46179.0</v>
      </c>
      <c r="T318" s="9">
        <v>0.375</v>
      </c>
      <c r="U318" s="9">
        <v>0.9166666666666666</v>
      </c>
      <c r="V318" s="4" t="s">
        <v>49</v>
      </c>
      <c r="W318" s="5">
        <v>1.0</v>
      </c>
      <c r="X318" s="5" t="b">
        <v>1</v>
      </c>
      <c r="Y318" s="5" t="s">
        <v>50</v>
      </c>
      <c r="Z318" s="5" t="b">
        <v>0</v>
      </c>
      <c r="AA318" s="10"/>
      <c r="AB318" s="4">
        <v>1.0</v>
      </c>
      <c r="AC318" s="11" t="s">
        <v>1892</v>
      </c>
      <c r="AD318" s="5">
        <v>0.0</v>
      </c>
      <c r="AE318" s="5">
        <v>1.0</v>
      </c>
      <c r="AF318" s="8">
        <v>46179.0</v>
      </c>
      <c r="AG318" s="9">
        <v>0.375</v>
      </c>
      <c r="AH318" s="9">
        <v>0.9166666666666666</v>
      </c>
      <c r="AI318" s="4" t="s">
        <v>49</v>
      </c>
      <c r="AJ318" s="5" t="s">
        <v>1893</v>
      </c>
      <c r="AK318" s="12"/>
      <c r="AL318" s="12"/>
      <c r="AM318" s="12"/>
      <c r="AN318" s="12"/>
      <c r="AO318" s="12"/>
      <c r="AP318" s="12"/>
      <c r="AQ318" s="12"/>
    </row>
    <row r="319">
      <c r="A319" s="5" t="s">
        <v>1894</v>
      </c>
      <c r="B319" s="5">
        <v>1.1398423E7</v>
      </c>
      <c r="C319" s="5" t="s">
        <v>37</v>
      </c>
      <c r="D319" s="5" t="s">
        <v>1895</v>
      </c>
      <c r="E319" s="5" t="s">
        <v>39</v>
      </c>
      <c r="F319" s="5" t="s">
        <v>1896</v>
      </c>
      <c r="G319" s="15">
        <v>8.1287123733E10</v>
      </c>
      <c r="H319" s="5" t="s">
        <v>1897</v>
      </c>
      <c r="I319" s="5" t="s">
        <v>42</v>
      </c>
      <c r="J319" s="5" t="s">
        <v>43</v>
      </c>
      <c r="K319" s="5">
        <v>8.7733785699E10</v>
      </c>
      <c r="L319" s="4" t="s">
        <v>44</v>
      </c>
      <c r="M319" s="5" t="s">
        <v>42</v>
      </c>
      <c r="N319" s="4" t="s">
        <v>45</v>
      </c>
      <c r="O319" s="4" t="s">
        <v>46</v>
      </c>
      <c r="P319" s="4" t="s">
        <v>47</v>
      </c>
      <c r="Q319" s="4">
        <v>16451.0</v>
      </c>
      <c r="R319" s="5" t="s">
        <v>1898</v>
      </c>
      <c r="S319" s="8">
        <v>46179.0</v>
      </c>
      <c r="T319" s="9">
        <v>0.375</v>
      </c>
      <c r="U319" s="9">
        <v>0.9166666666666666</v>
      </c>
      <c r="V319" s="4" t="s">
        <v>49</v>
      </c>
      <c r="W319" s="5">
        <v>1.0</v>
      </c>
      <c r="X319" s="5" t="b">
        <v>1</v>
      </c>
      <c r="Y319" s="5" t="s">
        <v>50</v>
      </c>
      <c r="Z319" s="5" t="b">
        <v>0</v>
      </c>
      <c r="AA319" s="10"/>
      <c r="AB319" s="4">
        <v>1.0</v>
      </c>
      <c r="AC319" s="11" t="s">
        <v>1899</v>
      </c>
      <c r="AD319" s="5">
        <v>0.0</v>
      </c>
      <c r="AE319" s="5">
        <v>1.0</v>
      </c>
      <c r="AF319" s="8">
        <v>46179.0</v>
      </c>
      <c r="AG319" s="9">
        <v>0.375</v>
      </c>
      <c r="AH319" s="9">
        <v>0.9166666666666666</v>
      </c>
      <c r="AI319" s="4" t="s">
        <v>49</v>
      </c>
      <c r="AJ319" s="5" t="s">
        <v>1900</v>
      </c>
      <c r="AK319" s="12"/>
      <c r="AL319" s="12"/>
      <c r="AM319" s="12"/>
      <c r="AN319" s="12"/>
      <c r="AO319" s="12"/>
      <c r="AP319" s="12"/>
      <c r="AQ319" s="12"/>
    </row>
    <row r="320">
      <c r="A320" s="5" t="s">
        <v>1901</v>
      </c>
      <c r="B320" s="5">
        <v>1.1398423E7</v>
      </c>
      <c r="C320" s="5" t="s">
        <v>37</v>
      </c>
      <c r="D320" s="5" t="s">
        <v>1660</v>
      </c>
      <c r="E320" s="5" t="s">
        <v>39</v>
      </c>
      <c r="F320" s="5" t="s">
        <v>1239</v>
      </c>
      <c r="G320" s="15">
        <v>2.12289592E9</v>
      </c>
      <c r="H320" s="5" t="s">
        <v>1240</v>
      </c>
      <c r="I320" s="5" t="s">
        <v>42</v>
      </c>
      <c r="J320" s="5" t="s">
        <v>43</v>
      </c>
      <c r="K320" s="5">
        <v>8.7733785699E10</v>
      </c>
      <c r="L320" s="4" t="s">
        <v>44</v>
      </c>
      <c r="M320" s="5" t="s">
        <v>42</v>
      </c>
      <c r="N320" s="4" t="s">
        <v>45</v>
      </c>
      <c r="O320" s="4" t="s">
        <v>46</v>
      </c>
      <c r="P320" s="4" t="s">
        <v>47</v>
      </c>
      <c r="Q320" s="4">
        <v>16451.0</v>
      </c>
      <c r="R320" s="5" t="s">
        <v>1902</v>
      </c>
      <c r="S320" s="8">
        <v>46179.0</v>
      </c>
      <c r="T320" s="9">
        <v>0.375</v>
      </c>
      <c r="U320" s="9">
        <v>0.9166666666666666</v>
      </c>
      <c r="V320" s="4" t="s">
        <v>49</v>
      </c>
      <c r="W320" s="5">
        <v>1.0</v>
      </c>
      <c r="X320" s="5" t="b">
        <v>1</v>
      </c>
      <c r="Y320" s="5" t="s">
        <v>50</v>
      </c>
      <c r="Z320" s="5" t="b">
        <v>0</v>
      </c>
      <c r="AA320" s="10"/>
      <c r="AB320" s="4">
        <v>1.0</v>
      </c>
      <c r="AC320" s="11" t="s">
        <v>1903</v>
      </c>
      <c r="AD320" s="5">
        <v>0.0</v>
      </c>
      <c r="AE320" s="5">
        <v>1.0</v>
      </c>
      <c r="AF320" s="8">
        <v>46179.0</v>
      </c>
      <c r="AG320" s="9">
        <v>0.375</v>
      </c>
      <c r="AH320" s="9">
        <v>0.9166666666666666</v>
      </c>
      <c r="AI320" s="4" t="s">
        <v>49</v>
      </c>
      <c r="AJ320" s="5" t="s">
        <v>1904</v>
      </c>
      <c r="AK320" s="12"/>
      <c r="AL320" s="12"/>
      <c r="AM320" s="12"/>
      <c r="AN320" s="12"/>
      <c r="AO320" s="12"/>
      <c r="AP320" s="12"/>
      <c r="AQ320" s="12"/>
    </row>
    <row r="321">
      <c r="A321" s="5" t="s">
        <v>1905</v>
      </c>
      <c r="B321" s="5">
        <v>1.1398423E7</v>
      </c>
      <c r="C321" s="5" t="s">
        <v>37</v>
      </c>
      <c r="D321" s="5" t="s">
        <v>1906</v>
      </c>
      <c r="E321" s="5" t="s">
        <v>39</v>
      </c>
      <c r="F321" s="5" t="s">
        <v>1907</v>
      </c>
      <c r="G321" s="15">
        <v>6.28125E17</v>
      </c>
      <c r="H321" s="5" t="s">
        <v>1908</v>
      </c>
      <c r="I321" s="5" t="s">
        <v>42</v>
      </c>
      <c r="J321" s="5" t="s">
        <v>43</v>
      </c>
      <c r="K321" s="5">
        <v>8.7733785699E10</v>
      </c>
      <c r="L321" s="4" t="s">
        <v>44</v>
      </c>
      <c r="M321" s="5" t="s">
        <v>42</v>
      </c>
      <c r="N321" s="4" t="s">
        <v>45</v>
      </c>
      <c r="O321" s="4" t="s">
        <v>46</v>
      </c>
      <c r="P321" s="4" t="s">
        <v>47</v>
      </c>
      <c r="Q321" s="4">
        <v>16451.0</v>
      </c>
      <c r="R321" s="5" t="s">
        <v>1909</v>
      </c>
      <c r="S321" s="8">
        <v>46179.0</v>
      </c>
      <c r="T321" s="9">
        <v>0.375</v>
      </c>
      <c r="U321" s="9">
        <v>0.9166666666666666</v>
      </c>
      <c r="V321" s="4" t="s">
        <v>49</v>
      </c>
      <c r="W321" s="5">
        <v>1.0</v>
      </c>
      <c r="X321" s="5" t="b">
        <v>1</v>
      </c>
      <c r="Y321" s="5" t="s">
        <v>50</v>
      </c>
      <c r="Z321" s="5" t="b">
        <v>0</v>
      </c>
      <c r="AA321" s="10"/>
      <c r="AB321" s="4">
        <v>1.0</v>
      </c>
      <c r="AC321" s="11" t="s">
        <v>1910</v>
      </c>
      <c r="AD321" s="5">
        <v>0.0</v>
      </c>
      <c r="AE321" s="5">
        <v>1.0</v>
      </c>
      <c r="AF321" s="8">
        <v>46179.0</v>
      </c>
      <c r="AG321" s="9">
        <v>0.375</v>
      </c>
      <c r="AH321" s="9">
        <v>0.9166666666666666</v>
      </c>
      <c r="AI321" s="4" t="s">
        <v>49</v>
      </c>
      <c r="AJ321" s="5" t="s">
        <v>1911</v>
      </c>
      <c r="AK321" s="12"/>
      <c r="AL321" s="12"/>
      <c r="AM321" s="12"/>
      <c r="AN321" s="12"/>
      <c r="AO321" s="12"/>
      <c r="AP321" s="12"/>
      <c r="AQ321" s="12"/>
    </row>
    <row r="322">
      <c r="A322" s="5" t="s">
        <v>1912</v>
      </c>
      <c r="B322" s="5">
        <v>1.1398423E7</v>
      </c>
      <c r="C322" s="5" t="s">
        <v>37</v>
      </c>
      <c r="D322" s="5" t="s">
        <v>1913</v>
      </c>
      <c r="E322" s="5" t="s">
        <v>39</v>
      </c>
      <c r="F322" s="5" t="s">
        <v>1907</v>
      </c>
      <c r="G322" s="15">
        <v>6.28125E17</v>
      </c>
      <c r="H322" s="5" t="s">
        <v>1908</v>
      </c>
      <c r="I322" s="5" t="s">
        <v>42</v>
      </c>
      <c r="J322" s="5" t="s">
        <v>43</v>
      </c>
      <c r="K322" s="5">
        <v>8.7733785699E10</v>
      </c>
      <c r="L322" s="4" t="s">
        <v>44</v>
      </c>
      <c r="M322" s="5" t="s">
        <v>42</v>
      </c>
      <c r="N322" s="4" t="s">
        <v>45</v>
      </c>
      <c r="O322" s="4" t="s">
        <v>46</v>
      </c>
      <c r="P322" s="4" t="s">
        <v>47</v>
      </c>
      <c r="Q322" s="4">
        <v>16451.0</v>
      </c>
      <c r="R322" s="5" t="s">
        <v>1914</v>
      </c>
      <c r="S322" s="8">
        <v>46179.0</v>
      </c>
      <c r="T322" s="9">
        <v>0.375</v>
      </c>
      <c r="U322" s="9">
        <v>0.9166666666666666</v>
      </c>
      <c r="V322" s="4" t="s">
        <v>49</v>
      </c>
      <c r="W322" s="5">
        <v>1.0</v>
      </c>
      <c r="X322" s="5" t="b">
        <v>1</v>
      </c>
      <c r="Y322" s="5" t="s">
        <v>50</v>
      </c>
      <c r="Z322" s="5" t="b">
        <v>0</v>
      </c>
      <c r="AA322" s="10"/>
      <c r="AB322" s="4">
        <v>1.0</v>
      </c>
      <c r="AC322" s="11" t="s">
        <v>1915</v>
      </c>
      <c r="AD322" s="5">
        <v>0.0</v>
      </c>
      <c r="AE322" s="5">
        <v>1.0</v>
      </c>
      <c r="AF322" s="8">
        <v>46179.0</v>
      </c>
      <c r="AG322" s="9">
        <v>0.375</v>
      </c>
      <c r="AH322" s="9">
        <v>0.9166666666666666</v>
      </c>
      <c r="AI322" s="4" t="s">
        <v>49</v>
      </c>
      <c r="AJ322" s="5" t="s">
        <v>1916</v>
      </c>
      <c r="AK322" s="12"/>
      <c r="AL322" s="12"/>
      <c r="AM322" s="12"/>
      <c r="AN322" s="12"/>
      <c r="AO322" s="12"/>
      <c r="AP322" s="12"/>
      <c r="AQ322" s="12"/>
    </row>
    <row r="323">
      <c r="A323" s="5" t="s">
        <v>1917</v>
      </c>
      <c r="B323" s="5">
        <v>1.1398423E7</v>
      </c>
      <c r="C323" s="5" t="s">
        <v>37</v>
      </c>
      <c r="D323" s="5" t="s">
        <v>1918</v>
      </c>
      <c r="E323" s="5" t="s">
        <v>39</v>
      </c>
      <c r="F323" s="5" t="s">
        <v>1919</v>
      </c>
      <c r="G323" s="15">
        <v>2.17336043E8</v>
      </c>
      <c r="H323" s="5" t="s">
        <v>1920</v>
      </c>
      <c r="I323" s="5" t="s">
        <v>42</v>
      </c>
      <c r="J323" s="5" t="s">
        <v>43</v>
      </c>
      <c r="K323" s="5">
        <v>8.7733785699E10</v>
      </c>
      <c r="L323" s="4" t="s">
        <v>44</v>
      </c>
      <c r="M323" s="5" t="s">
        <v>42</v>
      </c>
      <c r="N323" s="4" t="s">
        <v>45</v>
      </c>
      <c r="O323" s="4" t="s">
        <v>46</v>
      </c>
      <c r="P323" s="4" t="s">
        <v>47</v>
      </c>
      <c r="Q323" s="4">
        <v>16451.0</v>
      </c>
      <c r="R323" s="5" t="s">
        <v>1921</v>
      </c>
      <c r="S323" s="8">
        <v>46179.0</v>
      </c>
      <c r="T323" s="9">
        <v>0.375</v>
      </c>
      <c r="U323" s="9">
        <v>0.9166666666666666</v>
      </c>
      <c r="V323" s="4" t="s">
        <v>49</v>
      </c>
      <c r="W323" s="5">
        <v>1.0</v>
      </c>
      <c r="X323" s="5" t="b">
        <v>1</v>
      </c>
      <c r="Y323" s="5" t="s">
        <v>50</v>
      </c>
      <c r="Z323" s="5" t="b">
        <v>0</v>
      </c>
      <c r="AA323" s="10"/>
      <c r="AB323" s="4">
        <v>1.0</v>
      </c>
      <c r="AC323" s="11" t="s">
        <v>1922</v>
      </c>
      <c r="AD323" s="5">
        <v>0.0</v>
      </c>
      <c r="AE323" s="5">
        <v>1.0</v>
      </c>
      <c r="AF323" s="8">
        <v>46179.0</v>
      </c>
      <c r="AG323" s="9">
        <v>0.375</v>
      </c>
      <c r="AH323" s="9">
        <v>0.9166666666666666</v>
      </c>
      <c r="AI323" s="4" t="s">
        <v>49</v>
      </c>
      <c r="AJ323" s="5" t="s">
        <v>1923</v>
      </c>
      <c r="AK323" s="12"/>
      <c r="AL323" s="12"/>
      <c r="AM323" s="12"/>
      <c r="AN323" s="12"/>
      <c r="AO323" s="12"/>
      <c r="AP323" s="12"/>
      <c r="AQ323" s="12"/>
    </row>
    <row r="324">
      <c r="A324" s="5" t="s">
        <v>1924</v>
      </c>
      <c r="B324" s="5">
        <v>1.1398423E7</v>
      </c>
      <c r="C324" s="5" t="s">
        <v>37</v>
      </c>
      <c r="D324" s="5" t="s">
        <v>1925</v>
      </c>
      <c r="E324" s="5" t="s">
        <v>39</v>
      </c>
      <c r="F324" s="5" t="s">
        <v>1926</v>
      </c>
      <c r="G324" s="15">
        <v>6.28132E17</v>
      </c>
      <c r="H324" s="5" t="s">
        <v>1927</v>
      </c>
      <c r="I324" s="5" t="s">
        <v>42</v>
      </c>
      <c r="J324" s="5" t="s">
        <v>43</v>
      </c>
      <c r="K324" s="5">
        <v>8.7733785699E10</v>
      </c>
      <c r="L324" s="4" t="s">
        <v>44</v>
      </c>
      <c r="M324" s="5" t="s">
        <v>42</v>
      </c>
      <c r="N324" s="4" t="s">
        <v>45</v>
      </c>
      <c r="O324" s="4" t="s">
        <v>46</v>
      </c>
      <c r="P324" s="4" t="s">
        <v>47</v>
      </c>
      <c r="Q324" s="4">
        <v>16451.0</v>
      </c>
      <c r="R324" s="5" t="s">
        <v>1928</v>
      </c>
      <c r="S324" s="8">
        <v>46179.0</v>
      </c>
      <c r="T324" s="9">
        <v>0.375</v>
      </c>
      <c r="U324" s="9">
        <v>0.9166666666666666</v>
      </c>
      <c r="V324" s="4" t="s">
        <v>49</v>
      </c>
      <c r="W324" s="5">
        <v>1.0</v>
      </c>
      <c r="X324" s="5" t="b">
        <v>1</v>
      </c>
      <c r="Y324" s="5" t="s">
        <v>50</v>
      </c>
      <c r="Z324" s="5" t="b">
        <v>0</v>
      </c>
      <c r="AA324" s="10"/>
      <c r="AB324" s="4">
        <v>1.0</v>
      </c>
      <c r="AC324" s="11" t="s">
        <v>1929</v>
      </c>
      <c r="AD324" s="5">
        <v>0.0</v>
      </c>
      <c r="AE324" s="5">
        <v>1.0</v>
      </c>
      <c r="AF324" s="8">
        <v>46179.0</v>
      </c>
      <c r="AG324" s="9">
        <v>0.375</v>
      </c>
      <c r="AH324" s="9">
        <v>0.9166666666666666</v>
      </c>
      <c r="AI324" s="4" t="s">
        <v>49</v>
      </c>
      <c r="AJ324" s="5" t="s">
        <v>1930</v>
      </c>
      <c r="AK324" s="12"/>
      <c r="AL324" s="12"/>
      <c r="AM324" s="12"/>
      <c r="AN324" s="12"/>
      <c r="AO324" s="12"/>
      <c r="AP324" s="12"/>
      <c r="AQ324" s="12"/>
    </row>
    <row r="325">
      <c r="A325" s="5" t="s">
        <v>1931</v>
      </c>
      <c r="B325" s="5">
        <v>1.1398423E7</v>
      </c>
      <c r="C325" s="5" t="s">
        <v>37</v>
      </c>
      <c r="D325" s="5" t="s">
        <v>1932</v>
      </c>
      <c r="E325" s="5" t="s">
        <v>39</v>
      </c>
      <c r="F325" s="5" t="s">
        <v>1933</v>
      </c>
      <c r="G325" s="15">
        <v>8.5722700017E10</v>
      </c>
      <c r="H325" s="5" t="s">
        <v>1934</v>
      </c>
      <c r="I325" s="5" t="s">
        <v>42</v>
      </c>
      <c r="J325" s="5" t="s">
        <v>43</v>
      </c>
      <c r="K325" s="5">
        <v>8.7733785699E10</v>
      </c>
      <c r="L325" s="4" t="s">
        <v>44</v>
      </c>
      <c r="M325" s="5" t="s">
        <v>42</v>
      </c>
      <c r="N325" s="4" t="s">
        <v>45</v>
      </c>
      <c r="O325" s="4" t="s">
        <v>46</v>
      </c>
      <c r="P325" s="4" t="s">
        <v>47</v>
      </c>
      <c r="Q325" s="4">
        <v>16451.0</v>
      </c>
      <c r="R325" s="5" t="s">
        <v>1935</v>
      </c>
      <c r="S325" s="8">
        <v>46180.0</v>
      </c>
      <c r="T325" s="9">
        <v>0.375</v>
      </c>
      <c r="U325" s="9">
        <v>0.9166666666666666</v>
      </c>
      <c r="V325" s="4" t="s">
        <v>49</v>
      </c>
      <c r="W325" s="5">
        <v>1.0</v>
      </c>
      <c r="X325" s="5" t="b">
        <v>1</v>
      </c>
      <c r="Y325" s="5" t="s">
        <v>50</v>
      </c>
      <c r="Z325" s="5" t="b">
        <v>0</v>
      </c>
      <c r="AA325" s="10"/>
      <c r="AB325" s="4">
        <v>1.0</v>
      </c>
      <c r="AC325" s="11" t="s">
        <v>1936</v>
      </c>
      <c r="AD325" s="5">
        <v>0.0</v>
      </c>
      <c r="AE325" s="5">
        <v>1.0</v>
      </c>
      <c r="AF325" s="8">
        <v>46180.0</v>
      </c>
      <c r="AG325" s="9">
        <v>0.375</v>
      </c>
      <c r="AH325" s="9">
        <v>0.9166666666666666</v>
      </c>
      <c r="AI325" s="4" t="s">
        <v>49</v>
      </c>
      <c r="AJ325" s="5" t="s">
        <v>1937</v>
      </c>
      <c r="AK325" s="12"/>
      <c r="AL325" s="12"/>
      <c r="AM325" s="12"/>
      <c r="AN325" s="12"/>
      <c r="AO325" s="12"/>
      <c r="AP325" s="12"/>
      <c r="AQ325" s="12"/>
    </row>
    <row r="326">
      <c r="A326" s="5" t="s">
        <v>1938</v>
      </c>
      <c r="B326" s="5">
        <v>1.1398423E7</v>
      </c>
      <c r="C326" s="5" t="s">
        <v>37</v>
      </c>
      <c r="D326" s="5" t="s">
        <v>1497</v>
      </c>
      <c r="E326" s="5" t="s">
        <v>39</v>
      </c>
      <c r="F326" s="5" t="s">
        <v>474</v>
      </c>
      <c r="G326" s="15">
        <v>8.1314522941E10</v>
      </c>
      <c r="H326" s="5" t="s">
        <v>475</v>
      </c>
      <c r="I326" s="5" t="s">
        <v>42</v>
      </c>
      <c r="J326" s="5" t="s">
        <v>43</v>
      </c>
      <c r="K326" s="5">
        <v>8.7733785699E10</v>
      </c>
      <c r="L326" s="4" t="s">
        <v>44</v>
      </c>
      <c r="M326" s="5" t="s">
        <v>42</v>
      </c>
      <c r="N326" s="4" t="s">
        <v>45</v>
      </c>
      <c r="O326" s="4" t="s">
        <v>46</v>
      </c>
      <c r="P326" s="4" t="s">
        <v>47</v>
      </c>
      <c r="Q326" s="4">
        <v>16451.0</v>
      </c>
      <c r="R326" s="5" t="s">
        <v>1498</v>
      </c>
      <c r="S326" s="8">
        <v>46180.0</v>
      </c>
      <c r="T326" s="9">
        <v>0.375</v>
      </c>
      <c r="U326" s="9">
        <v>0.9166666666666666</v>
      </c>
      <c r="V326" s="4" t="s">
        <v>49</v>
      </c>
      <c r="W326" s="5">
        <v>1.0</v>
      </c>
      <c r="X326" s="5" t="b">
        <v>1</v>
      </c>
      <c r="Y326" s="5" t="s">
        <v>50</v>
      </c>
      <c r="Z326" s="5" t="b">
        <v>0</v>
      </c>
      <c r="AA326" s="10"/>
      <c r="AB326" s="4">
        <v>1.0</v>
      </c>
      <c r="AC326" s="11" t="s">
        <v>1939</v>
      </c>
      <c r="AD326" s="5">
        <v>0.0</v>
      </c>
      <c r="AE326" s="5">
        <v>1.0</v>
      </c>
      <c r="AF326" s="8">
        <v>46180.0</v>
      </c>
      <c r="AG326" s="9">
        <v>0.375</v>
      </c>
      <c r="AH326" s="9">
        <v>0.9166666666666666</v>
      </c>
      <c r="AI326" s="4" t="s">
        <v>49</v>
      </c>
      <c r="AJ326" s="5" t="s">
        <v>1940</v>
      </c>
      <c r="AK326" s="12"/>
      <c r="AL326" s="12"/>
      <c r="AM326" s="12"/>
      <c r="AN326" s="12"/>
      <c r="AO326" s="12"/>
      <c r="AP326" s="12"/>
      <c r="AQ326" s="12"/>
    </row>
    <row r="327">
      <c r="A327" s="5" t="s">
        <v>1941</v>
      </c>
      <c r="B327" s="5">
        <v>1.1398423E7</v>
      </c>
      <c r="C327" s="5" t="s">
        <v>37</v>
      </c>
      <c r="D327" s="5" t="s">
        <v>1942</v>
      </c>
      <c r="E327" s="5" t="s">
        <v>39</v>
      </c>
      <c r="F327" s="5" t="s">
        <v>1943</v>
      </c>
      <c r="G327" s="15">
        <v>6.28151E17</v>
      </c>
      <c r="H327" s="5" t="s">
        <v>1944</v>
      </c>
      <c r="I327" s="5" t="s">
        <v>42</v>
      </c>
      <c r="J327" s="5" t="s">
        <v>43</v>
      </c>
      <c r="K327" s="5">
        <v>8.7733785699E10</v>
      </c>
      <c r="L327" s="4" t="s">
        <v>44</v>
      </c>
      <c r="M327" s="5" t="s">
        <v>42</v>
      </c>
      <c r="N327" s="4" t="s">
        <v>45</v>
      </c>
      <c r="O327" s="4" t="s">
        <v>46</v>
      </c>
      <c r="P327" s="4" t="s">
        <v>47</v>
      </c>
      <c r="Q327" s="4">
        <v>16451.0</v>
      </c>
      <c r="R327" s="5" t="s">
        <v>1945</v>
      </c>
      <c r="S327" s="8">
        <v>46180.0</v>
      </c>
      <c r="T327" s="9">
        <v>0.375</v>
      </c>
      <c r="U327" s="9">
        <v>0.9166666666666666</v>
      </c>
      <c r="V327" s="4" t="s">
        <v>49</v>
      </c>
      <c r="W327" s="5">
        <v>1.0</v>
      </c>
      <c r="X327" s="5" t="b">
        <v>1</v>
      </c>
      <c r="Y327" s="5" t="s">
        <v>50</v>
      </c>
      <c r="Z327" s="5" t="b">
        <v>0</v>
      </c>
      <c r="AA327" s="10"/>
      <c r="AB327" s="4">
        <v>1.0</v>
      </c>
      <c r="AC327" s="11" t="s">
        <v>1946</v>
      </c>
      <c r="AD327" s="5">
        <v>0.0</v>
      </c>
      <c r="AE327" s="5">
        <v>1.0</v>
      </c>
      <c r="AF327" s="8">
        <v>46180.0</v>
      </c>
      <c r="AG327" s="9">
        <v>0.375</v>
      </c>
      <c r="AH327" s="9">
        <v>0.9166666666666666</v>
      </c>
      <c r="AI327" s="4" t="s">
        <v>49</v>
      </c>
      <c r="AJ327" s="5" t="s">
        <v>1947</v>
      </c>
      <c r="AK327" s="12"/>
      <c r="AL327" s="12"/>
      <c r="AM327" s="12"/>
      <c r="AN327" s="12"/>
      <c r="AO327" s="12"/>
      <c r="AP327" s="12"/>
      <c r="AQ327" s="12"/>
    </row>
    <row r="328">
      <c r="A328" s="5" t="s">
        <v>1948</v>
      </c>
      <c r="B328" s="5">
        <v>1.1398423E7</v>
      </c>
      <c r="C328" s="5" t="s">
        <v>37</v>
      </c>
      <c r="D328" s="5" t="s">
        <v>1949</v>
      </c>
      <c r="E328" s="5" t="s">
        <v>39</v>
      </c>
      <c r="F328" s="5" t="s">
        <v>1329</v>
      </c>
      <c r="G328" s="15">
        <v>6.28211E17</v>
      </c>
      <c r="H328" s="5" t="s">
        <v>1330</v>
      </c>
      <c r="I328" s="5" t="s">
        <v>42</v>
      </c>
      <c r="J328" s="5" t="s">
        <v>43</v>
      </c>
      <c r="K328" s="5">
        <v>8.7733785699E10</v>
      </c>
      <c r="L328" s="4" t="s">
        <v>44</v>
      </c>
      <c r="M328" s="5" t="s">
        <v>42</v>
      </c>
      <c r="N328" s="4" t="s">
        <v>45</v>
      </c>
      <c r="O328" s="4" t="s">
        <v>46</v>
      </c>
      <c r="P328" s="4" t="s">
        <v>47</v>
      </c>
      <c r="Q328" s="4">
        <v>16451.0</v>
      </c>
      <c r="R328" s="5" t="s">
        <v>1950</v>
      </c>
      <c r="S328" s="8">
        <v>46180.0</v>
      </c>
      <c r="T328" s="9">
        <v>0.375</v>
      </c>
      <c r="U328" s="9">
        <v>0.9166666666666666</v>
      </c>
      <c r="V328" s="4" t="s">
        <v>49</v>
      </c>
      <c r="W328" s="5">
        <v>1.0</v>
      </c>
      <c r="X328" s="5" t="b">
        <v>1</v>
      </c>
      <c r="Y328" s="5" t="s">
        <v>50</v>
      </c>
      <c r="Z328" s="5" t="b">
        <v>0</v>
      </c>
      <c r="AA328" s="10"/>
      <c r="AB328" s="4">
        <v>1.0</v>
      </c>
      <c r="AC328" s="11" t="s">
        <v>1951</v>
      </c>
      <c r="AD328" s="5">
        <v>0.0</v>
      </c>
      <c r="AE328" s="5">
        <v>1.0</v>
      </c>
      <c r="AF328" s="8">
        <v>46180.0</v>
      </c>
      <c r="AG328" s="9">
        <v>0.375</v>
      </c>
      <c r="AH328" s="9">
        <v>0.9166666666666666</v>
      </c>
      <c r="AI328" s="4" t="s">
        <v>49</v>
      </c>
      <c r="AJ328" s="5" t="s">
        <v>1952</v>
      </c>
      <c r="AK328" s="12"/>
      <c r="AL328" s="12"/>
      <c r="AM328" s="12"/>
      <c r="AN328" s="12"/>
      <c r="AO328" s="12"/>
      <c r="AP328" s="12"/>
      <c r="AQ328" s="12"/>
    </row>
    <row r="329">
      <c r="A329" s="5" t="s">
        <v>1953</v>
      </c>
      <c r="B329" s="5">
        <v>1.1398423E7</v>
      </c>
      <c r="C329" s="5" t="s">
        <v>37</v>
      </c>
      <c r="D329" s="5" t="s">
        <v>1954</v>
      </c>
      <c r="E329" s="5" t="s">
        <v>39</v>
      </c>
      <c r="F329" s="5" t="s">
        <v>1955</v>
      </c>
      <c r="G329" s="15">
        <v>6.28581E17</v>
      </c>
      <c r="H329" s="5" t="s">
        <v>1956</v>
      </c>
      <c r="I329" s="5" t="s">
        <v>42</v>
      </c>
      <c r="J329" s="5" t="s">
        <v>43</v>
      </c>
      <c r="K329" s="5">
        <v>8.7733785699E10</v>
      </c>
      <c r="L329" s="4" t="s">
        <v>44</v>
      </c>
      <c r="M329" s="5" t="s">
        <v>42</v>
      </c>
      <c r="N329" s="4" t="s">
        <v>45</v>
      </c>
      <c r="O329" s="4" t="s">
        <v>46</v>
      </c>
      <c r="P329" s="4" t="s">
        <v>47</v>
      </c>
      <c r="Q329" s="4">
        <v>16451.0</v>
      </c>
      <c r="R329" s="5" t="s">
        <v>1957</v>
      </c>
      <c r="S329" s="8">
        <v>46180.0</v>
      </c>
      <c r="T329" s="9">
        <v>0.375</v>
      </c>
      <c r="U329" s="9">
        <v>0.9166666666666666</v>
      </c>
      <c r="V329" s="4" t="s">
        <v>49</v>
      </c>
      <c r="W329" s="5">
        <v>1.0</v>
      </c>
      <c r="X329" s="5" t="b">
        <v>1</v>
      </c>
      <c r="Y329" s="5" t="s">
        <v>50</v>
      </c>
      <c r="Z329" s="5" t="b">
        <v>0</v>
      </c>
      <c r="AA329" s="10"/>
      <c r="AB329" s="4">
        <v>1.0</v>
      </c>
      <c r="AC329" s="11" t="s">
        <v>1958</v>
      </c>
      <c r="AD329" s="5">
        <v>0.0</v>
      </c>
      <c r="AE329" s="5">
        <v>1.0</v>
      </c>
      <c r="AF329" s="8">
        <v>46180.0</v>
      </c>
      <c r="AG329" s="9">
        <v>0.375</v>
      </c>
      <c r="AH329" s="9">
        <v>0.9166666666666666</v>
      </c>
      <c r="AI329" s="4" t="s">
        <v>49</v>
      </c>
      <c r="AJ329" s="5" t="s">
        <v>1959</v>
      </c>
      <c r="AK329" s="12"/>
      <c r="AL329" s="12"/>
      <c r="AM329" s="12"/>
      <c r="AN329" s="12"/>
      <c r="AO329" s="12"/>
      <c r="AP329" s="12"/>
      <c r="AQ329" s="12"/>
    </row>
    <row r="330">
      <c r="A330" s="5" t="s">
        <v>1960</v>
      </c>
      <c r="B330" s="5">
        <v>1.1398423E7</v>
      </c>
      <c r="C330" s="5" t="s">
        <v>37</v>
      </c>
      <c r="D330" s="5" t="s">
        <v>1961</v>
      </c>
      <c r="E330" s="5" t="s">
        <v>39</v>
      </c>
      <c r="F330" s="5" t="s">
        <v>1540</v>
      </c>
      <c r="G330" s="15">
        <v>6.28111E17</v>
      </c>
      <c r="H330" s="5" t="s">
        <v>1541</v>
      </c>
      <c r="I330" s="5" t="s">
        <v>42</v>
      </c>
      <c r="J330" s="5" t="s">
        <v>43</v>
      </c>
      <c r="K330" s="5">
        <v>8.7733785699E10</v>
      </c>
      <c r="L330" s="4" t="s">
        <v>44</v>
      </c>
      <c r="M330" s="5" t="s">
        <v>42</v>
      </c>
      <c r="N330" s="4" t="s">
        <v>45</v>
      </c>
      <c r="O330" s="4" t="s">
        <v>46</v>
      </c>
      <c r="P330" s="4" t="s">
        <v>47</v>
      </c>
      <c r="Q330" s="4">
        <v>16451.0</v>
      </c>
      <c r="R330" s="5" t="s">
        <v>1962</v>
      </c>
      <c r="S330" s="8">
        <v>46180.0</v>
      </c>
      <c r="T330" s="9">
        <v>0.375</v>
      </c>
      <c r="U330" s="9">
        <v>0.9166666666666666</v>
      </c>
      <c r="V330" s="4" t="s">
        <v>49</v>
      </c>
      <c r="W330" s="5">
        <v>1.0</v>
      </c>
      <c r="X330" s="5" t="b">
        <v>1</v>
      </c>
      <c r="Y330" s="5" t="s">
        <v>50</v>
      </c>
      <c r="Z330" s="5" t="b">
        <v>0</v>
      </c>
      <c r="AA330" s="10"/>
      <c r="AB330" s="4">
        <v>1.0</v>
      </c>
      <c r="AC330" s="11" t="s">
        <v>1963</v>
      </c>
      <c r="AD330" s="5">
        <v>0.0</v>
      </c>
      <c r="AE330" s="5">
        <v>1.0</v>
      </c>
      <c r="AF330" s="8">
        <v>46180.0</v>
      </c>
      <c r="AG330" s="9">
        <v>0.375</v>
      </c>
      <c r="AH330" s="9">
        <v>0.9166666666666666</v>
      </c>
      <c r="AI330" s="4" t="s">
        <v>49</v>
      </c>
      <c r="AJ330" s="5" t="s">
        <v>1964</v>
      </c>
      <c r="AK330" s="12"/>
      <c r="AL330" s="12"/>
      <c r="AM330" s="12"/>
      <c r="AN330" s="12"/>
      <c r="AO330" s="12"/>
      <c r="AP330" s="12"/>
      <c r="AQ330" s="12"/>
    </row>
    <row r="331">
      <c r="A331" s="5" t="s">
        <v>1965</v>
      </c>
      <c r="B331" s="5">
        <v>1.1398423E7</v>
      </c>
      <c r="C331" s="5" t="s">
        <v>37</v>
      </c>
      <c r="D331" s="5" t="s">
        <v>1966</v>
      </c>
      <c r="E331" s="5" t="s">
        <v>39</v>
      </c>
      <c r="F331" s="5" t="s">
        <v>1967</v>
      </c>
      <c r="G331" s="15">
        <v>8.18790038E8</v>
      </c>
      <c r="H331" s="5" t="s">
        <v>1968</v>
      </c>
      <c r="I331" s="5" t="s">
        <v>42</v>
      </c>
      <c r="J331" s="5" t="s">
        <v>43</v>
      </c>
      <c r="K331" s="5">
        <v>8.7733785699E10</v>
      </c>
      <c r="L331" s="4" t="s">
        <v>44</v>
      </c>
      <c r="M331" s="5" t="s">
        <v>42</v>
      </c>
      <c r="N331" s="4" t="s">
        <v>45</v>
      </c>
      <c r="O331" s="4" t="s">
        <v>46</v>
      </c>
      <c r="P331" s="4" t="s">
        <v>47</v>
      </c>
      <c r="Q331" s="4">
        <v>16451.0</v>
      </c>
      <c r="R331" s="5" t="s">
        <v>1969</v>
      </c>
      <c r="S331" s="8">
        <v>46180.0</v>
      </c>
      <c r="T331" s="9">
        <v>0.375</v>
      </c>
      <c r="U331" s="9">
        <v>0.9166666666666666</v>
      </c>
      <c r="V331" s="4" t="s">
        <v>49</v>
      </c>
      <c r="W331" s="5">
        <v>1.0</v>
      </c>
      <c r="X331" s="5" t="b">
        <v>1</v>
      </c>
      <c r="Y331" s="5" t="s">
        <v>50</v>
      </c>
      <c r="Z331" s="5" t="b">
        <v>0</v>
      </c>
      <c r="AA331" s="10"/>
      <c r="AB331" s="4">
        <v>1.0</v>
      </c>
      <c r="AC331" s="11" t="s">
        <v>1970</v>
      </c>
      <c r="AD331" s="5">
        <v>0.0</v>
      </c>
      <c r="AE331" s="5">
        <v>1.0</v>
      </c>
      <c r="AF331" s="8">
        <v>46180.0</v>
      </c>
      <c r="AG331" s="9">
        <v>0.375</v>
      </c>
      <c r="AH331" s="9">
        <v>0.9166666666666666</v>
      </c>
      <c r="AI331" s="4" t="s">
        <v>49</v>
      </c>
      <c r="AJ331" s="5" t="s">
        <v>1971</v>
      </c>
      <c r="AK331" s="12"/>
      <c r="AL331" s="12"/>
      <c r="AM331" s="12"/>
      <c r="AN331" s="12"/>
      <c r="AO331" s="12"/>
      <c r="AP331" s="12"/>
      <c r="AQ331" s="12"/>
    </row>
    <row r="332">
      <c r="A332" s="5" t="s">
        <v>1972</v>
      </c>
      <c r="B332" s="5">
        <v>1.1398423E7</v>
      </c>
      <c r="C332" s="5" t="s">
        <v>37</v>
      </c>
      <c r="D332" s="5" t="s">
        <v>1973</v>
      </c>
      <c r="E332" s="5" t="s">
        <v>39</v>
      </c>
      <c r="F332" s="5" t="s">
        <v>1974</v>
      </c>
      <c r="G332" s="15">
        <v>6.28122E17</v>
      </c>
      <c r="H332" s="5" t="s">
        <v>1975</v>
      </c>
      <c r="I332" s="5" t="s">
        <v>42</v>
      </c>
      <c r="J332" s="5" t="s">
        <v>43</v>
      </c>
      <c r="K332" s="5">
        <v>8.7733785699E10</v>
      </c>
      <c r="L332" s="4" t="s">
        <v>44</v>
      </c>
      <c r="M332" s="5" t="s">
        <v>42</v>
      </c>
      <c r="N332" s="4" t="s">
        <v>45</v>
      </c>
      <c r="O332" s="4" t="s">
        <v>46</v>
      </c>
      <c r="P332" s="4" t="s">
        <v>47</v>
      </c>
      <c r="Q332" s="4">
        <v>16451.0</v>
      </c>
      <c r="R332" s="5" t="s">
        <v>1976</v>
      </c>
      <c r="S332" s="8">
        <v>46180.0</v>
      </c>
      <c r="T332" s="9">
        <v>0.375</v>
      </c>
      <c r="U332" s="9">
        <v>0.9166666666666666</v>
      </c>
      <c r="V332" s="4" t="s">
        <v>49</v>
      </c>
      <c r="W332" s="5">
        <v>1.0</v>
      </c>
      <c r="X332" s="5" t="b">
        <v>1</v>
      </c>
      <c r="Y332" s="5" t="s">
        <v>50</v>
      </c>
      <c r="Z332" s="5" t="b">
        <v>0</v>
      </c>
      <c r="AA332" s="10"/>
      <c r="AB332" s="4">
        <v>1.0</v>
      </c>
      <c r="AC332" s="11" t="s">
        <v>1977</v>
      </c>
      <c r="AD332" s="5">
        <v>0.0</v>
      </c>
      <c r="AE332" s="5">
        <v>1.0</v>
      </c>
      <c r="AF332" s="8">
        <v>46180.0</v>
      </c>
      <c r="AG332" s="9">
        <v>0.375</v>
      </c>
      <c r="AH332" s="9">
        <v>0.9166666666666666</v>
      </c>
      <c r="AI332" s="4" t="s">
        <v>49</v>
      </c>
      <c r="AJ332" s="5" t="s">
        <v>1978</v>
      </c>
      <c r="AK332" s="12"/>
      <c r="AL332" s="12"/>
      <c r="AM332" s="12"/>
      <c r="AN332" s="12"/>
      <c r="AO332" s="12"/>
      <c r="AP332" s="12"/>
      <c r="AQ332" s="12"/>
    </row>
    <row r="333">
      <c r="A333" s="5" t="s">
        <v>1979</v>
      </c>
      <c r="B333" s="5">
        <v>1.1398423E7</v>
      </c>
      <c r="C333" s="5" t="s">
        <v>37</v>
      </c>
      <c r="D333" s="5" t="s">
        <v>1980</v>
      </c>
      <c r="E333" s="5" t="s">
        <v>39</v>
      </c>
      <c r="F333" s="5" t="s">
        <v>1981</v>
      </c>
      <c r="G333" s="15">
        <v>6.28178E17</v>
      </c>
      <c r="H333" s="5" t="s">
        <v>1982</v>
      </c>
      <c r="I333" s="5" t="s">
        <v>42</v>
      </c>
      <c r="J333" s="5" t="s">
        <v>43</v>
      </c>
      <c r="K333" s="5">
        <v>8.7733785699E10</v>
      </c>
      <c r="L333" s="4" t="s">
        <v>44</v>
      </c>
      <c r="M333" s="5" t="s">
        <v>42</v>
      </c>
      <c r="N333" s="4" t="s">
        <v>45</v>
      </c>
      <c r="O333" s="4" t="s">
        <v>46</v>
      </c>
      <c r="P333" s="4" t="s">
        <v>47</v>
      </c>
      <c r="Q333" s="4">
        <v>16451.0</v>
      </c>
      <c r="R333" s="5" t="s">
        <v>1983</v>
      </c>
      <c r="S333" s="8">
        <v>46180.0</v>
      </c>
      <c r="T333" s="9">
        <v>0.375</v>
      </c>
      <c r="U333" s="9">
        <v>0.9166666666666666</v>
      </c>
      <c r="V333" s="4" t="s">
        <v>49</v>
      </c>
      <c r="W333" s="5">
        <v>1.0</v>
      </c>
      <c r="X333" s="5" t="b">
        <v>1</v>
      </c>
      <c r="Y333" s="5" t="s">
        <v>50</v>
      </c>
      <c r="Z333" s="5" t="b">
        <v>0</v>
      </c>
      <c r="AA333" s="10"/>
      <c r="AB333" s="4">
        <v>1.0</v>
      </c>
      <c r="AC333" s="11" t="s">
        <v>1984</v>
      </c>
      <c r="AD333" s="5">
        <v>0.0</v>
      </c>
      <c r="AE333" s="5">
        <v>1.0</v>
      </c>
      <c r="AF333" s="8">
        <v>46180.0</v>
      </c>
      <c r="AG333" s="9">
        <v>0.375</v>
      </c>
      <c r="AH333" s="9">
        <v>0.9166666666666666</v>
      </c>
      <c r="AI333" s="4" t="s">
        <v>49</v>
      </c>
      <c r="AJ333" s="5" t="s">
        <v>1985</v>
      </c>
      <c r="AK333" s="12"/>
      <c r="AL333" s="12"/>
      <c r="AM333" s="12"/>
      <c r="AN333" s="12"/>
      <c r="AO333" s="12"/>
      <c r="AP333" s="12"/>
      <c r="AQ333" s="12"/>
    </row>
    <row r="334">
      <c r="A334" s="5" t="s">
        <v>1986</v>
      </c>
      <c r="B334" s="5">
        <v>1.1398423E7</v>
      </c>
      <c r="C334" s="5" t="s">
        <v>37</v>
      </c>
      <c r="D334" s="5" t="s">
        <v>1987</v>
      </c>
      <c r="E334" s="5" t="s">
        <v>39</v>
      </c>
      <c r="F334" s="5" t="s">
        <v>370</v>
      </c>
      <c r="G334" s="15">
        <v>2.177833109E9</v>
      </c>
      <c r="H334" s="5" t="s">
        <v>371</v>
      </c>
      <c r="I334" s="5" t="s">
        <v>42</v>
      </c>
      <c r="J334" s="5" t="s">
        <v>43</v>
      </c>
      <c r="K334" s="5">
        <v>8.7733785699E10</v>
      </c>
      <c r="L334" s="4" t="s">
        <v>44</v>
      </c>
      <c r="M334" s="5" t="s">
        <v>42</v>
      </c>
      <c r="N334" s="4" t="s">
        <v>45</v>
      </c>
      <c r="O334" s="4" t="s">
        <v>46</v>
      </c>
      <c r="P334" s="4" t="s">
        <v>47</v>
      </c>
      <c r="Q334" s="4">
        <v>16451.0</v>
      </c>
      <c r="R334" s="5" t="s">
        <v>1988</v>
      </c>
      <c r="S334" s="8">
        <v>46180.0</v>
      </c>
      <c r="T334" s="9">
        <v>0.375</v>
      </c>
      <c r="U334" s="9">
        <v>0.9166666666666666</v>
      </c>
      <c r="V334" s="4" t="s">
        <v>49</v>
      </c>
      <c r="W334" s="5">
        <v>1.0</v>
      </c>
      <c r="X334" s="5" t="b">
        <v>1</v>
      </c>
      <c r="Y334" s="5" t="s">
        <v>50</v>
      </c>
      <c r="Z334" s="5" t="b">
        <v>0</v>
      </c>
      <c r="AA334" s="10"/>
      <c r="AB334" s="4">
        <v>1.0</v>
      </c>
      <c r="AC334" s="11" t="s">
        <v>1989</v>
      </c>
      <c r="AD334" s="5">
        <v>0.0</v>
      </c>
      <c r="AE334" s="5">
        <v>1.0</v>
      </c>
      <c r="AF334" s="8">
        <v>46180.0</v>
      </c>
      <c r="AG334" s="9">
        <v>0.375</v>
      </c>
      <c r="AH334" s="9">
        <v>0.9166666666666666</v>
      </c>
      <c r="AI334" s="4" t="s">
        <v>49</v>
      </c>
      <c r="AJ334" s="5" t="s">
        <v>1990</v>
      </c>
      <c r="AK334" s="12"/>
      <c r="AL334" s="12"/>
      <c r="AM334" s="12"/>
      <c r="AN334" s="12"/>
      <c r="AO334" s="12"/>
      <c r="AP334" s="12"/>
      <c r="AQ334" s="12"/>
    </row>
    <row r="335">
      <c r="A335" s="5" t="s">
        <v>1991</v>
      </c>
      <c r="B335" s="5">
        <v>1.1398423E7</v>
      </c>
      <c r="C335" s="5" t="s">
        <v>37</v>
      </c>
      <c r="D335" s="5" t="s">
        <v>1992</v>
      </c>
      <c r="E335" s="5" t="s">
        <v>39</v>
      </c>
      <c r="F335" s="5" t="s">
        <v>1993</v>
      </c>
      <c r="G335" s="15">
        <v>6.28314E17</v>
      </c>
      <c r="H335" s="5" t="s">
        <v>1994</v>
      </c>
      <c r="I335" s="5" t="s">
        <v>42</v>
      </c>
      <c r="J335" s="5" t="s">
        <v>43</v>
      </c>
      <c r="K335" s="5">
        <v>8.7733785699E10</v>
      </c>
      <c r="L335" s="4" t="s">
        <v>44</v>
      </c>
      <c r="M335" s="5" t="s">
        <v>42</v>
      </c>
      <c r="N335" s="4" t="s">
        <v>45</v>
      </c>
      <c r="O335" s="4" t="s">
        <v>46</v>
      </c>
      <c r="P335" s="4" t="s">
        <v>47</v>
      </c>
      <c r="Q335" s="4">
        <v>16451.0</v>
      </c>
      <c r="R335" s="5" t="s">
        <v>1995</v>
      </c>
      <c r="S335" s="8">
        <v>46180.0</v>
      </c>
      <c r="T335" s="9">
        <v>0.375</v>
      </c>
      <c r="U335" s="9">
        <v>0.9166666666666666</v>
      </c>
      <c r="V335" s="4" t="s">
        <v>49</v>
      </c>
      <c r="W335" s="5">
        <v>1.0</v>
      </c>
      <c r="X335" s="5" t="b">
        <v>1</v>
      </c>
      <c r="Y335" s="5" t="s">
        <v>50</v>
      </c>
      <c r="Z335" s="5" t="b">
        <v>0</v>
      </c>
      <c r="AA335" s="10"/>
      <c r="AB335" s="4">
        <v>1.0</v>
      </c>
      <c r="AC335" s="11" t="s">
        <v>1996</v>
      </c>
      <c r="AD335" s="5">
        <v>0.0</v>
      </c>
      <c r="AE335" s="5">
        <v>1.0</v>
      </c>
      <c r="AF335" s="8">
        <v>46180.0</v>
      </c>
      <c r="AG335" s="9">
        <v>0.375</v>
      </c>
      <c r="AH335" s="9">
        <v>0.9166666666666666</v>
      </c>
      <c r="AI335" s="4" t="s">
        <v>49</v>
      </c>
      <c r="AJ335" s="5" t="s">
        <v>1997</v>
      </c>
      <c r="AK335" s="12"/>
      <c r="AL335" s="12"/>
      <c r="AM335" s="12"/>
      <c r="AN335" s="12"/>
      <c r="AO335" s="12"/>
      <c r="AP335" s="12"/>
      <c r="AQ335" s="12"/>
    </row>
    <row r="336">
      <c r="A336" s="5" t="s">
        <v>1998</v>
      </c>
      <c r="B336" s="5">
        <v>1.1398423E7</v>
      </c>
      <c r="C336" s="5" t="s">
        <v>37</v>
      </c>
      <c r="D336" s="5" t="s">
        <v>1999</v>
      </c>
      <c r="E336" s="5" t="s">
        <v>39</v>
      </c>
      <c r="F336" s="5" t="s">
        <v>2000</v>
      </c>
      <c r="G336" s="15">
        <v>8.1212834867E10</v>
      </c>
      <c r="H336" s="5" t="s">
        <v>2001</v>
      </c>
      <c r="I336" s="5" t="s">
        <v>42</v>
      </c>
      <c r="J336" s="5" t="s">
        <v>43</v>
      </c>
      <c r="K336" s="5">
        <v>8.7733785699E10</v>
      </c>
      <c r="L336" s="4" t="s">
        <v>44</v>
      </c>
      <c r="M336" s="5" t="s">
        <v>42</v>
      </c>
      <c r="N336" s="4" t="s">
        <v>45</v>
      </c>
      <c r="O336" s="4" t="s">
        <v>46</v>
      </c>
      <c r="P336" s="4" t="s">
        <v>47</v>
      </c>
      <c r="Q336" s="4">
        <v>16451.0</v>
      </c>
      <c r="R336" s="5" t="s">
        <v>2002</v>
      </c>
      <c r="S336" s="8">
        <v>46180.0</v>
      </c>
      <c r="T336" s="9">
        <v>0.375</v>
      </c>
      <c r="U336" s="9">
        <v>0.9166666666666666</v>
      </c>
      <c r="V336" s="4" t="s">
        <v>49</v>
      </c>
      <c r="W336" s="5">
        <v>1.0</v>
      </c>
      <c r="X336" s="5" t="b">
        <v>1</v>
      </c>
      <c r="Y336" s="5" t="s">
        <v>50</v>
      </c>
      <c r="Z336" s="5" t="b">
        <v>0</v>
      </c>
      <c r="AA336" s="10"/>
      <c r="AB336" s="4">
        <v>1.0</v>
      </c>
      <c r="AC336" s="11" t="s">
        <v>2003</v>
      </c>
      <c r="AD336" s="5">
        <v>0.0</v>
      </c>
      <c r="AE336" s="5">
        <v>1.0</v>
      </c>
      <c r="AF336" s="8">
        <v>46180.0</v>
      </c>
      <c r="AG336" s="9">
        <v>0.375</v>
      </c>
      <c r="AH336" s="9">
        <v>0.9166666666666666</v>
      </c>
      <c r="AI336" s="4" t="s">
        <v>49</v>
      </c>
      <c r="AJ336" s="5" t="s">
        <v>2004</v>
      </c>
      <c r="AK336" s="12"/>
      <c r="AL336" s="12"/>
      <c r="AM336" s="12"/>
      <c r="AN336" s="12"/>
      <c r="AO336" s="12"/>
      <c r="AP336" s="12"/>
      <c r="AQ336" s="12"/>
    </row>
    <row r="337">
      <c r="A337" s="5" t="s">
        <v>2005</v>
      </c>
      <c r="B337" s="5">
        <v>1.1398423E7</v>
      </c>
      <c r="C337" s="5" t="s">
        <v>37</v>
      </c>
      <c r="D337" s="5" t="s">
        <v>2006</v>
      </c>
      <c r="E337" s="5" t="s">
        <v>39</v>
      </c>
      <c r="F337" s="5" t="s">
        <v>834</v>
      </c>
      <c r="G337" s="15">
        <v>6.28121E17</v>
      </c>
      <c r="H337" s="5" t="s">
        <v>835</v>
      </c>
      <c r="I337" s="5" t="s">
        <v>42</v>
      </c>
      <c r="J337" s="5" t="s">
        <v>43</v>
      </c>
      <c r="K337" s="5">
        <v>8.7733785699E10</v>
      </c>
      <c r="L337" s="4" t="s">
        <v>44</v>
      </c>
      <c r="M337" s="5" t="s">
        <v>42</v>
      </c>
      <c r="N337" s="4" t="s">
        <v>45</v>
      </c>
      <c r="O337" s="4" t="s">
        <v>46</v>
      </c>
      <c r="P337" s="4" t="s">
        <v>47</v>
      </c>
      <c r="Q337" s="4">
        <v>16451.0</v>
      </c>
      <c r="R337" s="5" t="s">
        <v>2007</v>
      </c>
      <c r="S337" s="8">
        <v>46180.0</v>
      </c>
      <c r="T337" s="9">
        <v>0.375</v>
      </c>
      <c r="U337" s="9">
        <v>0.9166666666666666</v>
      </c>
      <c r="V337" s="4" t="s">
        <v>49</v>
      </c>
      <c r="W337" s="5">
        <v>1.0</v>
      </c>
      <c r="X337" s="5" t="b">
        <v>1</v>
      </c>
      <c r="Y337" s="5" t="s">
        <v>50</v>
      </c>
      <c r="Z337" s="5" t="b">
        <v>0</v>
      </c>
      <c r="AA337" s="10"/>
      <c r="AB337" s="4">
        <v>1.0</v>
      </c>
      <c r="AC337" s="11" t="s">
        <v>2008</v>
      </c>
      <c r="AD337" s="5">
        <v>0.0</v>
      </c>
      <c r="AE337" s="5">
        <v>1.0</v>
      </c>
      <c r="AF337" s="8">
        <v>46180.0</v>
      </c>
      <c r="AG337" s="9">
        <v>0.375</v>
      </c>
      <c r="AH337" s="9">
        <v>0.9166666666666666</v>
      </c>
      <c r="AI337" s="4" t="s">
        <v>49</v>
      </c>
      <c r="AJ337" s="5" t="s">
        <v>2009</v>
      </c>
      <c r="AK337" s="12"/>
      <c r="AL337" s="12"/>
      <c r="AM337" s="12"/>
      <c r="AN337" s="12"/>
      <c r="AO337" s="12"/>
      <c r="AP337" s="12"/>
      <c r="AQ337" s="12"/>
    </row>
    <row r="338">
      <c r="A338" s="5" t="s">
        <v>2010</v>
      </c>
      <c r="B338" s="5">
        <v>1.1398423E7</v>
      </c>
      <c r="C338" s="5" t="s">
        <v>37</v>
      </c>
      <c r="D338" s="5" t="s">
        <v>2011</v>
      </c>
      <c r="E338" s="5" t="s">
        <v>39</v>
      </c>
      <c r="F338" s="5" t="s">
        <v>2012</v>
      </c>
      <c r="G338" s="15">
        <v>6.28191E17</v>
      </c>
      <c r="H338" s="5" t="s">
        <v>2013</v>
      </c>
      <c r="I338" s="5" t="s">
        <v>42</v>
      </c>
      <c r="J338" s="5" t="s">
        <v>43</v>
      </c>
      <c r="K338" s="5">
        <v>8.7733785699E10</v>
      </c>
      <c r="L338" s="4" t="s">
        <v>44</v>
      </c>
      <c r="M338" s="5" t="s">
        <v>42</v>
      </c>
      <c r="N338" s="4" t="s">
        <v>45</v>
      </c>
      <c r="O338" s="4" t="s">
        <v>46</v>
      </c>
      <c r="P338" s="4" t="s">
        <v>47</v>
      </c>
      <c r="Q338" s="4">
        <v>16451.0</v>
      </c>
      <c r="R338" s="5" t="s">
        <v>2014</v>
      </c>
      <c r="S338" s="8">
        <v>46180.0</v>
      </c>
      <c r="T338" s="9">
        <v>0.375</v>
      </c>
      <c r="U338" s="9">
        <v>0.9166666666666666</v>
      </c>
      <c r="V338" s="4" t="s">
        <v>49</v>
      </c>
      <c r="W338" s="5">
        <v>1.0</v>
      </c>
      <c r="X338" s="5" t="b">
        <v>1</v>
      </c>
      <c r="Y338" s="5" t="s">
        <v>50</v>
      </c>
      <c r="Z338" s="5" t="b">
        <v>0</v>
      </c>
      <c r="AA338" s="10"/>
      <c r="AB338" s="4">
        <v>1.0</v>
      </c>
      <c r="AC338" s="11" t="s">
        <v>2015</v>
      </c>
      <c r="AD338" s="5">
        <v>0.0</v>
      </c>
      <c r="AE338" s="5">
        <v>1.0</v>
      </c>
      <c r="AF338" s="8">
        <v>46180.0</v>
      </c>
      <c r="AG338" s="9">
        <v>0.375</v>
      </c>
      <c r="AH338" s="9">
        <v>0.9166666666666666</v>
      </c>
      <c r="AI338" s="4" t="s">
        <v>49</v>
      </c>
      <c r="AJ338" s="5" t="s">
        <v>2016</v>
      </c>
      <c r="AK338" s="12"/>
      <c r="AL338" s="12"/>
      <c r="AM338" s="12"/>
      <c r="AN338" s="12"/>
      <c r="AO338" s="12"/>
      <c r="AP338" s="12"/>
      <c r="AQ338" s="12"/>
    </row>
    <row r="339">
      <c r="A339" s="5" t="s">
        <v>2017</v>
      </c>
      <c r="B339" s="5">
        <v>1.1398423E7</v>
      </c>
      <c r="C339" s="5" t="s">
        <v>37</v>
      </c>
      <c r="D339" s="5" t="s">
        <v>1046</v>
      </c>
      <c r="E339" s="5" t="s">
        <v>39</v>
      </c>
      <c r="F339" s="5" t="s">
        <v>516</v>
      </c>
      <c r="G339" s="15">
        <v>6.28132E17</v>
      </c>
      <c r="H339" s="5" t="s">
        <v>517</v>
      </c>
      <c r="I339" s="5" t="s">
        <v>42</v>
      </c>
      <c r="J339" s="5" t="s">
        <v>43</v>
      </c>
      <c r="K339" s="5">
        <v>8.7733785699E10</v>
      </c>
      <c r="L339" s="4" t="s">
        <v>44</v>
      </c>
      <c r="M339" s="5" t="s">
        <v>42</v>
      </c>
      <c r="N339" s="4" t="s">
        <v>45</v>
      </c>
      <c r="O339" s="4" t="s">
        <v>46</v>
      </c>
      <c r="P339" s="4" t="s">
        <v>187</v>
      </c>
      <c r="Q339" s="4">
        <v>16451.0</v>
      </c>
      <c r="R339" s="5" t="s">
        <v>2018</v>
      </c>
      <c r="S339" s="8">
        <v>46182.0</v>
      </c>
      <c r="T339" s="9">
        <v>0.375</v>
      </c>
      <c r="U339" s="9">
        <v>0.9166666666666666</v>
      </c>
      <c r="V339" s="4" t="s">
        <v>49</v>
      </c>
      <c r="W339" s="5">
        <v>1.0</v>
      </c>
      <c r="X339" s="5" t="b">
        <v>1</v>
      </c>
      <c r="Y339" s="5" t="s">
        <v>189</v>
      </c>
      <c r="Z339" s="5" t="b">
        <v>0</v>
      </c>
      <c r="AA339" s="10"/>
      <c r="AB339" s="4">
        <v>1.0</v>
      </c>
      <c r="AC339" s="11" t="s">
        <v>2019</v>
      </c>
      <c r="AD339" s="5">
        <v>0.0</v>
      </c>
      <c r="AE339" s="5">
        <v>1.0</v>
      </c>
      <c r="AF339" s="8">
        <v>46182.0</v>
      </c>
      <c r="AG339" s="9">
        <v>0.375</v>
      </c>
      <c r="AH339" s="9">
        <v>0.9166666666666666</v>
      </c>
      <c r="AI339" s="4" t="s">
        <v>49</v>
      </c>
      <c r="AJ339" s="5" t="s">
        <v>2020</v>
      </c>
      <c r="AK339" s="12"/>
      <c r="AL339" s="12">
        <v>46181.0</v>
      </c>
      <c r="AM339" s="12"/>
      <c r="AN339" s="12"/>
      <c r="AO339" s="12"/>
      <c r="AP339" s="12"/>
      <c r="AQ339" s="12"/>
    </row>
    <row r="340">
      <c r="A340" s="5" t="s">
        <v>2021</v>
      </c>
      <c r="B340" s="5">
        <v>1.1398423E7</v>
      </c>
      <c r="C340" s="5" t="s">
        <v>37</v>
      </c>
      <c r="D340" s="5" t="s">
        <v>2022</v>
      </c>
      <c r="E340" s="5" t="s">
        <v>39</v>
      </c>
      <c r="F340" s="5" t="s">
        <v>2023</v>
      </c>
      <c r="G340" s="15">
        <v>6.2813E16</v>
      </c>
      <c r="H340" s="5" t="s">
        <v>2024</v>
      </c>
      <c r="I340" s="5" t="s">
        <v>42</v>
      </c>
      <c r="J340" s="5" t="s">
        <v>43</v>
      </c>
      <c r="K340" s="5">
        <v>8.7733785699E10</v>
      </c>
      <c r="L340" s="4" t="s">
        <v>44</v>
      </c>
      <c r="M340" s="5" t="s">
        <v>42</v>
      </c>
      <c r="N340" s="4" t="s">
        <v>45</v>
      </c>
      <c r="O340" s="4" t="s">
        <v>46</v>
      </c>
      <c r="P340" s="4" t="s">
        <v>187</v>
      </c>
      <c r="Q340" s="4">
        <v>16451.0</v>
      </c>
      <c r="R340" s="5" t="s">
        <v>2025</v>
      </c>
      <c r="S340" s="8">
        <v>46182.0</v>
      </c>
      <c r="T340" s="9">
        <v>0.375</v>
      </c>
      <c r="U340" s="9">
        <v>0.9166666666666666</v>
      </c>
      <c r="V340" s="4" t="s">
        <v>49</v>
      </c>
      <c r="W340" s="5">
        <v>1.0</v>
      </c>
      <c r="X340" s="5" t="b">
        <v>1</v>
      </c>
      <c r="Y340" s="5" t="s">
        <v>189</v>
      </c>
      <c r="Z340" s="5" t="b">
        <v>0</v>
      </c>
      <c r="AA340" s="10"/>
      <c r="AB340" s="4">
        <v>1.0</v>
      </c>
      <c r="AC340" s="11" t="s">
        <v>2026</v>
      </c>
      <c r="AD340" s="5">
        <v>0.0</v>
      </c>
      <c r="AE340" s="5">
        <v>1.0</v>
      </c>
      <c r="AF340" s="8">
        <v>46182.0</v>
      </c>
      <c r="AG340" s="9">
        <v>0.375</v>
      </c>
      <c r="AH340" s="9">
        <v>0.9166666666666666</v>
      </c>
      <c r="AI340" s="4" t="s">
        <v>49</v>
      </c>
      <c r="AJ340" s="5" t="s">
        <v>2027</v>
      </c>
      <c r="AK340" s="12"/>
      <c r="AL340" s="12">
        <v>46181.0</v>
      </c>
      <c r="AM340" s="12"/>
      <c r="AN340" s="12"/>
      <c r="AO340" s="12"/>
      <c r="AP340" s="12"/>
      <c r="AQ340" s="12"/>
    </row>
    <row r="341">
      <c r="A341" s="5" t="s">
        <v>2028</v>
      </c>
      <c r="B341" s="5">
        <v>1.1398423E7</v>
      </c>
      <c r="C341" s="5" t="s">
        <v>37</v>
      </c>
      <c r="D341" s="5" t="s">
        <v>2029</v>
      </c>
      <c r="E341" s="5" t="s">
        <v>39</v>
      </c>
      <c r="F341" s="5" t="s">
        <v>2030</v>
      </c>
      <c r="G341" s="15">
        <v>6.28788E17</v>
      </c>
      <c r="H341" s="5" t="s">
        <v>2031</v>
      </c>
      <c r="I341" s="5" t="s">
        <v>42</v>
      </c>
      <c r="J341" s="5" t="s">
        <v>43</v>
      </c>
      <c r="K341" s="5">
        <v>8.7733785699E10</v>
      </c>
      <c r="L341" s="4" t="s">
        <v>44</v>
      </c>
      <c r="M341" s="5" t="s">
        <v>42</v>
      </c>
      <c r="N341" s="4" t="s">
        <v>45</v>
      </c>
      <c r="O341" s="4" t="s">
        <v>46</v>
      </c>
      <c r="P341" s="4" t="s">
        <v>187</v>
      </c>
      <c r="Q341" s="4">
        <v>16451.0</v>
      </c>
      <c r="R341" s="5" t="s">
        <v>2032</v>
      </c>
      <c r="S341" s="8">
        <v>46182.0</v>
      </c>
      <c r="T341" s="9">
        <v>0.375</v>
      </c>
      <c r="U341" s="9">
        <v>0.9166666666666666</v>
      </c>
      <c r="V341" s="4" t="s">
        <v>49</v>
      </c>
      <c r="W341" s="5">
        <v>1.0</v>
      </c>
      <c r="X341" s="5" t="b">
        <v>1</v>
      </c>
      <c r="Y341" s="5" t="s">
        <v>189</v>
      </c>
      <c r="Z341" s="5" t="b">
        <v>0</v>
      </c>
      <c r="AA341" s="10"/>
      <c r="AB341" s="4">
        <v>1.0</v>
      </c>
      <c r="AC341" s="11" t="s">
        <v>2033</v>
      </c>
      <c r="AD341" s="5">
        <v>0.0</v>
      </c>
      <c r="AE341" s="5">
        <v>1.0</v>
      </c>
      <c r="AF341" s="8">
        <v>46182.0</v>
      </c>
      <c r="AG341" s="9">
        <v>0.375</v>
      </c>
      <c r="AH341" s="9">
        <v>0.9166666666666666</v>
      </c>
      <c r="AI341" s="4" t="s">
        <v>49</v>
      </c>
      <c r="AJ341" s="5" t="s">
        <v>2034</v>
      </c>
      <c r="AK341" s="12"/>
      <c r="AL341" s="12">
        <v>46181.0</v>
      </c>
      <c r="AM341" s="12"/>
      <c r="AN341" s="12"/>
      <c r="AO341" s="12"/>
      <c r="AP341" s="12"/>
      <c r="AQ341" s="12"/>
    </row>
    <row r="342">
      <c r="A342" s="5" t="s">
        <v>2035</v>
      </c>
      <c r="B342" s="5">
        <v>1.1398423E7</v>
      </c>
      <c r="C342" s="5" t="s">
        <v>37</v>
      </c>
      <c r="D342" s="5" t="s">
        <v>2036</v>
      </c>
      <c r="E342" s="5" t="s">
        <v>39</v>
      </c>
      <c r="F342" s="5" t="s">
        <v>2037</v>
      </c>
      <c r="G342" s="15">
        <v>6.28787E17</v>
      </c>
      <c r="H342" s="5" t="s">
        <v>2038</v>
      </c>
      <c r="I342" s="5" t="s">
        <v>42</v>
      </c>
      <c r="J342" s="5" t="s">
        <v>43</v>
      </c>
      <c r="K342" s="5">
        <v>8.7733785699E10</v>
      </c>
      <c r="L342" s="4" t="s">
        <v>44</v>
      </c>
      <c r="M342" s="5" t="s">
        <v>42</v>
      </c>
      <c r="N342" s="4" t="s">
        <v>45</v>
      </c>
      <c r="O342" s="4" t="s">
        <v>46</v>
      </c>
      <c r="P342" s="4" t="s">
        <v>187</v>
      </c>
      <c r="Q342" s="4">
        <v>16451.0</v>
      </c>
      <c r="R342" s="5" t="s">
        <v>2039</v>
      </c>
      <c r="S342" s="8">
        <v>46182.0</v>
      </c>
      <c r="T342" s="9">
        <v>0.375</v>
      </c>
      <c r="U342" s="9">
        <v>0.9166666666666666</v>
      </c>
      <c r="V342" s="4" t="s">
        <v>49</v>
      </c>
      <c r="W342" s="5">
        <v>1.0</v>
      </c>
      <c r="X342" s="5" t="b">
        <v>1</v>
      </c>
      <c r="Y342" s="5" t="s">
        <v>189</v>
      </c>
      <c r="Z342" s="5" t="b">
        <v>0</v>
      </c>
      <c r="AA342" s="10"/>
      <c r="AB342" s="4">
        <v>1.0</v>
      </c>
      <c r="AC342" s="11" t="s">
        <v>2040</v>
      </c>
      <c r="AD342" s="5">
        <v>0.0</v>
      </c>
      <c r="AE342" s="5">
        <v>1.0</v>
      </c>
      <c r="AF342" s="8">
        <v>46182.0</v>
      </c>
      <c r="AG342" s="9">
        <v>0.375</v>
      </c>
      <c r="AH342" s="9">
        <v>0.9166666666666666</v>
      </c>
      <c r="AI342" s="4" t="s">
        <v>49</v>
      </c>
      <c r="AJ342" s="5" t="s">
        <v>2041</v>
      </c>
      <c r="AK342" s="12"/>
      <c r="AL342" s="12">
        <v>46181.0</v>
      </c>
      <c r="AM342" s="12"/>
      <c r="AN342" s="12"/>
      <c r="AO342" s="12"/>
      <c r="AP342" s="12"/>
      <c r="AQ342" s="12"/>
    </row>
    <row r="343">
      <c r="A343" s="5" t="s">
        <v>2042</v>
      </c>
      <c r="B343" s="5">
        <v>1.1398423E7</v>
      </c>
      <c r="C343" s="5" t="s">
        <v>37</v>
      </c>
      <c r="D343" s="5" t="s">
        <v>2043</v>
      </c>
      <c r="E343" s="5" t="s">
        <v>39</v>
      </c>
      <c r="F343" s="5" t="s">
        <v>2044</v>
      </c>
      <c r="G343" s="15">
        <v>8.5341917925E10</v>
      </c>
      <c r="H343" s="5" t="s">
        <v>2045</v>
      </c>
      <c r="I343" s="5" t="s">
        <v>42</v>
      </c>
      <c r="J343" s="5" t="s">
        <v>43</v>
      </c>
      <c r="K343" s="5">
        <v>8.7733785699E10</v>
      </c>
      <c r="L343" s="4" t="s">
        <v>44</v>
      </c>
      <c r="M343" s="5" t="s">
        <v>42</v>
      </c>
      <c r="N343" s="4" t="s">
        <v>45</v>
      </c>
      <c r="O343" s="4" t="s">
        <v>46</v>
      </c>
      <c r="P343" s="4" t="s">
        <v>187</v>
      </c>
      <c r="Q343" s="4">
        <v>16451.0</v>
      </c>
      <c r="R343" s="5" t="s">
        <v>2046</v>
      </c>
      <c r="S343" s="8">
        <v>46182.0</v>
      </c>
      <c r="T343" s="9">
        <v>0.375</v>
      </c>
      <c r="U343" s="9">
        <v>0.9166666666666666</v>
      </c>
      <c r="V343" s="4" t="s">
        <v>49</v>
      </c>
      <c r="W343" s="5">
        <v>1.0</v>
      </c>
      <c r="X343" s="5" t="b">
        <v>1</v>
      </c>
      <c r="Y343" s="5" t="s">
        <v>189</v>
      </c>
      <c r="Z343" s="5" t="b">
        <v>0</v>
      </c>
      <c r="AA343" s="10"/>
      <c r="AB343" s="4">
        <v>1.0</v>
      </c>
      <c r="AC343" s="11" t="s">
        <v>2047</v>
      </c>
      <c r="AD343" s="5">
        <v>0.0</v>
      </c>
      <c r="AE343" s="5">
        <v>1.0</v>
      </c>
      <c r="AF343" s="8">
        <v>46182.0</v>
      </c>
      <c r="AG343" s="9">
        <v>0.375</v>
      </c>
      <c r="AH343" s="9">
        <v>0.9166666666666666</v>
      </c>
      <c r="AI343" s="4" t="s">
        <v>49</v>
      </c>
      <c r="AJ343" s="5" t="s">
        <v>2048</v>
      </c>
      <c r="AK343" s="12"/>
      <c r="AL343" s="12">
        <v>46181.0</v>
      </c>
      <c r="AM343" s="12"/>
      <c r="AN343" s="12"/>
      <c r="AO343" s="12"/>
      <c r="AP343" s="12"/>
      <c r="AQ343" s="12"/>
    </row>
    <row r="344">
      <c r="A344" s="5" t="s">
        <v>2049</v>
      </c>
      <c r="B344" s="5">
        <v>1.1398423E7</v>
      </c>
      <c r="C344" s="5" t="s">
        <v>37</v>
      </c>
      <c r="D344" s="5" t="s">
        <v>2050</v>
      </c>
      <c r="E344" s="5" t="s">
        <v>39</v>
      </c>
      <c r="F344" s="5" t="s">
        <v>1057</v>
      </c>
      <c r="G344" s="15">
        <v>8.128125437E9</v>
      </c>
      <c r="H344" s="5" t="s">
        <v>1058</v>
      </c>
      <c r="I344" s="5" t="s">
        <v>42</v>
      </c>
      <c r="J344" s="5" t="s">
        <v>43</v>
      </c>
      <c r="K344" s="5">
        <v>8.7733785699E10</v>
      </c>
      <c r="L344" s="4" t="s">
        <v>44</v>
      </c>
      <c r="M344" s="5" t="s">
        <v>42</v>
      </c>
      <c r="N344" s="4" t="s">
        <v>45</v>
      </c>
      <c r="O344" s="4" t="s">
        <v>46</v>
      </c>
      <c r="P344" s="4" t="s">
        <v>187</v>
      </c>
      <c r="Q344" s="4">
        <v>16451.0</v>
      </c>
      <c r="R344" s="5" t="s">
        <v>2051</v>
      </c>
      <c r="S344" s="8">
        <v>46182.0</v>
      </c>
      <c r="T344" s="9">
        <v>0.375</v>
      </c>
      <c r="U344" s="9">
        <v>0.9166666666666666</v>
      </c>
      <c r="V344" s="4" t="s">
        <v>49</v>
      </c>
      <c r="W344" s="5">
        <v>1.0</v>
      </c>
      <c r="X344" s="5" t="b">
        <v>1</v>
      </c>
      <c r="Y344" s="5" t="s">
        <v>189</v>
      </c>
      <c r="Z344" s="5" t="b">
        <v>0</v>
      </c>
      <c r="AA344" s="10"/>
      <c r="AB344" s="4">
        <v>1.0</v>
      </c>
      <c r="AC344" s="11" t="s">
        <v>2052</v>
      </c>
      <c r="AD344" s="5">
        <v>0.0</v>
      </c>
      <c r="AE344" s="5">
        <v>1.0</v>
      </c>
      <c r="AF344" s="8">
        <v>46182.0</v>
      </c>
      <c r="AG344" s="9">
        <v>0.375</v>
      </c>
      <c r="AH344" s="9">
        <v>0.9166666666666666</v>
      </c>
      <c r="AI344" s="4" t="s">
        <v>49</v>
      </c>
      <c r="AJ344" s="5" t="s">
        <v>2053</v>
      </c>
      <c r="AK344" s="12"/>
      <c r="AL344" s="12">
        <v>46181.0</v>
      </c>
      <c r="AM344" s="12"/>
      <c r="AN344" s="12"/>
      <c r="AO344" s="12"/>
      <c r="AP344" s="12"/>
      <c r="AQ344" s="12"/>
    </row>
    <row r="345">
      <c r="A345" s="5" t="s">
        <v>2054</v>
      </c>
      <c r="B345" s="5">
        <v>1.1398423E7</v>
      </c>
      <c r="C345" s="5" t="s">
        <v>37</v>
      </c>
      <c r="D345" s="5" t="s">
        <v>2055</v>
      </c>
      <c r="E345" s="5" t="s">
        <v>39</v>
      </c>
      <c r="F345" s="5" t="s">
        <v>1291</v>
      </c>
      <c r="G345" s="15">
        <v>6.28139E17</v>
      </c>
      <c r="H345" s="5" t="s">
        <v>1292</v>
      </c>
      <c r="I345" s="5" t="s">
        <v>42</v>
      </c>
      <c r="J345" s="5" t="s">
        <v>43</v>
      </c>
      <c r="K345" s="5">
        <v>8.7733785699E10</v>
      </c>
      <c r="L345" s="4" t="s">
        <v>44</v>
      </c>
      <c r="M345" s="5" t="s">
        <v>42</v>
      </c>
      <c r="N345" s="4" t="s">
        <v>45</v>
      </c>
      <c r="O345" s="4" t="s">
        <v>46</v>
      </c>
      <c r="P345" s="4" t="s">
        <v>187</v>
      </c>
      <c r="Q345" s="4">
        <v>16451.0</v>
      </c>
      <c r="R345" s="5" t="s">
        <v>2056</v>
      </c>
      <c r="S345" s="8">
        <v>46182.0</v>
      </c>
      <c r="T345" s="9">
        <v>0.375</v>
      </c>
      <c r="U345" s="9">
        <v>0.9166666666666666</v>
      </c>
      <c r="V345" s="4" t="s">
        <v>49</v>
      </c>
      <c r="W345" s="5">
        <v>1.0</v>
      </c>
      <c r="X345" s="5" t="b">
        <v>1</v>
      </c>
      <c r="Y345" s="5" t="s">
        <v>189</v>
      </c>
      <c r="Z345" s="5" t="b">
        <v>0</v>
      </c>
      <c r="AA345" s="10"/>
      <c r="AB345" s="4">
        <v>1.0</v>
      </c>
      <c r="AC345" s="11" t="s">
        <v>2057</v>
      </c>
      <c r="AD345" s="5">
        <v>0.0</v>
      </c>
      <c r="AE345" s="5">
        <v>1.0</v>
      </c>
      <c r="AF345" s="8">
        <v>46182.0</v>
      </c>
      <c r="AG345" s="9">
        <v>0.375</v>
      </c>
      <c r="AH345" s="9">
        <v>0.9166666666666666</v>
      </c>
      <c r="AI345" s="4" t="s">
        <v>49</v>
      </c>
      <c r="AJ345" s="5" t="s">
        <v>2058</v>
      </c>
      <c r="AK345" s="12"/>
      <c r="AL345" s="12">
        <v>46181.0</v>
      </c>
      <c r="AM345" s="12"/>
      <c r="AN345" s="12"/>
      <c r="AO345" s="12"/>
      <c r="AP345" s="12"/>
      <c r="AQ345" s="12"/>
    </row>
    <row r="346">
      <c r="A346" s="5" t="s">
        <v>2059</v>
      </c>
      <c r="B346" s="5">
        <v>1.1398423E7</v>
      </c>
      <c r="C346" s="5" t="s">
        <v>37</v>
      </c>
      <c r="D346" s="5" t="s">
        <v>2060</v>
      </c>
      <c r="E346" s="5" t="s">
        <v>39</v>
      </c>
      <c r="F346" s="5" t="s">
        <v>2061</v>
      </c>
      <c r="G346" s="15">
        <v>6.28528E17</v>
      </c>
      <c r="H346" s="5" t="s">
        <v>2062</v>
      </c>
      <c r="I346" s="5" t="s">
        <v>42</v>
      </c>
      <c r="J346" s="5" t="s">
        <v>43</v>
      </c>
      <c r="K346" s="5">
        <v>8.7733785699E10</v>
      </c>
      <c r="L346" s="4" t="s">
        <v>44</v>
      </c>
      <c r="M346" s="5" t="s">
        <v>42</v>
      </c>
      <c r="N346" s="4" t="s">
        <v>45</v>
      </c>
      <c r="O346" s="4" t="s">
        <v>46</v>
      </c>
      <c r="P346" s="4" t="s">
        <v>187</v>
      </c>
      <c r="Q346" s="4">
        <v>16451.0</v>
      </c>
      <c r="R346" s="5" t="s">
        <v>2063</v>
      </c>
      <c r="S346" s="8">
        <v>46182.0</v>
      </c>
      <c r="T346" s="9">
        <v>0.375</v>
      </c>
      <c r="U346" s="9">
        <v>0.9166666666666666</v>
      </c>
      <c r="V346" s="4" t="s">
        <v>49</v>
      </c>
      <c r="W346" s="5">
        <v>1.0</v>
      </c>
      <c r="X346" s="5" t="b">
        <v>1</v>
      </c>
      <c r="Y346" s="5" t="s">
        <v>189</v>
      </c>
      <c r="Z346" s="5" t="b">
        <v>0</v>
      </c>
      <c r="AA346" s="10"/>
      <c r="AB346" s="4">
        <v>1.0</v>
      </c>
      <c r="AC346" s="11" t="s">
        <v>2064</v>
      </c>
      <c r="AD346" s="5">
        <v>0.0</v>
      </c>
      <c r="AE346" s="5">
        <v>1.0</v>
      </c>
      <c r="AF346" s="8">
        <v>46182.0</v>
      </c>
      <c r="AG346" s="9">
        <v>0.375</v>
      </c>
      <c r="AH346" s="9">
        <v>0.9166666666666666</v>
      </c>
      <c r="AI346" s="4" t="s">
        <v>49</v>
      </c>
      <c r="AJ346" s="5" t="s">
        <v>2065</v>
      </c>
      <c r="AK346" s="12"/>
      <c r="AL346" s="12">
        <v>46181.0</v>
      </c>
      <c r="AM346" s="12"/>
      <c r="AN346" s="12"/>
      <c r="AO346" s="12"/>
      <c r="AP346" s="12"/>
      <c r="AQ346" s="12"/>
    </row>
    <row r="347">
      <c r="A347" s="5" t="s">
        <v>2066</v>
      </c>
      <c r="B347" s="5">
        <v>1.1398423E7</v>
      </c>
      <c r="C347" s="5" t="s">
        <v>37</v>
      </c>
      <c r="D347" s="5" t="s">
        <v>2067</v>
      </c>
      <c r="E347" s="5" t="s">
        <v>39</v>
      </c>
      <c r="F347" s="5" t="s">
        <v>2068</v>
      </c>
      <c r="G347" s="15">
        <v>6.28219E17</v>
      </c>
      <c r="H347" s="5" t="s">
        <v>2069</v>
      </c>
      <c r="I347" s="5" t="s">
        <v>42</v>
      </c>
      <c r="J347" s="5" t="s">
        <v>43</v>
      </c>
      <c r="K347" s="5">
        <v>8.7733785699E10</v>
      </c>
      <c r="L347" s="4" t="s">
        <v>44</v>
      </c>
      <c r="M347" s="5" t="s">
        <v>42</v>
      </c>
      <c r="N347" s="4" t="s">
        <v>45</v>
      </c>
      <c r="O347" s="4" t="s">
        <v>46</v>
      </c>
      <c r="P347" s="4" t="s">
        <v>187</v>
      </c>
      <c r="Q347" s="4">
        <v>16451.0</v>
      </c>
      <c r="R347" s="5" t="s">
        <v>2070</v>
      </c>
      <c r="S347" s="8">
        <v>46182.0</v>
      </c>
      <c r="T347" s="9">
        <v>0.375</v>
      </c>
      <c r="U347" s="9">
        <v>0.9166666666666666</v>
      </c>
      <c r="V347" s="4" t="s">
        <v>49</v>
      </c>
      <c r="W347" s="5">
        <v>1.0</v>
      </c>
      <c r="X347" s="5" t="b">
        <v>1</v>
      </c>
      <c r="Y347" s="5" t="s">
        <v>189</v>
      </c>
      <c r="Z347" s="5" t="b">
        <v>0</v>
      </c>
      <c r="AA347" s="10"/>
      <c r="AB347" s="4">
        <v>1.0</v>
      </c>
      <c r="AC347" s="11" t="s">
        <v>2071</v>
      </c>
      <c r="AD347" s="5">
        <v>0.0</v>
      </c>
      <c r="AE347" s="5">
        <v>1.0</v>
      </c>
      <c r="AF347" s="8">
        <v>46182.0</v>
      </c>
      <c r="AG347" s="9">
        <v>0.375</v>
      </c>
      <c r="AH347" s="9">
        <v>0.9166666666666666</v>
      </c>
      <c r="AI347" s="4" t="s">
        <v>49</v>
      </c>
      <c r="AJ347" s="5" t="s">
        <v>2072</v>
      </c>
      <c r="AK347" s="12"/>
      <c r="AL347" s="12">
        <v>46181.0</v>
      </c>
      <c r="AM347" s="12"/>
      <c r="AN347" s="12"/>
      <c r="AO347" s="12"/>
      <c r="AP347" s="12"/>
      <c r="AQ347" s="12"/>
    </row>
    <row r="348">
      <c r="A348" s="5" t="s">
        <v>2073</v>
      </c>
      <c r="B348" s="5">
        <v>1.1398423E7</v>
      </c>
      <c r="C348" s="5" t="s">
        <v>37</v>
      </c>
      <c r="D348" s="5" t="s">
        <v>2074</v>
      </c>
      <c r="E348" s="5" t="s">
        <v>39</v>
      </c>
      <c r="F348" s="5" t="s">
        <v>1297</v>
      </c>
      <c r="G348" s="15">
        <v>6.28151E17</v>
      </c>
      <c r="H348" s="5" t="s">
        <v>1298</v>
      </c>
      <c r="I348" s="5" t="s">
        <v>42</v>
      </c>
      <c r="J348" s="5" t="s">
        <v>43</v>
      </c>
      <c r="K348" s="5">
        <v>8.7733785699E10</v>
      </c>
      <c r="L348" s="4" t="s">
        <v>44</v>
      </c>
      <c r="M348" s="5" t="s">
        <v>42</v>
      </c>
      <c r="N348" s="4" t="s">
        <v>45</v>
      </c>
      <c r="O348" s="4" t="s">
        <v>46</v>
      </c>
      <c r="P348" s="4" t="s">
        <v>187</v>
      </c>
      <c r="Q348" s="4">
        <v>16451.0</v>
      </c>
      <c r="R348" s="5" t="s">
        <v>2075</v>
      </c>
      <c r="S348" s="8">
        <v>46182.0</v>
      </c>
      <c r="T348" s="9">
        <v>0.375</v>
      </c>
      <c r="U348" s="9">
        <v>0.9166666666666666</v>
      </c>
      <c r="V348" s="4" t="s">
        <v>49</v>
      </c>
      <c r="W348" s="5">
        <v>1.0</v>
      </c>
      <c r="X348" s="5" t="b">
        <v>1</v>
      </c>
      <c r="Y348" s="5" t="s">
        <v>189</v>
      </c>
      <c r="Z348" s="5" t="b">
        <v>0</v>
      </c>
      <c r="AA348" s="10"/>
      <c r="AB348" s="4">
        <v>1.0</v>
      </c>
      <c r="AC348" s="11" t="s">
        <v>2076</v>
      </c>
      <c r="AD348" s="5">
        <v>0.0</v>
      </c>
      <c r="AE348" s="5">
        <v>1.0</v>
      </c>
      <c r="AF348" s="8">
        <v>46182.0</v>
      </c>
      <c r="AG348" s="9">
        <v>0.375</v>
      </c>
      <c r="AH348" s="9">
        <v>0.9166666666666666</v>
      </c>
      <c r="AI348" s="4" t="s">
        <v>49</v>
      </c>
      <c r="AJ348" s="5" t="s">
        <v>2077</v>
      </c>
      <c r="AK348" s="12"/>
      <c r="AL348" s="12">
        <v>46181.0</v>
      </c>
      <c r="AM348" s="12"/>
      <c r="AN348" s="12"/>
      <c r="AO348" s="12"/>
      <c r="AP348" s="12"/>
      <c r="AQ348" s="12"/>
    </row>
    <row r="349">
      <c r="A349" s="5" t="s">
        <v>2078</v>
      </c>
      <c r="B349" s="5">
        <v>1.1398423E7</v>
      </c>
      <c r="C349" s="5" t="s">
        <v>37</v>
      </c>
      <c r="D349" s="5" t="s">
        <v>2079</v>
      </c>
      <c r="E349" s="5" t="s">
        <v>39</v>
      </c>
      <c r="F349" s="5" t="s">
        <v>2080</v>
      </c>
      <c r="G349" s="15">
        <v>8.5888674498E10</v>
      </c>
      <c r="H349" s="5" t="s">
        <v>2081</v>
      </c>
      <c r="I349" s="5" t="s">
        <v>42</v>
      </c>
      <c r="J349" s="5" t="s">
        <v>43</v>
      </c>
      <c r="K349" s="5">
        <v>8.7733785699E10</v>
      </c>
      <c r="L349" s="4" t="s">
        <v>44</v>
      </c>
      <c r="M349" s="5" t="s">
        <v>42</v>
      </c>
      <c r="N349" s="4" t="s">
        <v>45</v>
      </c>
      <c r="O349" s="4" t="s">
        <v>46</v>
      </c>
      <c r="P349" s="4" t="s">
        <v>187</v>
      </c>
      <c r="Q349" s="4">
        <v>16451.0</v>
      </c>
      <c r="R349" s="5" t="s">
        <v>2082</v>
      </c>
      <c r="S349" s="8">
        <v>46182.0</v>
      </c>
      <c r="T349" s="9">
        <v>0.375</v>
      </c>
      <c r="U349" s="9">
        <v>0.9166666666666666</v>
      </c>
      <c r="V349" s="4" t="s">
        <v>49</v>
      </c>
      <c r="W349" s="5">
        <v>1.0</v>
      </c>
      <c r="X349" s="5" t="b">
        <v>1</v>
      </c>
      <c r="Y349" s="5" t="s">
        <v>189</v>
      </c>
      <c r="Z349" s="5" t="b">
        <v>0</v>
      </c>
      <c r="AA349" s="10"/>
      <c r="AB349" s="4">
        <v>1.0</v>
      </c>
      <c r="AC349" s="11" t="s">
        <v>2083</v>
      </c>
      <c r="AD349" s="5">
        <v>0.0</v>
      </c>
      <c r="AE349" s="5">
        <v>1.0</v>
      </c>
      <c r="AF349" s="8">
        <v>46182.0</v>
      </c>
      <c r="AG349" s="9">
        <v>0.375</v>
      </c>
      <c r="AH349" s="9">
        <v>0.9166666666666666</v>
      </c>
      <c r="AI349" s="4" t="s">
        <v>49</v>
      </c>
      <c r="AJ349" s="5" t="s">
        <v>2084</v>
      </c>
      <c r="AK349" s="12"/>
      <c r="AL349" s="12">
        <v>46181.0</v>
      </c>
      <c r="AM349" s="12"/>
      <c r="AN349" s="12"/>
      <c r="AO349" s="12"/>
      <c r="AP349" s="12"/>
      <c r="AQ349" s="12"/>
    </row>
    <row r="350">
      <c r="A350" s="5" t="s">
        <v>2085</v>
      </c>
      <c r="B350" s="5">
        <v>1.1398423E7</v>
      </c>
      <c r="C350" s="5" t="s">
        <v>37</v>
      </c>
      <c r="D350" s="5" t="s">
        <v>2086</v>
      </c>
      <c r="E350" s="5" t="s">
        <v>39</v>
      </c>
      <c r="F350" s="5" t="s">
        <v>2087</v>
      </c>
      <c r="G350" s="15" t="s">
        <v>2088</v>
      </c>
      <c r="H350" s="5" t="s">
        <v>2089</v>
      </c>
      <c r="I350" s="5" t="s">
        <v>42</v>
      </c>
      <c r="J350" s="5" t="s">
        <v>43</v>
      </c>
      <c r="K350" s="5">
        <v>8.7733785699E10</v>
      </c>
      <c r="L350" s="4" t="s">
        <v>44</v>
      </c>
      <c r="M350" s="5" t="s">
        <v>42</v>
      </c>
      <c r="N350" s="4" t="s">
        <v>45</v>
      </c>
      <c r="O350" s="4" t="s">
        <v>46</v>
      </c>
      <c r="P350" s="4" t="s">
        <v>187</v>
      </c>
      <c r="Q350" s="4">
        <v>16451.0</v>
      </c>
      <c r="R350" s="5" t="s">
        <v>2090</v>
      </c>
      <c r="S350" s="8">
        <v>46182.0</v>
      </c>
      <c r="T350" s="9">
        <v>0.375</v>
      </c>
      <c r="U350" s="9">
        <v>0.9166666666666666</v>
      </c>
      <c r="V350" s="4" t="s">
        <v>49</v>
      </c>
      <c r="W350" s="5">
        <v>1.0</v>
      </c>
      <c r="X350" s="5" t="b">
        <v>1</v>
      </c>
      <c r="Y350" s="5" t="s">
        <v>189</v>
      </c>
      <c r="Z350" s="5" t="b">
        <v>0</v>
      </c>
      <c r="AA350" s="10"/>
      <c r="AB350" s="4">
        <v>1.0</v>
      </c>
      <c r="AC350" s="11" t="s">
        <v>2091</v>
      </c>
      <c r="AD350" s="5">
        <v>0.0</v>
      </c>
      <c r="AE350" s="5">
        <v>1.0</v>
      </c>
      <c r="AF350" s="8">
        <v>46182.0</v>
      </c>
      <c r="AG350" s="9">
        <v>0.375</v>
      </c>
      <c r="AH350" s="9">
        <v>0.9166666666666666</v>
      </c>
      <c r="AI350" s="4" t="s">
        <v>49</v>
      </c>
      <c r="AJ350" s="5" t="s">
        <v>2092</v>
      </c>
      <c r="AK350" s="12"/>
      <c r="AL350" s="12">
        <v>46181.0</v>
      </c>
      <c r="AM350" s="12"/>
      <c r="AN350" s="12"/>
      <c r="AO350" s="12"/>
      <c r="AP350" s="12"/>
      <c r="AQ350" s="12"/>
    </row>
    <row r="351">
      <c r="A351" s="5" t="s">
        <v>2093</v>
      </c>
      <c r="B351" s="5">
        <v>1.1398423E7</v>
      </c>
      <c r="C351" s="5" t="s">
        <v>37</v>
      </c>
      <c r="D351" s="5" t="s">
        <v>2094</v>
      </c>
      <c r="E351" s="5" t="s">
        <v>39</v>
      </c>
      <c r="F351" s="5" t="s">
        <v>1085</v>
      </c>
      <c r="G351" s="15">
        <v>6.28218E17</v>
      </c>
      <c r="H351" s="5" t="s">
        <v>1086</v>
      </c>
      <c r="I351" s="5" t="s">
        <v>42</v>
      </c>
      <c r="J351" s="5" t="s">
        <v>43</v>
      </c>
      <c r="K351" s="5">
        <v>8.7733785699E10</v>
      </c>
      <c r="L351" s="4" t="s">
        <v>44</v>
      </c>
      <c r="M351" s="5" t="s">
        <v>42</v>
      </c>
      <c r="N351" s="4" t="s">
        <v>45</v>
      </c>
      <c r="O351" s="4" t="s">
        <v>46</v>
      </c>
      <c r="P351" s="4" t="s">
        <v>187</v>
      </c>
      <c r="Q351" s="4">
        <v>16451.0</v>
      </c>
      <c r="R351" s="5" t="s">
        <v>2095</v>
      </c>
      <c r="S351" s="8">
        <v>46182.0</v>
      </c>
      <c r="T351" s="9">
        <v>0.375</v>
      </c>
      <c r="U351" s="9">
        <v>0.9166666666666666</v>
      </c>
      <c r="V351" s="4" t="s">
        <v>49</v>
      </c>
      <c r="W351" s="5">
        <v>1.0</v>
      </c>
      <c r="X351" s="5" t="b">
        <v>1</v>
      </c>
      <c r="Y351" s="5" t="s">
        <v>189</v>
      </c>
      <c r="Z351" s="5" t="b">
        <v>0</v>
      </c>
      <c r="AA351" s="10"/>
      <c r="AB351" s="4">
        <v>1.0</v>
      </c>
      <c r="AC351" s="11" t="s">
        <v>2096</v>
      </c>
      <c r="AD351" s="5">
        <v>0.0</v>
      </c>
      <c r="AE351" s="5">
        <v>1.0</v>
      </c>
      <c r="AF351" s="8">
        <v>46182.0</v>
      </c>
      <c r="AG351" s="9">
        <v>0.375</v>
      </c>
      <c r="AH351" s="9">
        <v>0.9166666666666666</v>
      </c>
      <c r="AI351" s="4" t="s">
        <v>49</v>
      </c>
      <c r="AJ351" s="5" t="s">
        <v>2097</v>
      </c>
      <c r="AK351" s="12"/>
      <c r="AL351" s="12">
        <v>46181.0</v>
      </c>
      <c r="AM351" s="12"/>
      <c r="AN351" s="12"/>
      <c r="AO351" s="12"/>
      <c r="AP351" s="12"/>
      <c r="AQ351" s="12"/>
    </row>
    <row r="352">
      <c r="A352" s="5" t="s">
        <v>2098</v>
      </c>
      <c r="B352" s="5">
        <v>1.1398423E7</v>
      </c>
      <c r="C352" s="5" t="s">
        <v>37</v>
      </c>
      <c r="D352" s="5" t="s">
        <v>2099</v>
      </c>
      <c r="E352" s="5" t="s">
        <v>39</v>
      </c>
      <c r="F352" s="5" t="s">
        <v>1165</v>
      </c>
      <c r="G352" s="15">
        <v>8.5218837464E10</v>
      </c>
      <c r="H352" s="5" t="s">
        <v>1166</v>
      </c>
      <c r="I352" s="5" t="s">
        <v>42</v>
      </c>
      <c r="J352" s="5" t="s">
        <v>43</v>
      </c>
      <c r="K352" s="5">
        <v>8.7733785699E10</v>
      </c>
      <c r="L352" s="4" t="s">
        <v>44</v>
      </c>
      <c r="M352" s="5" t="s">
        <v>42</v>
      </c>
      <c r="N352" s="4" t="s">
        <v>45</v>
      </c>
      <c r="O352" s="4" t="s">
        <v>46</v>
      </c>
      <c r="P352" s="4" t="s">
        <v>187</v>
      </c>
      <c r="Q352" s="4">
        <v>16451.0</v>
      </c>
      <c r="R352" s="5" t="s">
        <v>2100</v>
      </c>
      <c r="S352" s="8">
        <v>46182.0</v>
      </c>
      <c r="T352" s="9">
        <v>0.375</v>
      </c>
      <c r="U352" s="9">
        <v>0.9166666666666666</v>
      </c>
      <c r="V352" s="4" t="s">
        <v>49</v>
      </c>
      <c r="W352" s="5">
        <v>1.0</v>
      </c>
      <c r="X352" s="5" t="b">
        <v>1</v>
      </c>
      <c r="Y352" s="5" t="s">
        <v>189</v>
      </c>
      <c r="Z352" s="5" t="b">
        <v>0</v>
      </c>
      <c r="AA352" s="10"/>
      <c r="AB352" s="4">
        <v>1.0</v>
      </c>
      <c r="AC352" s="11" t="s">
        <v>2101</v>
      </c>
      <c r="AD352" s="5">
        <v>0.0</v>
      </c>
      <c r="AE352" s="5">
        <v>1.0</v>
      </c>
      <c r="AF352" s="8">
        <v>46182.0</v>
      </c>
      <c r="AG352" s="9">
        <v>0.375</v>
      </c>
      <c r="AH352" s="9">
        <v>0.9166666666666666</v>
      </c>
      <c r="AI352" s="4" t="s">
        <v>49</v>
      </c>
      <c r="AJ352" s="5" t="s">
        <v>2102</v>
      </c>
      <c r="AK352" s="12"/>
      <c r="AL352" s="12">
        <v>46181.0</v>
      </c>
      <c r="AM352" s="12"/>
      <c r="AN352" s="12"/>
      <c r="AO352" s="12"/>
      <c r="AP352" s="12"/>
      <c r="AQ352" s="12"/>
    </row>
    <row r="353">
      <c r="A353" s="5" t="s">
        <v>2103</v>
      </c>
      <c r="B353" s="5">
        <v>1.1398423E7</v>
      </c>
      <c r="C353" s="5" t="s">
        <v>37</v>
      </c>
      <c r="D353" s="5" t="s">
        <v>2104</v>
      </c>
      <c r="E353" s="5" t="s">
        <v>39</v>
      </c>
      <c r="F353" s="5" t="s">
        <v>1668</v>
      </c>
      <c r="G353" s="15">
        <v>6.28127E17</v>
      </c>
      <c r="H353" s="5" t="s">
        <v>1669</v>
      </c>
      <c r="I353" s="5" t="s">
        <v>42</v>
      </c>
      <c r="J353" s="5" t="s">
        <v>43</v>
      </c>
      <c r="K353" s="5">
        <v>8.7733785699E10</v>
      </c>
      <c r="L353" s="4" t="s">
        <v>44</v>
      </c>
      <c r="M353" s="5" t="s">
        <v>42</v>
      </c>
      <c r="N353" s="4" t="s">
        <v>45</v>
      </c>
      <c r="O353" s="4" t="s">
        <v>46</v>
      </c>
      <c r="P353" s="4" t="s">
        <v>187</v>
      </c>
      <c r="Q353" s="4">
        <v>16451.0</v>
      </c>
      <c r="R353" s="5" t="s">
        <v>2105</v>
      </c>
      <c r="S353" s="8">
        <v>46182.0</v>
      </c>
      <c r="T353" s="9">
        <v>0.375</v>
      </c>
      <c r="U353" s="9">
        <v>0.9166666666666666</v>
      </c>
      <c r="V353" s="4" t="s">
        <v>49</v>
      </c>
      <c r="W353" s="5">
        <v>1.0</v>
      </c>
      <c r="X353" s="5" t="b">
        <v>1</v>
      </c>
      <c r="Y353" s="5" t="s">
        <v>189</v>
      </c>
      <c r="Z353" s="5" t="b">
        <v>0</v>
      </c>
      <c r="AA353" s="10"/>
      <c r="AB353" s="4">
        <v>1.0</v>
      </c>
      <c r="AC353" s="11" t="s">
        <v>2106</v>
      </c>
      <c r="AD353" s="5">
        <v>0.0</v>
      </c>
      <c r="AE353" s="5">
        <v>1.0</v>
      </c>
      <c r="AF353" s="8">
        <v>46182.0</v>
      </c>
      <c r="AG353" s="9">
        <v>0.375</v>
      </c>
      <c r="AH353" s="9">
        <v>0.9166666666666666</v>
      </c>
      <c r="AI353" s="4" t="s">
        <v>49</v>
      </c>
      <c r="AJ353" s="5" t="s">
        <v>2107</v>
      </c>
      <c r="AK353" s="12"/>
      <c r="AL353" s="12">
        <v>46181.0</v>
      </c>
      <c r="AM353" s="12"/>
      <c r="AN353" s="12"/>
      <c r="AO353" s="12"/>
      <c r="AP353" s="12"/>
      <c r="AQ353" s="12"/>
    </row>
    <row r="354">
      <c r="A354" s="5" t="s">
        <v>2108</v>
      </c>
      <c r="B354" s="5">
        <v>1.1398423E7</v>
      </c>
      <c r="C354" s="5" t="s">
        <v>37</v>
      </c>
      <c r="D354" s="5" t="s">
        <v>2109</v>
      </c>
      <c r="E354" s="5" t="s">
        <v>39</v>
      </c>
      <c r="F354" s="5" t="s">
        <v>2110</v>
      </c>
      <c r="G354" s="15">
        <v>6.2851E16</v>
      </c>
      <c r="H354" s="5" t="s">
        <v>2111</v>
      </c>
      <c r="I354" s="5" t="s">
        <v>42</v>
      </c>
      <c r="J354" s="5" t="s">
        <v>43</v>
      </c>
      <c r="K354" s="5">
        <v>8.7733785699E10</v>
      </c>
      <c r="L354" s="4" t="s">
        <v>44</v>
      </c>
      <c r="M354" s="5" t="s">
        <v>42</v>
      </c>
      <c r="N354" s="4" t="s">
        <v>45</v>
      </c>
      <c r="O354" s="4" t="s">
        <v>46</v>
      </c>
      <c r="P354" s="4" t="s">
        <v>187</v>
      </c>
      <c r="Q354" s="4">
        <v>16451.0</v>
      </c>
      <c r="R354" s="5" t="s">
        <v>2112</v>
      </c>
      <c r="S354" s="8">
        <v>46182.0</v>
      </c>
      <c r="T354" s="9">
        <v>0.375</v>
      </c>
      <c r="U354" s="9">
        <v>0.9166666666666666</v>
      </c>
      <c r="V354" s="4" t="s">
        <v>49</v>
      </c>
      <c r="W354" s="5">
        <v>1.0</v>
      </c>
      <c r="X354" s="5" t="b">
        <v>1</v>
      </c>
      <c r="Y354" s="5" t="s">
        <v>189</v>
      </c>
      <c r="Z354" s="5" t="b">
        <v>0</v>
      </c>
      <c r="AA354" s="10"/>
      <c r="AB354" s="4">
        <v>1.0</v>
      </c>
      <c r="AC354" s="11" t="s">
        <v>2113</v>
      </c>
      <c r="AD354" s="5">
        <v>0.0</v>
      </c>
      <c r="AE354" s="5">
        <v>1.0</v>
      </c>
      <c r="AF354" s="8">
        <v>46182.0</v>
      </c>
      <c r="AG354" s="9">
        <v>0.375</v>
      </c>
      <c r="AH354" s="9">
        <v>0.9166666666666666</v>
      </c>
      <c r="AI354" s="4" t="s">
        <v>49</v>
      </c>
      <c r="AJ354" s="5" t="s">
        <v>2114</v>
      </c>
      <c r="AK354" s="12"/>
      <c r="AL354" s="12">
        <v>46181.0</v>
      </c>
      <c r="AM354" s="12"/>
      <c r="AN354" s="12"/>
      <c r="AO354" s="12"/>
      <c r="AP354" s="12"/>
      <c r="AQ354" s="12"/>
    </row>
    <row r="355">
      <c r="A355" s="5" t="s">
        <v>2115</v>
      </c>
      <c r="B355" s="5">
        <v>1.1398423E7</v>
      </c>
      <c r="C355" s="5" t="s">
        <v>37</v>
      </c>
      <c r="D355" s="5" t="s">
        <v>2116</v>
      </c>
      <c r="E355" s="5" t="s">
        <v>39</v>
      </c>
      <c r="F355" s="5" t="s">
        <v>2117</v>
      </c>
      <c r="G355" s="15">
        <v>6.28819E16</v>
      </c>
      <c r="H355" s="5" t="s">
        <v>2118</v>
      </c>
      <c r="I355" s="5" t="s">
        <v>42</v>
      </c>
      <c r="J355" s="5" t="s">
        <v>43</v>
      </c>
      <c r="K355" s="5">
        <v>8.7733785699E10</v>
      </c>
      <c r="L355" s="4" t="s">
        <v>44</v>
      </c>
      <c r="M355" s="5" t="s">
        <v>42</v>
      </c>
      <c r="N355" s="4" t="s">
        <v>45</v>
      </c>
      <c r="O355" s="4" t="s">
        <v>46</v>
      </c>
      <c r="P355" s="4" t="s">
        <v>187</v>
      </c>
      <c r="Q355" s="4">
        <v>16451.0</v>
      </c>
      <c r="R355" s="5" t="s">
        <v>2119</v>
      </c>
      <c r="S355" s="8">
        <v>46182.0</v>
      </c>
      <c r="T355" s="9">
        <v>0.375</v>
      </c>
      <c r="U355" s="9">
        <v>0.9166666666666666</v>
      </c>
      <c r="V355" s="4" t="s">
        <v>49</v>
      </c>
      <c r="W355" s="5">
        <v>1.0</v>
      </c>
      <c r="X355" s="5" t="b">
        <v>1</v>
      </c>
      <c r="Y355" s="5" t="s">
        <v>189</v>
      </c>
      <c r="Z355" s="5" t="b">
        <v>0</v>
      </c>
      <c r="AA355" s="10"/>
      <c r="AB355" s="4">
        <v>1.0</v>
      </c>
      <c r="AC355" s="11" t="s">
        <v>2120</v>
      </c>
      <c r="AD355" s="5">
        <v>0.0</v>
      </c>
      <c r="AE355" s="5">
        <v>1.0</v>
      </c>
      <c r="AF355" s="8">
        <v>46182.0</v>
      </c>
      <c r="AG355" s="9">
        <v>0.375</v>
      </c>
      <c r="AH355" s="9">
        <v>0.9166666666666666</v>
      </c>
      <c r="AI355" s="4" t="s">
        <v>49</v>
      </c>
      <c r="AJ355" s="5" t="s">
        <v>2121</v>
      </c>
      <c r="AK355" s="12"/>
      <c r="AL355" s="12">
        <v>46181.0</v>
      </c>
      <c r="AM355" s="12"/>
      <c r="AN355" s="12"/>
      <c r="AO355" s="12"/>
      <c r="AP355" s="12"/>
      <c r="AQ355" s="12"/>
    </row>
    <row r="356">
      <c r="A356" s="5" t="s">
        <v>2122</v>
      </c>
      <c r="B356" s="5">
        <v>1.1398423E7</v>
      </c>
      <c r="C356" s="5" t="s">
        <v>37</v>
      </c>
      <c r="D356" s="5" t="s">
        <v>2123</v>
      </c>
      <c r="E356" s="5" t="s">
        <v>39</v>
      </c>
      <c r="F356" s="5" t="s">
        <v>2124</v>
      </c>
      <c r="G356" s="15">
        <v>8.1387688857E10</v>
      </c>
      <c r="H356" s="5" t="s">
        <v>2125</v>
      </c>
      <c r="I356" s="5" t="s">
        <v>42</v>
      </c>
      <c r="J356" s="5" t="s">
        <v>43</v>
      </c>
      <c r="K356" s="5">
        <v>8.7733785699E10</v>
      </c>
      <c r="L356" s="4" t="s">
        <v>44</v>
      </c>
      <c r="M356" s="5" t="s">
        <v>42</v>
      </c>
      <c r="N356" s="4" t="s">
        <v>45</v>
      </c>
      <c r="O356" s="4" t="s">
        <v>46</v>
      </c>
      <c r="P356" s="4" t="s">
        <v>187</v>
      </c>
      <c r="Q356" s="4">
        <v>16451.0</v>
      </c>
      <c r="R356" s="5" t="s">
        <v>2126</v>
      </c>
      <c r="S356" s="8">
        <v>46182.0</v>
      </c>
      <c r="T356" s="9">
        <v>0.375</v>
      </c>
      <c r="U356" s="9">
        <v>0.9166666666666666</v>
      </c>
      <c r="V356" s="4" t="s">
        <v>49</v>
      </c>
      <c r="W356" s="5">
        <v>1.0</v>
      </c>
      <c r="X356" s="5" t="b">
        <v>1</v>
      </c>
      <c r="Y356" s="5" t="s">
        <v>189</v>
      </c>
      <c r="Z356" s="5" t="b">
        <v>0</v>
      </c>
      <c r="AA356" s="10"/>
      <c r="AB356" s="4">
        <v>1.0</v>
      </c>
      <c r="AC356" s="11" t="s">
        <v>2127</v>
      </c>
      <c r="AD356" s="5">
        <v>0.0</v>
      </c>
      <c r="AE356" s="5">
        <v>1.0</v>
      </c>
      <c r="AF356" s="8">
        <v>46182.0</v>
      </c>
      <c r="AG356" s="9">
        <v>0.375</v>
      </c>
      <c r="AH356" s="9">
        <v>0.9166666666666666</v>
      </c>
      <c r="AI356" s="4" t="s">
        <v>49</v>
      </c>
      <c r="AJ356" s="5" t="s">
        <v>2128</v>
      </c>
      <c r="AK356" s="12"/>
      <c r="AL356" s="12">
        <v>46181.0</v>
      </c>
      <c r="AM356" s="12"/>
      <c r="AN356" s="12"/>
      <c r="AO356" s="12"/>
      <c r="AP356" s="12"/>
      <c r="AQ356" s="12"/>
    </row>
    <row r="357">
      <c r="A357" s="5" t="s">
        <v>2129</v>
      </c>
      <c r="B357" s="5">
        <v>1.1398423E7</v>
      </c>
      <c r="C357" s="5" t="s">
        <v>37</v>
      </c>
      <c r="D357" s="5" t="s">
        <v>2130</v>
      </c>
      <c r="E357" s="5" t="s">
        <v>39</v>
      </c>
      <c r="F357" s="5" t="s">
        <v>173</v>
      </c>
      <c r="G357" s="15">
        <v>8.1299422172E10</v>
      </c>
      <c r="H357" s="5" t="s">
        <v>174</v>
      </c>
      <c r="I357" s="5" t="s">
        <v>42</v>
      </c>
      <c r="J357" s="5" t="s">
        <v>43</v>
      </c>
      <c r="K357" s="5">
        <v>8.7733785699E10</v>
      </c>
      <c r="L357" s="4" t="s">
        <v>44</v>
      </c>
      <c r="M357" s="5" t="s">
        <v>42</v>
      </c>
      <c r="N357" s="4" t="s">
        <v>45</v>
      </c>
      <c r="O357" s="4" t="s">
        <v>46</v>
      </c>
      <c r="P357" s="4" t="s">
        <v>187</v>
      </c>
      <c r="Q357" s="4">
        <v>16451.0</v>
      </c>
      <c r="R357" s="5" t="s">
        <v>2131</v>
      </c>
      <c r="S357" s="8">
        <v>46183.0</v>
      </c>
      <c r="T357" s="9">
        <v>0.375</v>
      </c>
      <c r="U357" s="9">
        <v>0.9166666666666666</v>
      </c>
      <c r="V357" s="4" t="s">
        <v>49</v>
      </c>
      <c r="W357" s="5">
        <v>1.0</v>
      </c>
      <c r="X357" s="5" t="b">
        <v>1</v>
      </c>
      <c r="Y357" s="5" t="s">
        <v>189</v>
      </c>
      <c r="Z357" s="5" t="b">
        <v>0</v>
      </c>
      <c r="AA357" s="10"/>
      <c r="AB357" s="4">
        <v>1.0</v>
      </c>
      <c r="AC357" s="11" t="s">
        <v>2132</v>
      </c>
      <c r="AD357" s="5">
        <v>0.0</v>
      </c>
      <c r="AE357" s="5">
        <v>1.0</v>
      </c>
      <c r="AF357" s="8">
        <v>46183.0</v>
      </c>
      <c r="AG357" s="9">
        <v>0.375</v>
      </c>
      <c r="AH357" s="9">
        <v>0.9166666666666666</v>
      </c>
      <c r="AI357" s="4" t="s">
        <v>49</v>
      </c>
      <c r="AJ357" s="5" t="s">
        <v>2133</v>
      </c>
      <c r="AK357" s="12"/>
      <c r="AL357" s="12">
        <v>46182.0</v>
      </c>
      <c r="AM357" s="12"/>
      <c r="AN357" s="12"/>
      <c r="AO357" s="12"/>
      <c r="AP357" s="12"/>
      <c r="AQ357" s="12"/>
    </row>
    <row r="358">
      <c r="A358" s="5" t="s">
        <v>2134</v>
      </c>
      <c r="B358" s="5">
        <v>1.1398423E7</v>
      </c>
      <c r="C358" s="5" t="s">
        <v>37</v>
      </c>
      <c r="D358" s="5" t="s">
        <v>1918</v>
      </c>
      <c r="E358" s="5" t="s">
        <v>39</v>
      </c>
      <c r="F358" s="5" t="s">
        <v>1919</v>
      </c>
      <c r="G358" s="15">
        <v>2.17336043E8</v>
      </c>
      <c r="H358" s="5" t="s">
        <v>1920</v>
      </c>
      <c r="I358" s="5" t="s">
        <v>42</v>
      </c>
      <c r="J358" s="5" t="s">
        <v>43</v>
      </c>
      <c r="K358" s="5">
        <v>8.7733785699E10</v>
      </c>
      <c r="L358" s="4" t="s">
        <v>44</v>
      </c>
      <c r="M358" s="5" t="s">
        <v>42</v>
      </c>
      <c r="N358" s="4" t="s">
        <v>45</v>
      </c>
      <c r="O358" s="4" t="s">
        <v>46</v>
      </c>
      <c r="P358" s="4" t="s">
        <v>187</v>
      </c>
      <c r="Q358" s="4">
        <v>16451.0</v>
      </c>
      <c r="R358" s="5" t="s">
        <v>2135</v>
      </c>
      <c r="S358" s="8">
        <v>46183.0</v>
      </c>
      <c r="T358" s="9">
        <v>0.375</v>
      </c>
      <c r="U358" s="9">
        <v>0.9166666666666666</v>
      </c>
      <c r="V358" s="4" t="s">
        <v>49</v>
      </c>
      <c r="W358" s="5">
        <v>1.0</v>
      </c>
      <c r="X358" s="5" t="b">
        <v>1</v>
      </c>
      <c r="Y358" s="5" t="s">
        <v>189</v>
      </c>
      <c r="Z358" s="5" t="b">
        <v>0</v>
      </c>
      <c r="AA358" s="10"/>
      <c r="AB358" s="4">
        <v>1.0</v>
      </c>
      <c r="AC358" s="11" t="s">
        <v>2136</v>
      </c>
      <c r="AD358" s="5">
        <v>0.0</v>
      </c>
      <c r="AE358" s="5">
        <v>1.0</v>
      </c>
      <c r="AF358" s="8">
        <v>46183.0</v>
      </c>
      <c r="AG358" s="9">
        <v>0.375</v>
      </c>
      <c r="AH358" s="9">
        <v>0.9166666666666666</v>
      </c>
      <c r="AI358" s="4" t="s">
        <v>49</v>
      </c>
      <c r="AJ358" s="5" t="s">
        <v>2137</v>
      </c>
      <c r="AK358" s="12"/>
      <c r="AL358" s="12">
        <v>46182.0</v>
      </c>
      <c r="AM358" s="12"/>
      <c r="AN358" s="12"/>
      <c r="AO358" s="12"/>
      <c r="AP358" s="12"/>
      <c r="AQ358" s="12"/>
    </row>
    <row r="359">
      <c r="A359" s="5" t="s">
        <v>2138</v>
      </c>
      <c r="B359" s="5">
        <v>1.1398423E7</v>
      </c>
      <c r="C359" s="5" t="s">
        <v>37</v>
      </c>
      <c r="D359" s="5" t="s">
        <v>2139</v>
      </c>
      <c r="E359" s="5" t="s">
        <v>39</v>
      </c>
      <c r="F359" s="5" t="s">
        <v>2140</v>
      </c>
      <c r="G359" s="15">
        <v>8.5216518363E10</v>
      </c>
      <c r="H359" s="5" t="s">
        <v>2141</v>
      </c>
      <c r="I359" s="5" t="s">
        <v>42</v>
      </c>
      <c r="J359" s="5" t="s">
        <v>43</v>
      </c>
      <c r="K359" s="5">
        <v>8.7733785699E10</v>
      </c>
      <c r="L359" s="4" t="s">
        <v>44</v>
      </c>
      <c r="M359" s="5" t="s">
        <v>42</v>
      </c>
      <c r="N359" s="4" t="s">
        <v>45</v>
      </c>
      <c r="O359" s="4" t="s">
        <v>46</v>
      </c>
      <c r="P359" s="4" t="s">
        <v>187</v>
      </c>
      <c r="Q359" s="4">
        <v>16451.0</v>
      </c>
      <c r="R359" s="5" t="s">
        <v>2142</v>
      </c>
      <c r="S359" s="8">
        <v>46183.0</v>
      </c>
      <c r="T359" s="9">
        <v>0.375</v>
      </c>
      <c r="U359" s="9">
        <v>0.9166666666666666</v>
      </c>
      <c r="V359" s="4" t="s">
        <v>49</v>
      </c>
      <c r="W359" s="5">
        <v>1.0</v>
      </c>
      <c r="X359" s="5" t="b">
        <v>1</v>
      </c>
      <c r="Y359" s="5" t="s">
        <v>189</v>
      </c>
      <c r="Z359" s="5" t="b">
        <v>0</v>
      </c>
      <c r="AA359" s="10"/>
      <c r="AB359" s="4">
        <v>1.0</v>
      </c>
      <c r="AC359" s="11" t="s">
        <v>2143</v>
      </c>
      <c r="AD359" s="5">
        <v>0.0</v>
      </c>
      <c r="AE359" s="5">
        <v>1.0</v>
      </c>
      <c r="AF359" s="8">
        <v>46183.0</v>
      </c>
      <c r="AG359" s="9">
        <v>0.375</v>
      </c>
      <c r="AH359" s="9">
        <v>0.9166666666666666</v>
      </c>
      <c r="AI359" s="4" t="s">
        <v>49</v>
      </c>
      <c r="AJ359" s="5" t="s">
        <v>2144</v>
      </c>
      <c r="AK359" s="12"/>
      <c r="AL359" s="12">
        <v>46182.0</v>
      </c>
      <c r="AM359" s="12"/>
      <c r="AN359" s="12"/>
      <c r="AO359" s="12"/>
      <c r="AP359" s="12"/>
      <c r="AQ359" s="12"/>
    </row>
    <row r="360">
      <c r="A360" s="5" t="s">
        <v>2145</v>
      </c>
      <c r="B360" s="5">
        <v>1.1398423E7</v>
      </c>
      <c r="C360" s="5" t="s">
        <v>37</v>
      </c>
      <c r="D360" s="5" t="s">
        <v>2146</v>
      </c>
      <c r="E360" s="5" t="s">
        <v>39</v>
      </c>
      <c r="F360" s="5" t="s">
        <v>370</v>
      </c>
      <c r="G360" s="15">
        <v>2.177833109E9</v>
      </c>
      <c r="H360" s="5" t="s">
        <v>371</v>
      </c>
      <c r="I360" s="5" t="s">
        <v>42</v>
      </c>
      <c r="J360" s="5" t="s">
        <v>43</v>
      </c>
      <c r="K360" s="5">
        <v>8.7733785699E10</v>
      </c>
      <c r="L360" s="4" t="s">
        <v>44</v>
      </c>
      <c r="M360" s="5" t="s">
        <v>42</v>
      </c>
      <c r="N360" s="4" t="s">
        <v>45</v>
      </c>
      <c r="O360" s="4" t="s">
        <v>46</v>
      </c>
      <c r="P360" s="4" t="s">
        <v>187</v>
      </c>
      <c r="Q360" s="4">
        <v>16451.0</v>
      </c>
      <c r="R360" s="5" t="s">
        <v>2147</v>
      </c>
      <c r="S360" s="8">
        <v>46183.0</v>
      </c>
      <c r="T360" s="9">
        <v>0.375</v>
      </c>
      <c r="U360" s="9">
        <v>0.9166666666666666</v>
      </c>
      <c r="V360" s="4" t="s">
        <v>49</v>
      </c>
      <c r="W360" s="5">
        <v>1.0</v>
      </c>
      <c r="X360" s="5" t="b">
        <v>1</v>
      </c>
      <c r="Y360" s="5" t="s">
        <v>189</v>
      </c>
      <c r="Z360" s="5" t="b">
        <v>0</v>
      </c>
      <c r="AA360" s="10"/>
      <c r="AB360" s="4">
        <v>1.0</v>
      </c>
      <c r="AC360" s="11" t="s">
        <v>2148</v>
      </c>
      <c r="AD360" s="5">
        <v>0.0</v>
      </c>
      <c r="AE360" s="5">
        <v>1.0</v>
      </c>
      <c r="AF360" s="8">
        <v>46183.0</v>
      </c>
      <c r="AG360" s="9">
        <v>0.375</v>
      </c>
      <c r="AH360" s="9">
        <v>0.9166666666666666</v>
      </c>
      <c r="AI360" s="4" t="s">
        <v>49</v>
      </c>
      <c r="AJ360" s="5" t="s">
        <v>2149</v>
      </c>
      <c r="AK360" s="12"/>
      <c r="AL360" s="12">
        <v>46182.0</v>
      </c>
      <c r="AM360" s="12"/>
      <c r="AN360" s="12"/>
      <c r="AO360" s="12"/>
      <c r="AP360" s="12"/>
      <c r="AQ360" s="12"/>
    </row>
    <row r="361">
      <c r="A361" s="5" t="s">
        <v>2150</v>
      </c>
      <c r="B361" s="5">
        <v>1.1398423E7</v>
      </c>
      <c r="C361" s="5" t="s">
        <v>37</v>
      </c>
      <c r="D361" s="5" t="s">
        <v>1999</v>
      </c>
      <c r="E361" s="5" t="s">
        <v>39</v>
      </c>
      <c r="F361" s="5" t="s">
        <v>2000</v>
      </c>
      <c r="G361" s="15">
        <v>8.1212834867E10</v>
      </c>
      <c r="H361" s="5" t="s">
        <v>2001</v>
      </c>
      <c r="I361" s="5" t="s">
        <v>42</v>
      </c>
      <c r="J361" s="5" t="s">
        <v>43</v>
      </c>
      <c r="K361" s="5">
        <v>8.7733785699E10</v>
      </c>
      <c r="L361" s="4" t="s">
        <v>44</v>
      </c>
      <c r="M361" s="5" t="s">
        <v>42</v>
      </c>
      <c r="N361" s="4" t="s">
        <v>45</v>
      </c>
      <c r="O361" s="4" t="s">
        <v>46</v>
      </c>
      <c r="P361" s="4" t="s">
        <v>187</v>
      </c>
      <c r="Q361" s="4">
        <v>16451.0</v>
      </c>
      <c r="R361" s="5" t="s">
        <v>2151</v>
      </c>
      <c r="S361" s="8">
        <v>46183.0</v>
      </c>
      <c r="T361" s="9">
        <v>0.375</v>
      </c>
      <c r="U361" s="9">
        <v>0.9166666666666666</v>
      </c>
      <c r="V361" s="4" t="s">
        <v>49</v>
      </c>
      <c r="W361" s="5">
        <v>1.0</v>
      </c>
      <c r="X361" s="5" t="b">
        <v>1</v>
      </c>
      <c r="Y361" s="5" t="s">
        <v>189</v>
      </c>
      <c r="Z361" s="5" t="b">
        <v>0</v>
      </c>
      <c r="AA361" s="10"/>
      <c r="AB361" s="4">
        <v>1.0</v>
      </c>
      <c r="AC361" s="11" t="s">
        <v>2152</v>
      </c>
      <c r="AD361" s="5">
        <v>0.0</v>
      </c>
      <c r="AE361" s="5">
        <v>1.0</v>
      </c>
      <c r="AF361" s="8">
        <v>46183.0</v>
      </c>
      <c r="AG361" s="9">
        <v>0.375</v>
      </c>
      <c r="AH361" s="9">
        <v>0.9166666666666666</v>
      </c>
      <c r="AI361" s="4" t="s">
        <v>49</v>
      </c>
      <c r="AJ361" s="5" t="s">
        <v>2153</v>
      </c>
      <c r="AK361" s="12"/>
      <c r="AL361" s="12">
        <v>46182.0</v>
      </c>
      <c r="AM361" s="12"/>
      <c r="AN361" s="12"/>
      <c r="AO361" s="12"/>
      <c r="AP361" s="12"/>
      <c r="AQ361" s="12"/>
    </row>
    <row r="362">
      <c r="A362" s="5" t="s">
        <v>2154</v>
      </c>
      <c r="B362" s="5">
        <v>1.1398423E7</v>
      </c>
      <c r="C362" s="5" t="s">
        <v>37</v>
      </c>
      <c r="D362" s="5" t="s">
        <v>2155</v>
      </c>
      <c r="E362" s="5" t="s">
        <v>39</v>
      </c>
      <c r="F362" s="5" t="s">
        <v>2156</v>
      </c>
      <c r="G362" s="15">
        <v>8.1316353377E10</v>
      </c>
      <c r="H362" s="5" t="s">
        <v>2157</v>
      </c>
      <c r="I362" s="5" t="s">
        <v>42</v>
      </c>
      <c r="J362" s="5" t="s">
        <v>43</v>
      </c>
      <c r="K362" s="5">
        <v>8.7733785699E10</v>
      </c>
      <c r="L362" s="4" t="s">
        <v>44</v>
      </c>
      <c r="M362" s="5" t="s">
        <v>42</v>
      </c>
      <c r="N362" s="4" t="s">
        <v>45</v>
      </c>
      <c r="O362" s="4" t="s">
        <v>46</v>
      </c>
      <c r="P362" s="4" t="s">
        <v>187</v>
      </c>
      <c r="Q362" s="4">
        <v>16451.0</v>
      </c>
      <c r="R362" s="5" t="s">
        <v>2158</v>
      </c>
      <c r="S362" s="8">
        <v>46183.0</v>
      </c>
      <c r="T362" s="9">
        <v>0.375</v>
      </c>
      <c r="U362" s="9">
        <v>0.9166666666666666</v>
      </c>
      <c r="V362" s="4" t="s">
        <v>49</v>
      </c>
      <c r="W362" s="5">
        <v>1.0</v>
      </c>
      <c r="X362" s="5" t="b">
        <v>1</v>
      </c>
      <c r="Y362" s="5" t="s">
        <v>189</v>
      </c>
      <c r="Z362" s="5" t="b">
        <v>0</v>
      </c>
      <c r="AA362" s="10"/>
      <c r="AB362" s="4">
        <v>1.0</v>
      </c>
      <c r="AC362" s="11" t="s">
        <v>2159</v>
      </c>
      <c r="AD362" s="5">
        <v>0.0</v>
      </c>
      <c r="AE362" s="5">
        <v>1.0</v>
      </c>
      <c r="AF362" s="8">
        <v>46183.0</v>
      </c>
      <c r="AG362" s="9">
        <v>0.375</v>
      </c>
      <c r="AH362" s="9">
        <v>0.9166666666666666</v>
      </c>
      <c r="AI362" s="4" t="s">
        <v>49</v>
      </c>
      <c r="AJ362" s="5" t="s">
        <v>2160</v>
      </c>
      <c r="AK362" s="12"/>
      <c r="AL362" s="12">
        <v>46182.0</v>
      </c>
      <c r="AM362" s="12"/>
      <c r="AN362" s="12"/>
      <c r="AO362" s="12"/>
      <c r="AP362" s="12"/>
      <c r="AQ362" s="12"/>
    </row>
    <row r="363">
      <c r="A363" s="5" t="s">
        <v>2161</v>
      </c>
      <c r="B363" s="5">
        <v>1.1398423E7</v>
      </c>
      <c r="C363" s="5" t="s">
        <v>37</v>
      </c>
      <c r="D363" s="5" t="s">
        <v>2162</v>
      </c>
      <c r="E363" s="5" t="s">
        <v>39</v>
      </c>
      <c r="F363" s="5" t="s">
        <v>2163</v>
      </c>
      <c r="G363" s="15">
        <v>8.179182789E9</v>
      </c>
      <c r="H363" s="5" t="s">
        <v>2164</v>
      </c>
      <c r="I363" s="5" t="s">
        <v>42</v>
      </c>
      <c r="J363" s="5" t="s">
        <v>43</v>
      </c>
      <c r="K363" s="5">
        <v>8.7733785699E10</v>
      </c>
      <c r="L363" s="4" t="s">
        <v>44</v>
      </c>
      <c r="M363" s="5" t="s">
        <v>42</v>
      </c>
      <c r="N363" s="4" t="s">
        <v>45</v>
      </c>
      <c r="O363" s="4" t="s">
        <v>46</v>
      </c>
      <c r="P363" s="4" t="s">
        <v>187</v>
      </c>
      <c r="Q363" s="4">
        <v>16451.0</v>
      </c>
      <c r="R363" s="5" t="s">
        <v>2165</v>
      </c>
      <c r="S363" s="8">
        <v>46183.0</v>
      </c>
      <c r="T363" s="9">
        <v>0.375</v>
      </c>
      <c r="U363" s="9">
        <v>0.9166666666666666</v>
      </c>
      <c r="V363" s="4" t="s">
        <v>49</v>
      </c>
      <c r="W363" s="5">
        <v>1.0</v>
      </c>
      <c r="X363" s="5" t="b">
        <v>1</v>
      </c>
      <c r="Y363" s="5" t="s">
        <v>189</v>
      </c>
      <c r="Z363" s="5" t="b">
        <v>0</v>
      </c>
      <c r="AA363" s="10"/>
      <c r="AB363" s="4">
        <v>1.0</v>
      </c>
      <c r="AC363" s="11" t="s">
        <v>2166</v>
      </c>
      <c r="AD363" s="5">
        <v>0.0</v>
      </c>
      <c r="AE363" s="5">
        <v>1.0</v>
      </c>
      <c r="AF363" s="8">
        <v>46183.0</v>
      </c>
      <c r="AG363" s="9">
        <v>0.375</v>
      </c>
      <c r="AH363" s="9">
        <v>0.9166666666666666</v>
      </c>
      <c r="AI363" s="4" t="s">
        <v>49</v>
      </c>
      <c r="AJ363" s="5" t="s">
        <v>2167</v>
      </c>
      <c r="AK363" s="12"/>
      <c r="AL363" s="12">
        <v>46182.0</v>
      </c>
      <c r="AM363" s="12"/>
      <c r="AN363" s="12"/>
      <c r="AO363" s="12"/>
      <c r="AP363" s="12"/>
      <c r="AQ363" s="12"/>
    </row>
    <row r="364">
      <c r="A364" s="5" t="s">
        <v>2168</v>
      </c>
      <c r="B364" s="5">
        <v>1.1398423E7</v>
      </c>
      <c r="C364" s="5" t="s">
        <v>37</v>
      </c>
      <c r="D364" s="5" t="s">
        <v>2099</v>
      </c>
      <c r="E364" s="5" t="s">
        <v>39</v>
      </c>
      <c r="F364" s="5" t="s">
        <v>1165</v>
      </c>
      <c r="G364" s="15">
        <v>8.5218837464E10</v>
      </c>
      <c r="H364" s="5" t="s">
        <v>1166</v>
      </c>
      <c r="I364" s="5" t="s">
        <v>42</v>
      </c>
      <c r="J364" s="5" t="s">
        <v>43</v>
      </c>
      <c r="K364" s="5">
        <v>8.7733785699E10</v>
      </c>
      <c r="L364" s="4" t="s">
        <v>44</v>
      </c>
      <c r="M364" s="5" t="s">
        <v>42</v>
      </c>
      <c r="N364" s="4" t="s">
        <v>45</v>
      </c>
      <c r="O364" s="4" t="s">
        <v>46</v>
      </c>
      <c r="P364" s="4" t="s">
        <v>187</v>
      </c>
      <c r="Q364" s="4">
        <v>16451.0</v>
      </c>
      <c r="R364" s="5" t="s">
        <v>2169</v>
      </c>
      <c r="S364" s="8">
        <v>46183.0</v>
      </c>
      <c r="T364" s="9">
        <v>0.375</v>
      </c>
      <c r="U364" s="9">
        <v>0.9166666666666666</v>
      </c>
      <c r="V364" s="4" t="s">
        <v>49</v>
      </c>
      <c r="W364" s="5">
        <v>1.0</v>
      </c>
      <c r="X364" s="5" t="b">
        <v>1</v>
      </c>
      <c r="Y364" s="5" t="s">
        <v>189</v>
      </c>
      <c r="Z364" s="5" t="b">
        <v>0</v>
      </c>
      <c r="AA364" s="10"/>
      <c r="AB364" s="4">
        <v>1.0</v>
      </c>
      <c r="AC364" s="11" t="s">
        <v>2170</v>
      </c>
      <c r="AD364" s="5">
        <v>0.0</v>
      </c>
      <c r="AE364" s="5">
        <v>1.0</v>
      </c>
      <c r="AF364" s="8">
        <v>46183.0</v>
      </c>
      <c r="AG364" s="9">
        <v>0.375</v>
      </c>
      <c r="AH364" s="9">
        <v>0.9166666666666666</v>
      </c>
      <c r="AI364" s="4" t="s">
        <v>49</v>
      </c>
      <c r="AJ364" s="5" t="s">
        <v>2171</v>
      </c>
      <c r="AK364" s="12"/>
      <c r="AL364" s="12">
        <v>46182.0</v>
      </c>
      <c r="AM364" s="12"/>
      <c r="AN364" s="12"/>
      <c r="AO364" s="12"/>
      <c r="AP364" s="12"/>
      <c r="AQ364" s="12"/>
    </row>
    <row r="365">
      <c r="A365" s="5" t="s">
        <v>2172</v>
      </c>
      <c r="B365" s="5">
        <v>1.1398423E7</v>
      </c>
      <c r="C365" s="5" t="s">
        <v>37</v>
      </c>
      <c r="D365" s="5" t="s">
        <v>2173</v>
      </c>
      <c r="E365" s="5" t="s">
        <v>39</v>
      </c>
      <c r="F365" s="5" t="s">
        <v>2174</v>
      </c>
      <c r="G365" s="15">
        <v>8.5974396963E10</v>
      </c>
      <c r="H365" s="5" t="s">
        <v>2175</v>
      </c>
      <c r="I365" s="5" t="s">
        <v>42</v>
      </c>
      <c r="J365" s="5" t="s">
        <v>43</v>
      </c>
      <c r="K365" s="5">
        <v>8.7733785699E10</v>
      </c>
      <c r="L365" s="4" t="s">
        <v>44</v>
      </c>
      <c r="M365" s="5" t="s">
        <v>42</v>
      </c>
      <c r="N365" s="4" t="s">
        <v>45</v>
      </c>
      <c r="O365" s="4" t="s">
        <v>46</v>
      </c>
      <c r="P365" s="4" t="s">
        <v>187</v>
      </c>
      <c r="Q365" s="4">
        <v>16451.0</v>
      </c>
      <c r="R365" s="5" t="s">
        <v>2176</v>
      </c>
      <c r="S365" s="8">
        <v>46183.0</v>
      </c>
      <c r="T365" s="9">
        <v>0.375</v>
      </c>
      <c r="U365" s="9">
        <v>0.9166666666666666</v>
      </c>
      <c r="V365" s="4" t="s">
        <v>49</v>
      </c>
      <c r="W365" s="5">
        <v>1.0</v>
      </c>
      <c r="X365" s="5" t="b">
        <v>1</v>
      </c>
      <c r="Y365" s="5" t="s">
        <v>189</v>
      </c>
      <c r="Z365" s="5" t="b">
        <v>0</v>
      </c>
      <c r="AA365" s="10"/>
      <c r="AB365" s="4">
        <v>1.0</v>
      </c>
      <c r="AC365" s="11" t="s">
        <v>2177</v>
      </c>
      <c r="AD365" s="5">
        <v>0.0</v>
      </c>
      <c r="AE365" s="5">
        <v>1.0</v>
      </c>
      <c r="AF365" s="8">
        <v>46183.0</v>
      </c>
      <c r="AG365" s="9">
        <v>0.375</v>
      </c>
      <c r="AH365" s="9">
        <v>0.9166666666666666</v>
      </c>
      <c r="AI365" s="4" t="s">
        <v>49</v>
      </c>
      <c r="AJ365" s="5" t="s">
        <v>2178</v>
      </c>
      <c r="AK365" s="12"/>
      <c r="AL365" s="12">
        <v>46182.0</v>
      </c>
      <c r="AM365" s="12"/>
      <c r="AN365" s="12"/>
      <c r="AO365" s="12"/>
      <c r="AP365" s="12"/>
      <c r="AQ365" s="12"/>
    </row>
    <row r="366">
      <c r="A366" s="5" t="s">
        <v>2179</v>
      </c>
      <c r="B366" s="5">
        <v>1.1398423E7</v>
      </c>
      <c r="C366" s="5" t="s">
        <v>37</v>
      </c>
      <c r="D366" s="5" t="s">
        <v>2180</v>
      </c>
      <c r="E366" s="5" t="s">
        <v>39</v>
      </c>
      <c r="F366" s="5" t="s">
        <v>2181</v>
      </c>
      <c r="G366" s="15">
        <v>8.138202425E10</v>
      </c>
      <c r="H366" s="5" t="s">
        <v>2182</v>
      </c>
      <c r="I366" s="5" t="s">
        <v>42</v>
      </c>
      <c r="J366" s="5" t="s">
        <v>43</v>
      </c>
      <c r="K366" s="5">
        <v>8.7733785699E10</v>
      </c>
      <c r="L366" s="4" t="s">
        <v>44</v>
      </c>
      <c r="M366" s="5" t="s">
        <v>42</v>
      </c>
      <c r="N366" s="4" t="s">
        <v>45</v>
      </c>
      <c r="O366" s="4" t="s">
        <v>46</v>
      </c>
      <c r="P366" s="4" t="s">
        <v>187</v>
      </c>
      <c r="Q366" s="4">
        <v>16451.0</v>
      </c>
      <c r="R366" s="5" t="s">
        <v>2183</v>
      </c>
      <c r="S366" s="8">
        <v>46183.0</v>
      </c>
      <c r="T366" s="9">
        <v>0.375</v>
      </c>
      <c r="U366" s="9">
        <v>0.9166666666666666</v>
      </c>
      <c r="V366" s="4" t="s">
        <v>49</v>
      </c>
      <c r="W366" s="5">
        <v>1.0</v>
      </c>
      <c r="X366" s="5" t="b">
        <v>1</v>
      </c>
      <c r="Y366" s="5" t="s">
        <v>189</v>
      </c>
      <c r="Z366" s="5" t="b">
        <v>0</v>
      </c>
      <c r="AA366" s="10"/>
      <c r="AB366" s="4">
        <v>1.0</v>
      </c>
      <c r="AC366" s="11" t="s">
        <v>2184</v>
      </c>
      <c r="AD366" s="5">
        <v>0.0</v>
      </c>
      <c r="AE366" s="5">
        <v>1.0</v>
      </c>
      <c r="AF366" s="8">
        <v>46183.0</v>
      </c>
      <c r="AG366" s="9">
        <v>0.375</v>
      </c>
      <c r="AH366" s="9">
        <v>0.9166666666666666</v>
      </c>
      <c r="AI366" s="4" t="s">
        <v>49</v>
      </c>
      <c r="AJ366" s="5" t="s">
        <v>2185</v>
      </c>
      <c r="AK366" s="12"/>
      <c r="AL366" s="12">
        <v>46182.0</v>
      </c>
      <c r="AM366" s="12"/>
      <c r="AN366" s="12"/>
      <c r="AO366" s="12"/>
      <c r="AP366" s="12"/>
      <c r="AQ366" s="12"/>
    </row>
    <row r="367">
      <c r="A367" s="5" t="s">
        <v>2186</v>
      </c>
      <c r="B367" s="5">
        <v>1.1398423E7</v>
      </c>
      <c r="C367" s="5" t="s">
        <v>37</v>
      </c>
      <c r="D367" s="5" t="s">
        <v>2187</v>
      </c>
      <c r="E367" s="5" t="s">
        <v>39</v>
      </c>
      <c r="F367" s="5" t="s">
        <v>2188</v>
      </c>
      <c r="G367" s="15">
        <v>8.1180755E8</v>
      </c>
      <c r="H367" s="5" t="s">
        <v>2189</v>
      </c>
      <c r="I367" s="5" t="s">
        <v>42</v>
      </c>
      <c r="J367" s="5" t="s">
        <v>43</v>
      </c>
      <c r="K367" s="5">
        <v>8.7733785699E10</v>
      </c>
      <c r="L367" s="4" t="s">
        <v>44</v>
      </c>
      <c r="M367" s="5" t="s">
        <v>42</v>
      </c>
      <c r="N367" s="4" t="s">
        <v>45</v>
      </c>
      <c r="O367" s="4" t="s">
        <v>46</v>
      </c>
      <c r="P367" s="4" t="s">
        <v>187</v>
      </c>
      <c r="Q367" s="4">
        <v>16451.0</v>
      </c>
      <c r="R367" s="5" t="s">
        <v>2190</v>
      </c>
      <c r="S367" s="8">
        <v>46183.0</v>
      </c>
      <c r="T367" s="9">
        <v>0.375</v>
      </c>
      <c r="U367" s="9">
        <v>0.9166666666666666</v>
      </c>
      <c r="V367" s="4" t="s">
        <v>49</v>
      </c>
      <c r="W367" s="5">
        <v>1.0</v>
      </c>
      <c r="X367" s="5" t="b">
        <v>1</v>
      </c>
      <c r="Y367" s="5" t="s">
        <v>189</v>
      </c>
      <c r="Z367" s="5" t="b">
        <v>0</v>
      </c>
      <c r="AA367" s="10"/>
      <c r="AB367" s="4">
        <v>1.0</v>
      </c>
      <c r="AC367" s="11" t="s">
        <v>2191</v>
      </c>
      <c r="AD367" s="5">
        <v>0.0</v>
      </c>
      <c r="AE367" s="5">
        <v>1.0</v>
      </c>
      <c r="AF367" s="8">
        <v>46183.0</v>
      </c>
      <c r="AG367" s="9">
        <v>0.375</v>
      </c>
      <c r="AH367" s="9">
        <v>0.9166666666666666</v>
      </c>
      <c r="AI367" s="4" t="s">
        <v>49</v>
      </c>
      <c r="AJ367" s="5" t="s">
        <v>2192</v>
      </c>
      <c r="AK367" s="12"/>
      <c r="AL367" s="12">
        <v>46182.0</v>
      </c>
      <c r="AM367" s="12"/>
      <c r="AN367" s="12"/>
      <c r="AO367" s="12"/>
      <c r="AP367" s="12"/>
      <c r="AQ367" s="12"/>
    </row>
    <row r="368">
      <c r="A368" s="5" t="s">
        <v>2193</v>
      </c>
      <c r="B368" s="5">
        <v>1.1398423E7</v>
      </c>
      <c r="C368" s="5" t="s">
        <v>37</v>
      </c>
      <c r="D368" s="5" t="s">
        <v>2194</v>
      </c>
      <c r="E368" s="5" t="s">
        <v>39</v>
      </c>
      <c r="F368" s="5" t="s">
        <v>2188</v>
      </c>
      <c r="G368" s="15">
        <v>8.1180755E8</v>
      </c>
      <c r="H368" s="5" t="s">
        <v>2189</v>
      </c>
      <c r="I368" s="5" t="s">
        <v>42</v>
      </c>
      <c r="J368" s="5" t="s">
        <v>43</v>
      </c>
      <c r="K368" s="5">
        <v>8.7733785699E10</v>
      </c>
      <c r="L368" s="4" t="s">
        <v>44</v>
      </c>
      <c r="M368" s="5" t="s">
        <v>42</v>
      </c>
      <c r="N368" s="4" t="s">
        <v>45</v>
      </c>
      <c r="O368" s="4" t="s">
        <v>46</v>
      </c>
      <c r="P368" s="4" t="s">
        <v>187</v>
      </c>
      <c r="Q368" s="4">
        <v>16451.0</v>
      </c>
      <c r="R368" s="5" t="s">
        <v>2195</v>
      </c>
      <c r="S368" s="8">
        <v>46183.0</v>
      </c>
      <c r="T368" s="9">
        <v>0.375</v>
      </c>
      <c r="U368" s="9">
        <v>0.9166666666666666</v>
      </c>
      <c r="V368" s="4" t="s">
        <v>49</v>
      </c>
      <c r="W368" s="5">
        <v>1.0</v>
      </c>
      <c r="X368" s="5" t="b">
        <v>1</v>
      </c>
      <c r="Y368" s="5" t="s">
        <v>189</v>
      </c>
      <c r="Z368" s="5" t="b">
        <v>0</v>
      </c>
      <c r="AA368" s="10"/>
      <c r="AB368" s="4">
        <v>1.0</v>
      </c>
      <c r="AC368" s="11" t="s">
        <v>2196</v>
      </c>
      <c r="AD368" s="5">
        <v>0.0</v>
      </c>
      <c r="AE368" s="5">
        <v>1.0</v>
      </c>
      <c r="AF368" s="8">
        <v>46183.0</v>
      </c>
      <c r="AG368" s="9">
        <v>0.375</v>
      </c>
      <c r="AH368" s="9">
        <v>0.9166666666666666</v>
      </c>
      <c r="AI368" s="4" t="s">
        <v>49</v>
      </c>
      <c r="AJ368" s="5" t="s">
        <v>2197</v>
      </c>
      <c r="AK368" s="12"/>
      <c r="AL368" s="12">
        <v>46182.0</v>
      </c>
      <c r="AM368" s="12"/>
      <c r="AN368" s="12"/>
      <c r="AO368" s="12"/>
      <c r="AP368" s="12"/>
      <c r="AQ368" s="12"/>
    </row>
    <row r="369">
      <c r="A369" s="5" t="s">
        <v>2198</v>
      </c>
      <c r="B369" s="5">
        <v>1.1398423E7</v>
      </c>
      <c r="C369" s="5" t="s">
        <v>37</v>
      </c>
      <c r="D369" s="5" t="s">
        <v>2199</v>
      </c>
      <c r="E369" s="5" t="s">
        <v>39</v>
      </c>
      <c r="F369" s="5" t="s">
        <v>2200</v>
      </c>
      <c r="G369" s="15">
        <v>8.121353375E9</v>
      </c>
      <c r="H369" s="5" t="s">
        <v>2201</v>
      </c>
      <c r="I369" s="5" t="s">
        <v>42</v>
      </c>
      <c r="J369" s="5" t="s">
        <v>43</v>
      </c>
      <c r="K369" s="5">
        <v>8.7733785699E10</v>
      </c>
      <c r="L369" s="4" t="s">
        <v>44</v>
      </c>
      <c r="M369" s="5" t="s">
        <v>42</v>
      </c>
      <c r="N369" s="4" t="s">
        <v>45</v>
      </c>
      <c r="O369" s="4" t="s">
        <v>46</v>
      </c>
      <c r="P369" s="4" t="s">
        <v>187</v>
      </c>
      <c r="Q369" s="4">
        <v>16451.0</v>
      </c>
      <c r="R369" s="5" t="s">
        <v>2202</v>
      </c>
      <c r="S369" s="8">
        <v>46183.0</v>
      </c>
      <c r="T369" s="9">
        <v>0.375</v>
      </c>
      <c r="U369" s="9">
        <v>0.9166666666666666</v>
      </c>
      <c r="V369" s="4" t="s">
        <v>49</v>
      </c>
      <c r="W369" s="5">
        <v>1.0</v>
      </c>
      <c r="X369" s="5" t="b">
        <v>1</v>
      </c>
      <c r="Y369" s="5" t="s">
        <v>189</v>
      </c>
      <c r="Z369" s="5" t="b">
        <v>0</v>
      </c>
      <c r="AA369" s="10"/>
      <c r="AB369" s="4">
        <v>1.0</v>
      </c>
      <c r="AC369" s="11" t="s">
        <v>2203</v>
      </c>
      <c r="AD369" s="5">
        <v>0.0</v>
      </c>
      <c r="AE369" s="5">
        <v>1.0</v>
      </c>
      <c r="AF369" s="8">
        <v>46183.0</v>
      </c>
      <c r="AG369" s="9">
        <v>0.375</v>
      </c>
      <c r="AH369" s="9">
        <v>0.9166666666666666</v>
      </c>
      <c r="AI369" s="4" t="s">
        <v>49</v>
      </c>
      <c r="AJ369" s="5" t="s">
        <v>2204</v>
      </c>
      <c r="AK369" s="12"/>
      <c r="AL369" s="12">
        <v>46182.0</v>
      </c>
      <c r="AM369" s="12"/>
      <c r="AN369" s="12"/>
      <c r="AO369" s="12"/>
      <c r="AP369" s="12"/>
      <c r="AQ369" s="12"/>
    </row>
    <row r="370">
      <c r="A370" s="5" t="s">
        <v>2205</v>
      </c>
      <c r="B370" s="5">
        <v>1.1398423E7</v>
      </c>
      <c r="C370" s="5" t="s">
        <v>37</v>
      </c>
      <c r="D370" s="5" t="s">
        <v>2206</v>
      </c>
      <c r="E370" s="5" t="s">
        <v>39</v>
      </c>
      <c r="F370" s="5" t="s">
        <v>2207</v>
      </c>
      <c r="G370" s="15">
        <v>8.1388854434E10</v>
      </c>
      <c r="H370" s="5" t="s">
        <v>2208</v>
      </c>
      <c r="I370" s="5" t="s">
        <v>42</v>
      </c>
      <c r="J370" s="5" t="s">
        <v>43</v>
      </c>
      <c r="K370" s="5">
        <v>8.7733785699E10</v>
      </c>
      <c r="L370" s="4" t="s">
        <v>44</v>
      </c>
      <c r="M370" s="5" t="s">
        <v>42</v>
      </c>
      <c r="N370" s="4" t="s">
        <v>45</v>
      </c>
      <c r="O370" s="4" t="s">
        <v>46</v>
      </c>
      <c r="P370" s="4" t="s">
        <v>187</v>
      </c>
      <c r="Q370" s="4">
        <v>16451.0</v>
      </c>
      <c r="R370" s="5" t="s">
        <v>2209</v>
      </c>
      <c r="S370" s="8">
        <v>46183.0</v>
      </c>
      <c r="T370" s="9">
        <v>0.375</v>
      </c>
      <c r="U370" s="9">
        <v>0.9166666666666666</v>
      </c>
      <c r="V370" s="4" t="s">
        <v>49</v>
      </c>
      <c r="W370" s="5">
        <v>1.0</v>
      </c>
      <c r="X370" s="5" t="b">
        <v>1</v>
      </c>
      <c r="Y370" s="5" t="s">
        <v>189</v>
      </c>
      <c r="Z370" s="5" t="b">
        <v>0</v>
      </c>
      <c r="AA370" s="10"/>
      <c r="AB370" s="4">
        <v>1.0</v>
      </c>
      <c r="AC370" s="11" t="s">
        <v>2210</v>
      </c>
      <c r="AD370" s="5">
        <v>0.0</v>
      </c>
      <c r="AE370" s="5">
        <v>1.0</v>
      </c>
      <c r="AF370" s="8">
        <v>46183.0</v>
      </c>
      <c r="AG370" s="9">
        <v>0.375</v>
      </c>
      <c r="AH370" s="9">
        <v>0.9166666666666666</v>
      </c>
      <c r="AI370" s="4" t="s">
        <v>49</v>
      </c>
      <c r="AJ370" s="5" t="s">
        <v>2211</v>
      </c>
      <c r="AK370" s="12"/>
      <c r="AL370" s="12">
        <v>46182.0</v>
      </c>
      <c r="AM370" s="12"/>
      <c r="AN370" s="12"/>
      <c r="AO370" s="12"/>
      <c r="AP370" s="12"/>
      <c r="AQ370" s="12"/>
    </row>
    <row r="371">
      <c r="A371" s="5" t="s">
        <v>2212</v>
      </c>
      <c r="B371" s="5">
        <v>1.1398423E7</v>
      </c>
      <c r="C371" s="5" t="s">
        <v>37</v>
      </c>
      <c r="D371" s="5" t="s">
        <v>2213</v>
      </c>
      <c r="E371" s="5" t="s">
        <v>39</v>
      </c>
      <c r="F371" s="5" t="s">
        <v>2214</v>
      </c>
      <c r="G371" s="15">
        <v>8.1212343639E10</v>
      </c>
      <c r="H371" s="5" t="s">
        <v>2215</v>
      </c>
      <c r="I371" s="5" t="s">
        <v>42</v>
      </c>
      <c r="J371" s="5" t="s">
        <v>43</v>
      </c>
      <c r="K371" s="5">
        <v>8.7733785699E10</v>
      </c>
      <c r="L371" s="4" t="s">
        <v>44</v>
      </c>
      <c r="M371" s="5" t="s">
        <v>42</v>
      </c>
      <c r="N371" s="4" t="s">
        <v>45</v>
      </c>
      <c r="O371" s="4" t="s">
        <v>46</v>
      </c>
      <c r="P371" s="4" t="s">
        <v>187</v>
      </c>
      <c r="Q371" s="4">
        <v>16451.0</v>
      </c>
      <c r="R371" s="5" t="s">
        <v>2216</v>
      </c>
      <c r="S371" s="8">
        <v>46183.0</v>
      </c>
      <c r="T371" s="9">
        <v>0.375</v>
      </c>
      <c r="U371" s="9">
        <v>0.9166666666666666</v>
      </c>
      <c r="V371" s="4" t="s">
        <v>49</v>
      </c>
      <c r="W371" s="5">
        <v>1.0</v>
      </c>
      <c r="X371" s="5" t="b">
        <v>1</v>
      </c>
      <c r="Y371" s="5" t="s">
        <v>189</v>
      </c>
      <c r="Z371" s="5" t="b">
        <v>0</v>
      </c>
      <c r="AA371" s="10"/>
      <c r="AB371" s="4">
        <v>1.0</v>
      </c>
      <c r="AC371" s="11" t="s">
        <v>2217</v>
      </c>
      <c r="AD371" s="5">
        <v>0.0</v>
      </c>
      <c r="AE371" s="5">
        <v>1.0</v>
      </c>
      <c r="AF371" s="8">
        <v>46183.0</v>
      </c>
      <c r="AG371" s="9">
        <v>0.375</v>
      </c>
      <c r="AH371" s="9">
        <v>0.9166666666666666</v>
      </c>
      <c r="AI371" s="4" t="s">
        <v>49</v>
      </c>
      <c r="AJ371" s="5" t="s">
        <v>2218</v>
      </c>
      <c r="AK371" s="12"/>
      <c r="AL371" s="12">
        <v>46182.0</v>
      </c>
      <c r="AM371" s="12"/>
      <c r="AN371" s="12"/>
      <c r="AO371" s="12"/>
      <c r="AP371" s="12"/>
      <c r="AQ371" s="12"/>
    </row>
    <row r="372">
      <c r="A372" s="5" t="s">
        <v>2219</v>
      </c>
      <c r="B372" s="5">
        <v>1.1398423E7</v>
      </c>
      <c r="C372" s="5" t="s">
        <v>37</v>
      </c>
      <c r="D372" s="5" t="s">
        <v>2220</v>
      </c>
      <c r="E372" s="5" t="s">
        <v>39</v>
      </c>
      <c r="F372" s="5" t="s">
        <v>2221</v>
      </c>
      <c r="G372" s="15">
        <v>8.2250808899E10</v>
      </c>
      <c r="H372" s="5" t="s">
        <v>2222</v>
      </c>
      <c r="I372" s="5" t="s">
        <v>42</v>
      </c>
      <c r="J372" s="5" t="s">
        <v>43</v>
      </c>
      <c r="K372" s="5">
        <v>8.7733785699E10</v>
      </c>
      <c r="L372" s="4" t="s">
        <v>44</v>
      </c>
      <c r="M372" s="5" t="s">
        <v>42</v>
      </c>
      <c r="N372" s="4" t="s">
        <v>45</v>
      </c>
      <c r="O372" s="4" t="s">
        <v>46</v>
      </c>
      <c r="P372" s="4" t="s">
        <v>187</v>
      </c>
      <c r="Q372" s="4">
        <v>16451.0</v>
      </c>
      <c r="R372" s="5" t="s">
        <v>2223</v>
      </c>
      <c r="S372" s="8">
        <v>46183.0</v>
      </c>
      <c r="T372" s="9">
        <v>0.375</v>
      </c>
      <c r="U372" s="9">
        <v>0.9166666666666666</v>
      </c>
      <c r="V372" s="4" t="s">
        <v>49</v>
      </c>
      <c r="W372" s="5">
        <v>1.0</v>
      </c>
      <c r="X372" s="5" t="b">
        <v>1</v>
      </c>
      <c r="Y372" s="5" t="s">
        <v>189</v>
      </c>
      <c r="Z372" s="5" t="b">
        <v>0</v>
      </c>
      <c r="AA372" s="10"/>
      <c r="AB372" s="4">
        <v>1.0</v>
      </c>
      <c r="AC372" s="11" t="s">
        <v>2224</v>
      </c>
      <c r="AD372" s="5">
        <v>0.0</v>
      </c>
      <c r="AE372" s="5">
        <v>1.0</v>
      </c>
      <c r="AF372" s="8">
        <v>46183.0</v>
      </c>
      <c r="AG372" s="9">
        <v>0.375</v>
      </c>
      <c r="AH372" s="9">
        <v>0.9166666666666666</v>
      </c>
      <c r="AI372" s="4" t="s">
        <v>49</v>
      </c>
      <c r="AJ372" s="5" t="s">
        <v>2225</v>
      </c>
      <c r="AK372" s="12"/>
      <c r="AL372" s="12">
        <v>46182.0</v>
      </c>
      <c r="AM372" s="12"/>
      <c r="AN372" s="12"/>
      <c r="AO372" s="12"/>
      <c r="AP372" s="12"/>
      <c r="AQ372" s="12"/>
    </row>
    <row r="373">
      <c r="A373" s="5" t="s">
        <v>2226</v>
      </c>
      <c r="B373" s="5">
        <v>1.1398423E7</v>
      </c>
      <c r="C373" s="5" t="s">
        <v>37</v>
      </c>
      <c r="D373" s="5" t="s">
        <v>2227</v>
      </c>
      <c r="E373" s="5" t="s">
        <v>39</v>
      </c>
      <c r="F373" s="5" t="s">
        <v>2228</v>
      </c>
      <c r="G373" s="15">
        <v>8.3179789177E10</v>
      </c>
      <c r="H373" s="5" t="s">
        <v>2229</v>
      </c>
      <c r="I373" s="5" t="s">
        <v>42</v>
      </c>
      <c r="J373" s="5" t="s">
        <v>43</v>
      </c>
      <c r="K373" s="5">
        <v>8.7733785699E10</v>
      </c>
      <c r="L373" s="4" t="s">
        <v>44</v>
      </c>
      <c r="M373" s="5" t="s">
        <v>42</v>
      </c>
      <c r="N373" s="4" t="s">
        <v>45</v>
      </c>
      <c r="O373" s="4" t="s">
        <v>46</v>
      </c>
      <c r="P373" s="4" t="s">
        <v>187</v>
      </c>
      <c r="Q373" s="4">
        <v>16451.0</v>
      </c>
      <c r="R373" s="5" t="s">
        <v>2230</v>
      </c>
      <c r="S373" s="8">
        <v>46183.0</v>
      </c>
      <c r="T373" s="9">
        <v>0.375</v>
      </c>
      <c r="U373" s="9">
        <v>0.9166666666666666</v>
      </c>
      <c r="V373" s="4" t="s">
        <v>49</v>
      </c>
      <c r="W373" s="5">
        <v>1.0</v>
      </c>
      <c r="X373" s="5" t="b">
        <v>1</v>
      </c>
      <c r="Y373" s="5" t="s">
        <v>189</v>
      </c>
      <c r="Z373" s="5" t="b">
        <v>0</v>
      </c>
      <c r="AA373" s="10"/>
      <c r="AB373" s="4">
        <v>1.0</v>
      </c>
      <c r="AC373" s="11" t="s">
        <v>2231</v>
      </c>
      <c r="AD373" s="5">
        <v>0.0</v>
      </c>
      <c r="AE373" s="5">
        <v>1.0</v>
      </c>
      <c r="AF373" s="8">
        <v>46183.0</v>
      </c>
      <c r="AG373" s="9">
        <v>0.375</v>
      </c>
      <c r="AH373" s="9">
        <v>0.9166666666666666</v>
      </c>
      <c r="AI373" s="4" t="s">
        <v>49</v>
      </c>
      <c r="AJ373" s="5" t="s">
        <v>2232</v>
      </c>
      <c r="AK373" s="12"/>
      <c r="AL373" s="12">
        <v>46182.0</v>
      </c>
      <c r="AM373" s="12"/>
      <c r="AN373" s="12"/>
      <c r="AO373" s="12"/>
      <c r="AP373" s="12"/>
      <c r="AQ373" s="12"/>
    </row>
    <row r="374">
      <c r="A374" s="5" t="s">
        <v>2233</v>
      </c>
      <c r="B374" s="5">
        <v>1.1398423E7</v>
      </c>
      <c r="C374" s="5" t="s">
        <v>37</v>
      </c>
      <c r="D374" s="5" t="s">
        <v>2234</v>
      </c>
      <c r="E374" s="5" t="s">
        <v>39</v>
      </c>
      <c r="F374" s="5" t="s">
        <v>2235</v>
      </c>
      <c r="G374" s="15">
        <v>6.28226E17</v>
      </c>
      <c r="H374" s="5" t="s">
        <v>2236</v>
      </c>
      <c r="I374" s="5" t="s">
        <v>42</v>
      </c>
      <c r="J374" s="5" t="s">
        <v>43</v>
      </c>
      <c r="K374" s="5">
        <v>8.7733785699E10</v>
      </c>
      <c r="L374" s="4" t="s">
        <v>44</v>
      </c>
      <c r="M374" s="5" t="s">
        <v>42</v>
      </c>
      <c r="N374" s="4" t="s">
        <v>45</v>
      </c>
      <c r="O374" s="4" t="s">
        <v>46</v>
      </c>
      <c r="P374" s="4" t="s">
        <v>187</v>
      </c>
      <c r="Q374" s="4">
        <v>16451.0</v>
      </c>
      <c r="R374" s="5" t="s">
        <v>2237</v>
      </c>
      <c r="S374" s="8">
        <v>46183.0</v>
      </c>
      <c r="T374" s="9">
        <v>0.375</v>
      </c>
      <c r="U374" s="9">
        <v>0.9166666666666666</v>
      </c>
      <c r="V374" s="4" t="s">
        <v>49</v>
      </c>
      <c r="W374" s="5">
        <v>1.0</v>
      </c>
      <c r="X374" s="5" t="b">
        <v>1</v>
      </c>
      <c r="Y374" s="5" t="s">
        <v>189</v>
      </c>
      <c r="Z374" s="5" t="b">
        <v>0</v>
      </c>
      <c r="AA374" s="10"/>
      <c r="AB374" s="4">
        <v>1.0</v>
      </c>
      <c r="AC374" s="11" t="s">
        <v>2238</v>
      </c>
      <c r="AD374" s="5">
        <v>0.0</v>
      </c>
      <c r="AE374" s="5">
        <v>1.0</v>
      </c>
      <c r="AF374" s="8">
        <v>46183.0</v>
      </c>
      <c r="AG374" s="9">
        <v>0.375</v>
      </c>
      <c r="AH374" s="9">
        <v>0.9166666666666666</v>
      </c>
      <c r="AI374" s="4" t="s">
        <v>49</v>
      </c>
      <c r="AJ374" s="5" t="s">
        <v>2239</v>
      </c>
      <c r="AK374" s="12"/>
      <c r="AL374" s="12">
        <v>46182.0</v>
      </c>
      <c r="AM374" s="12"/>
      <c r="AN374" s="12"/>
      <c r="AO374" s="12"/>
      <c r="AP374" s="12"/>
      <c r="AQ374" s="12"/>
    </row>
    <row r="375">
      <c r="A375" s="5" t="s">
        <v>2240</v>
      </c>
      <c r="B375" s="5">
        <v>1.1398423E7</v>
      </c>
      <c r="C375" s="5" t="s">
        <v>37</v>
      </c>
      <c r="D375" s="5" t="s">
        <v>2241</v>
      </c>
      <c r="E375" s="5" t="s">
        <v>39</v>
      </c>
      <c r="F375" s="5" t="s">
        <v>2242</v>
      </c>
      <c r="G375" s="15">
        <v>8.131266801E10</v>
      </c>
      <c r="H375" s="5" t="s">
        <v>2243</v>
      </c>
      <c r="I375" s="5" t="s">
        <v>42</v>
      </c>
      <c r="J375" s="5" t="s">
        <v>43</v>
      </c>
      <c r="K375" s="5">
        <v>8.7733785699E10</v>
      </c>
      <c r="L375" s="4" t="s">
        <v>44</v>
      </c>
      <c r="M375" s="5" t="s">
        <v>42</v>
      </c>
      <c r="N375" s="4" t="s">
        <v>45</v>
      </c>
      <c r="O375" s="4" t="s">
        <v>46</v>
      </c>
      <c r="P375" s="4" t="s">
        <v>187</v>
      </c>
      <c r="Q375" s="4">
        <v>16451.0</v>
      </c>
      <c r="R375" s="5" t="s">
        <v>2244</v>
      </c>
      <c r="S375" s="8">
        <v>46183.0</v>
      </c>
      <c r="T375" s="9">
        <v>0.375</v>
      </c>
      <c r="U375" s="9">
        <v>0.9166666666666666</v>
      </c>
      <c r="V375" s="4" t="s">
        <v>49</v>
      </c>
      <c r="W375" s="5">
        <v>1.0</v>
      </c>
      <c r="X375" s="5" t="b">
        <v>1</v>
      </c>
      <c r="Y375" s="5" t="s">
        <v>189</v>
      </c>
      <c r="Z375" s="5" t="b">
        <v>0</v>
      </c>
      <c r="AA375" s="10"/>
      <c r="AB375" s="4">
        <v>1.0</v>
      </c>
      <c r="AC375" s="11" t="s">
        <v>2245</v>
      </c>
      <c r="AD375" s="5">
        <v>0.0</v>
      </c>
      <c r="AE375" s="5">
        <v>1.0</v>
      </c>
      <c r="AF375" s="8">
        <v>46183.0</v>
      </c>
      <c r="AG375" s="9">
        <v>0.375</v>
      </c>
      <c r="AH375" s="9">
        <v>0.9166666666666666</v>
      </c>
      <c r="AI375" s="4" t="s">
        <v>49</v>
      </c>
      <c r="AJ375" s="5" t="s">
        <v>2246</v>
      </c>
      <c r="AK375" s="12"/>
      <c r="AL375" s="12">
        <v>46182.0</v>
      </c>
      <c r="AM375" s="12"/>
      <c r="AN375" s="12"/>
      <c r="AO375" s="12"/>
      <c r="AP375" s="12"/>
      <c r="AQ375" s="12"/>
    </row>
    <row r="376">
      <c r="A376" s="5" t="s">
        <v>2247</v>
      </c>
      <c r="B376" s="5">
        <v>1.1398423E7</v>
      </c>
      <c r="C376" s="5" t="s">
        <v>37</v>
      </c>
      <c r="D376" s="5" t="s">
        <v>2248</v>
      </c>
      <c r="E376" s="5" t="s">
        <v>39</v>
      </c>
      <c r="F376" s="5" t="s">
        <v>2249</v>
      </c>
      <c r="G376" s="15">
        <v>8.2117231065E10</v>
      </c>
      <c r="H376" s="5" t="s">
        <v>2250</v>
      </c>
      <c r="I376" s="5" t="s">
        <v>42</v>
      </c>
      <c r="J376" s="5" t="s">
        <v>43</v>
      </c>
      <c r="K376" s="5">
        <v>8.7733785699E10</v>
      </c>
      <c r="L376" s="4" t="s">
        <v>44</v>
      </c>
      <c r="M376" s="5" t="s">
        <v>42</v>
      </c>
      <c r="N376" s="4" t="s">
        <v>45</v>
      </c>
      <c r="O376" s="4" t="s">
        <v>46</v>
      </c>
      <c r="P376" s="4" t="s">
        <v>187</v>
      </c>
      <c r="Q376" s="4">
        <v>16451.0</v>
      </c>
      <c r="R376" s="5" t="s">
        <v>2251</v>
      </c>
      <c r="S376" s="8">
        <v>46183.0</v>
      </c>
      <c r="T376" s="9">
        <v>0.375</v>
      </c>
      <c r="U376" s="9">
        <v>0.9166666666666666</v>
      </c>
      <c r="V376" s="4" t="s">
        <v>49</v>
      </c>
      <c r="W376" s="5">
        <v>1.0</v>
      </c>
      <c r="X376" s="5" t="b">
        <v>1</v>
      </c>
      <c r="Y376" s="5" t="s">
        <v>189</v>
      </c>
      <c r="Z376" s="5" t="b">
        <v>0</v>
      </c>
      <c r="AA376" s="10"/>
      <c r="AB376" s="4">
        <v>1.0</v>
      </c>
      <c r="AC376" s="11" t="s">
        <v>2252</v>
      </c>
      <c r="AD376" s="5">
        <v>0.0</v>
      </c>
      <c r="AE376" s="5">
        <v>1.0</v>
      </c>
      <c r="AF376" s="8">
        <v>46183.0</v>
      </c>
      <c r="AG376" s="9">
        <v>0.375</v>
      </c>
      <c r="AH376" s="9">
        <v>0.9166666666666666</v>
      </c>
      <c r="AI376" s="4" t="s">
        <v>49</v>
      </c>
      <c r="AJ376" s="5" t="s">
        <v>2253</v>
      </c>
      <c r="AK376" s="12"/>
      <c r="AL376" s="12">
        <v>46182.0</v>
      </c>
      <c r="AM376" s="12"/>
      <c r="AN376" s="12"/>
      <c r="AO376" s="12"/>
      <c r="AP376" s="12"/>
      <c r="AQ376" s="12"/>
    </row>
    <row r="377">
      <c r="A377" s="5" t="s">
        <v>2254</v>
      </c>
      <c r="B377" s="5">
        <v>1.1398423E7</v>
      </c>
      <c r="C377" s="5" t="s">
        <v>37</v>
      </c>
      <c r="D377" s="5" t="s">
        <v>2255</v>
      </c>
      <c r="E377" s="5" t="s">
        <v>39</v>
      </c>
      <c r="F377" s="5" t="s">
        <v>2256</v>
      </c>
      <c r="G377" s="15">
        <v>6.28239E17</v>
      </c>
      <c r="H377" s="5" t="s">
        <v>2257</v>
      </c>
      <c r="I377" s="5" t="s">
        <v>42</v>
      </c>
      <c r="J377" s="5" t="s">
        <v>43</v>
      </c>
      <c r="K377" s="5">
        <v>8.7733785699E10</v>
      </c>
      <c r="L377" s="4" t="s">
        <v>44</v>
      </c>
      <c r="M377" s="5" t="s">
        <v>42</v>
      </c>
      <c r="N377" s="4" t="s">
        <v>45</v>
      </c>
      <c r="O377" s="4" t="s">
        <v>46</v>
      </c>
      <c r="P377" s="4" t="s">
        <v>187</v>
      </c>
      <c r="Q377" s="4">
        <v>16451.0</v>
      </c>
      <c r="R377" s="5" t="s">
        <v>2258</v>
      </c>
      <c r="S377" s="8">
        <v>46183.0</v>
      </c>
      <c r="T377" s="9">
        <v>0.375</v>
      </c>
      <c r="U377" s="9">
        <v>0.9166666666666666</v>
      </c>
      <c r="V377" s="4" t="s">
        <v>49</v>
      </c>
      <c r="W377" s="5">
        <v>1.0</v>
      </c>
      <c r="X377" s="5" t="b">
        <v>1</v>
      </c>
      <c r="Y377" s="5" t="s">
        <v>189</v>
      </c>
      <c r="Z377" s="5" t="b">
        <v>0</v>
      </c>
      <c r="AA377" s="10"/>
      <c r="AB377" s="4">
        <v>1.0</v>
      </c>
      <c r="AC377" s="11" t="s">
        <v>2259</v>
      </c>
      <c r="AD377" s="5">
        <v>0.0</v>
      </c>
      <c r="AE377" s="5">
        <v>1.0</v>
      </c>
      <c r="AF377" s="8">
        <v>46183.0</v>
      </c>
      <c r="AG377" s="9">
        <v>0.375</v>
      </c>
      <c r="AH377" s="9">
        <v>0.9166666666666666</v>
      </c>
      <c r="AI377" s="4" t="s">
        <v>49</v>
      </c>
      <c r="AJ377" s="5" t="s">
        <v>2260</v>
      </c>
      <c r="AK377" s="12"/>
      <c r="AL377" s="12">
        <v>46182.0</v>
      </c>
      <c r="AM377" s="12"/>
      <c r="AN377" s="12"/>
      <c r="AO377" s="12"/>
      <c r="AP377" s="12"/>
      <c r="AQ377" s="12"/>
    </row>
    <row r="378">
      <c r="A378" s="5" t="s">
        <v>2261</v>
      </c>
      <c r="B378" s="5">
        <v>1.1398423E7</v>
      </c>
      <c r="C378" s="5" t="s">
        <v>37</v>
      </c>
      <c r="D378" s="5" t="s">
        <v>2262</v>
      </c>
      <c r="E378" s="5" t="s">
        <v>39</v>
      </c>
      <c r="F378" s="5" t="s">
        <v>2263</v>
      </c>
      <c r="G378" s="15">
        <v>8.1264043044E10</v>
      </c>
      <c r="H378" s="5" t="s">
        <v>2264</v>
      </c>
      <c r="I378" s="5" t="s">
        <v>42</v>
      </c>
      <c r="J378" s="5" t="s">
        <v>43</v>
      </c>
      <c r="K378" s="5">
        <v>8.7733785699E10</v>
      </c>
      <c r="L378" s="4" t="s">
        <v>44</v>
      </c>
      <c r="M378" s="5" t="s">
        <v>42</v>
      </c>
      <c r="N378" s="4" t="s">
        <v>45</v>
      </c>
      <c r="O378" s="4" t="s">
        <v>46</v>
      </c>
      <c r="P378" s="4" t="s">
        <v>187</v>
      </c>
      <c r="Q378" s="4">
        <v>16451.0</v>
      </c>
      <c r="R378" s="5" t="s">
        <v>2265</v>
      </c>
      <c r="S378" s="8">
        <v>46183.0</v>
      </c>
      <c r="T378" s="9">
        <v>0.375</v>
      </c>
      <c r="U378" s="9">
        <v>0.9166666666666666</v>
      </c>
      <c r="V378" s="4" t="s">
        <v>49</v>
      </c>
      <c r="W378" s="5">
        <v>1.0</v>
      </c>
      <c r="X378" s="5" t="b">
        <v>1</v>
      </c>
      <c r="Y378" s="5" t="s">
        <v>189</v>
      </c>
      <c r="Z378" s="5" t="b">
        <v>0</v>
      </c>
      <c r="AA378" s="10"/>
      <c r="AB378" s="4">
        <v>1.0</v>
      </c>
      <c r="AC378" s="11" t="s">
        <v>2266</v>
      </c>
      <c r="AD378" s="5">
        <v>0.0</v>
      </c>
      <c r="AE378" s="5">
        <v>1.0</v>
      </c>
      <c r="AF378" s="8">
        <v>46183.0</v>
      </c>
      <c r="AG378" s="9">
        <v>0.375</v>
      </c>
      <c r="AH378" s="9">
        <v>0.9166666666666666</v>
      </c>
      <c r="AI378" s="4" t="s">
        <v>49</v>
      </c>
      <c r="AJ378" s="5" t="s">
        <v>2267</v>
      </c>
      <c r="AK378" s="12"/>
      <c r="AL378" s="12">
        <v>46182.0</v>
      </c>
      <c r="AM378" s="12"/>
      <c r="AN378" s="12"/>
      <c r="AO378" s="12"/>
      <c r="AP378" s="12"/>
      <c r="AQ378" s="12"/>
    </row>
    <row r="379">
      <c r="A379" s="5" t="s">
        <v>2268</v>
      </c>
      <c r="B379" s="5">
        <v>1.1398423E7</v>
      </c>
      <c r="C379" s="5" t="s">
        <v>37</v>
      </c>
      <c r="D379" s="5" t="s">
        <v>2269</v>
      </c>
      <c r="E379" s="5" t="s">
        <v>39</v>
      </c>
      <c r="F379" s="5" t="s">
        <v>2270</v>
      </c>
      <c r="G379" s="15">
        <v>6.28131E17</v>
      </c>
      <c r="H379" s="5" t="s">
        <v>2271</v>
      </c>
      <c r="I379" s="5" t="s">
        <v>42</v>
      </c>
      <c r="J379" s="5" t="s">
        <v>43</v>
      </c>
      <c r="K379" s="5">
        <v>8.7733785699E10</v>
      </c>
      <c r="L379" s="4" t="s">
        <v>44</v>
      </c>
      <c r="M379" s="5" t="s">
        <v>42</v>
      </c>
      <c r="N379" s="4" t="s">
        <v>45</v>
      </c>
      <c r="O379" s="4" t="s">
        <v>46</v>
      </c>
      <c r="P379" s="4" t="s">
        <v>187</v>
      </c>
      <c r="Q379" s="4">
        <v>16451.0</v>
      </c>
      <c r="R379" s="5" t="s">
        <v>2272</v>
      </c>
      <c r="S379" s="8">
        <v>46183.0</v>
      </c>
      <c r="T379" s="9">
        <v>0.375</v>
      </c>
      <c r="U379" s="9">
        <v>0.9166666666666666</v>
      </c>
      <c r="V379" s="4" t="s">
        <v>49</v>
      </c>
      <c r="W379" s="5">
        <v>1.0</v>
      </c>
      <c r="X379" s="5" t="b">
        <v>1</v>
      </c>
      <c r="Y379" s="5" t="s">
        <v>189</v>
      </c>
      <c r="Z379" s="5" t="b">
        <v>0</v>
      </c>
      <c r="AA379" s="10"/>
      <c r="AB379" s="4">
        <v>1.0</v>
      </c>
      <c r="AC379" s="11" t="s">
        <v>2273</v>
      </c>
      <c r="AD379" s="5">
        <v>0.0</v>
      </c>
      <c r="AE379" s="5">
        <v>1.0</v>
      </c>
      <c r="AF379" s="8">
        <v>46183.0</v>
      </c>
      <c r="AG379" s="9">
        <v>0.375</v>
      </c>
      <c r="AH379" s="9">
        <v>0.9166666666666666</v>
      </c>
      <c r="AI379" s="4" t="s">
        <v>49</v>
      </c>
      <c r="AJ379" s="5" t="s">
        <v>2274</v>
      </c>
      <c r="AK379" s="12"/>
      <c r="AL379" s="12">
        <v>46182.0</v>
      </c>
      <c r="AM379" s="12"/>
      <c r="AN379" s="12"/>
      <c r="AO379" s="12"/>
      <c r="AP379" s="12"/>
      <c r="AQ379" s="12"/>
    </row>
    <row r="380">
      <c r="A380" s="5" t="s">
        <v>2275</v>
      </c>
      <c r="B380" s="5">
        <v>1.1398423E7</v>
      </c>
      <c r="C380" s="5" t="s">
        <v>37</v>
      </c>
      <c r="D380" s="5" t="s">
        <v>1778</v>
      </c>
      <c r="E380" s="5" t="s">
        <v>39</v>
      </c>
      <c r="F380" s="5" t="s">
        <v>1779</v>
      </c>
      <c r="G380" s="15">
        <v>8.1398912227E10</v>
      </c>
      <c r="H380" s="5" t="s">
        <v>1780</v>
      </c>
      <c r="I380" s="5" t="s">
        <v>42</v>
      </c>
      <c r="J380" s="5" t="s">
        <v>43</v>
      </c>
      <c r="K380" s="5">
        <v>8.7733785699E10</v>
      </c>
      <c r="L380" s="4" t="s">
        <v>44</v>
      </c>
      <c r="M380" s="5" t="s">
        <v>42</v>
      </c>
      <c r="N380" s="4" t="s">
        <v>45</v>
      </c>
      <c r="O380" s="4" t="s">
        <v>46</v>
      </c>
      <c r="P380" s="4" t="s">
        <v>187</v>
      </c>
      <c r="Q380" s="4">
        <v>16451.0</v>
      </c>
      <c r="R380" s="5" t="s">
        <v>2276</v>
      </c>
      <c r="S380" s="8">
        <v>46183.0</v>
      </c>
      <c r="T380" s="9">
        <v>0.375</v>
      </c>
      <c r="U380" s="9">
        <v>0.9166666666666666</v>
      </c>
      <c r="V380" s="4" t="s">
        <v>49</v>
      </c>
      <c r="W380" s="5">
        <v>1.0</v>
      </c>
      <c r="X380" s="5" t="b">
        <v>1</v>
      </c>
      <c r="Y380" s="5" t="s">
        <v>189</v>
      </c>
      <c r="Z380" s="5" t="b">
        <v>0</v>
      </c>
      <c r="AA380" s="10"/>
      <c r="AB380" s="4">
        <v>1.0</v>
      </c>
      <c r="AC380" s="11" t="s">
        <v>2277</v>
      </c>
      <c r="AD380" s="5">
        <v>0.0</v>
      </c>
      <c r="AE380" s="5">
        <v>1.0</v>
      </c>
      <c r="AF380" s="8">
        <v>46183.0</v>
      </c>
      <c r="AG380" s="9">
        <v>0.375</v>
      </c>
      <c r="AH380" s="9">
        <v>0.9166666666666666</v>
      </c>
      <c r="AI380" s="4" t="s">
        <v>49</v>
      </c>
      <c r="AJ380" s="5" t="s">
        <v>2278</v>
      </c>
      <c r="AK380" s="12"/>
      <c r="AL380" s="12">
        <v>46182.0</v>
      </c>
      <c r="AM380" s="12"/>
      <c r="AN380" s="12"/>
      <c r="AO380" s="12"/>
      <c r="AP380" s="12"/>
      <c r="AQ380" s="12"/>
    </row>
    <row r="381">
      <c r="A381" s="5" t="s">
        <v>2279</v>
      </c>
      <c r="B381" s="5">
        <v>1.1398423E7</v>
      </c>
      <c r="C381" s="5" t="s">
        <v>37</v>
      </c>
      <c r="D381" s="5" t="s">
        <v>2280</v>
      </c>
      <c r="E381" s="5" t="s">
        <v>39</v>
      </c>
      <c r="F381" s="5" t="s">
        <v>1779</v>
      </c>
      <c r="G381" s="15">
        <v>8.1398912227E10</v>
      </c>
      <c r="H381" s="5" t="s">
        <v>1780</v>
      </c>
      <c r="I381" s="5" t="s">
        <v>42</v>
      </c>
      <c r="J381" s="5" t="s">
        <v>43</v>
      </c>
      <c r="K381" s="5">
        <v>8.7733785699E10</v>
      </c>
      <c r="L381" s="4" t="s">
        <v>44</v>
      </c>
      <c r="M381" s="5" t="s">
        <v>42</v>
      </c>
      <c r="N381" s="4" t="s">
        <v>45</v>
      </c>
      <c r="O381" s="4" t="s">
        <v>46</v>
      </c>
      <c r="P381" s="4" t="s">
        <v>187</v>
      </c>
      <c r="Q381" s="4">
        <v>16451.0</v>
      </c>
      <c r="R381" s="5" t="s">
        <v>2281</v>
      </c>
      <c r="S381" s="8">
        <v>46183.0</v>
      </c>
      <c r="T381" s="9">
        <v>0.375</v>
      </c>
      <c r="U381" s="9">
        <v>0.9166666666666666</v>
      </c>
      <c r="V381" s="4" t="s">
        <v>49</v>
      </c>
      <c r="W381" s="5">
        <v>1.0</v>
      </c>
      <c r="X381" s="5" t="b">
        <v>1</v>
      </c>
      <c r="Y381" s="5" t="s">
        <v>189</v>
      </c>
      <c r="Z381" s="5" t="b">
        <v>0</v>
      </c>
      <c r="AA381" s="10"/>
      <c r="AB381" s="4">
        <v>1.0</v>
      </c>
      <c r="AC381" s="11" t="s">
        <v>2282</v>
      </c>
      <c r="AD381" s="5">
        <v>0.0</v>
      </c>
      <c r="AE381" s="5">
        <v>1.0</v>
      </c>
      <c r="AF381" s="8">
        <v>46183.0</v>
      </c>
      <c r="AG381" s="9">
        <v>0.375</v>
      </c>
      <c r="AH381" s="9">
        <v>0.9166666666666666</v>
      </c>
      <c r="AI381" s="4" t="s">
        <v>49</v>
      </c>
      <c r="AJ381" s="5" t="s">
        <v>2283</v>
      </c>
      <c r="AK381" s="12"/>
      <c r="AL381" s="12">
        <v>46182.0</v>
      </c>
      <c r="AM381" s="12"/>
      <c r="AN381" s="12"/>
      <c r="AO381" s="12"/>
      <c r="AP381" s="12"/>
      <c r="AQ381" s="12"/>
    </row>
    <row r="382">
      <c r="A382" s="5" t="s">
        <v>2284</v>
      </c>
      <c r="B382" s="5">
        <v>1.1398423E7</v>
      </c>
      <c r="C382" s="5" t="s">
        <v>37</v>
      </c>
      <c r="D382" s="5" t="s">
        <v>2285</v>
      </c>
      <c r="E382" s="5" t="s">
        <v>39</v>
      </c>
      <c r="F382" s="5" t="s">
        <v>2286</v>
      </c>
      <c r="G382" s="15">
        <v>8.95345E16</v>
      </c>
      <c r="H382" s="5" t="s">
        <v>2287</v>
      </c>
      <c r="I382" s="5" t="s">
        <v>42</v>
      </c>
      <c r="J382" s="5" t="s">
        <v>43</v>
      </c>
      <c r="K382" s="5">
        <v>8.7733785699E10</v>
      </c>
      <c r="L382" s="4" t="s">
        <v>44</v>
      </c>
      <c r="M382" s="5" t="s">
        <v>42</v>
      </c>
      <c r="N382" s="4" t="s">
        <v>45</v>
      </c>
      <c r="O382" s="4" t="s">
        <v>46</v>
      </c>
      <c r="P382" s="4" t="s">
        <v>187</v>
      </c>
      <c r="Q382" s="4">
        <v>16451.0</v>
      </c>
      <c r="R382" s="5" t="s">
        <v>2288</v>
      </c>
      <c r="S382" s="8">
        <v>46183.0</v>
      </c>
      <c r="T382" s="9">
        <v>0.375</v>
      </c>
      <c r="U382" s="9">
        <v>0.9166666666666666</v>
      </c>
      <c r="V382" s="4" t="s">
        <v>49</v>
      </c>
      <c r="W382" s="5">
        <v>1.0</v>
      </c>
      <c r="X382" s="5" t="b">
        <v>1</v>
      </c>
      <c r="Y382" s="5" t="s">
        <v>189</v>
      </c>
      <c r="Z382" s="5" t="b">
        <v>0</v>
      </c>
      <c r="AA382" s="10"/>
      <c r="AB382" s="4">
        <v>1.0</v>
      </c>
      <c r="AC382" s="11" t="s">
        <v>2289</v>
      </c>
      <c r="AD382" s="5">
        <v>0.0</v>
      </c>
      <c r="AE382" s="5">
        <v>1.0</v>
      </c>
      <c r="AF382" s="8">
        <v>46183.0</v>
      </c>
      <c r="AG382" s="9">
        <v>0.375</v>
      </c>
      <c r="AH382" s="9">
        <v>0.9166666666666666</v>
      </c>
      <c r="AI382" s="4" t="s">
        <v>49</v>
      </c>
      <c r="AJ382" s="5" t="s">
        <v>2290</v>
      </c>
      <c r="AK382" s="12"/>
      <c r="AL382" s="12">
        <v>46182.0</v>
      </c>
      <c r="AM382" s="12"/>
      <c r="AN382" s="12"/>
      <c r="AO382" s="12"/>
      <c r="AP382" s="12"/>
      <c r="AQ382" s="12"/>
    </row>
    <row r="383">
      <c r="A383" s="5" t="s">
        <v>2291</v>
      </c>
      <c r="B383" s="5">
        <v>1.1398423E7</v>
      </c>
      <c r="C383" s="5" t="s">
        <v>37</v>
      </c>
      <c r="D383" s="5" t="s">
        <v>2292</v>
      </c>
      <c r="E383" s="5" t="s">
        <v>39</v>
      </c>
      <c r="F383" s="5" t="s">
        <v>2293</v>
      </c>
      <c r="G383" s="15">
        <v>8.7700571775E10</v>
      </c>
      <c r="H383" s="5" t="s">
        <v>2294</v>
      </c>
      <c r="I383" s="5" t="s">
        <v>42</v>
      </c>
      <c r="J383" s="5" t="s">
        <v>43</v>
      </c>
      <c r="K383" s="5">
        <v>8.7733785699E10</v>
      </c>
      <c r="L383" s="4" t="s">
        <v>44</v>
      </c>
      <c r="M383" s="5" t="s">
        <v>42</v>
      </c>
      <c r="N383" s="4" t="s">
        <v>45</v>
      </c>
      <c r="O383" s="4" t="s">
        <v>46</v>
      </c>
      <c r="P383" s="4" t="s">
        <v>187</v>
      </c>
      <c r="Q383" s="4">
        <v>16451.0</v>
      </c>
      <c r="R383" s="5" t="s">
        <v>2295</v>
      </c>
      <c r="S383" s="8">
        <v>46183.0</v>
      </c>
      <c r="T383" s="9">
        <v>0.375</v>
      </c>
      <c r="U383" s="9">
        <v>0.9166666666666666</v>
      </c>
      <c r="V383" s="4" t="s">
        <v>49</v>
      </c>
      <c r="W383" s="5">
        <v>1.0</v>
      </c>
      <c r="X383" s="5" t="b">
        <v>1</v>
      </c>
      <c r="Y383" s="5" t="s">
        <v>189</v>
      </c>
      <c r="Z383" s="5" t="b">
        <v>0</v>
      </c>
      <c r="AA383" s="10"/>
      <c r="AB383" s="4">
        <v>1.0</v>
      </c>
      <c r="AC383" s="11" t="s">
        <v>2296</v>
      </c>
      <c r="AD383" s="5">
        <v>0.0</v>
      </c>
      <c r="AE383" s="5">
        <v>1.0</v>
      </c>
      <c r="AF383" s="8">
        <v>46183.0</v>
      </c>
      <c r="AG383" s="9">
        <v>0.375</v>
      </c>
      <c r="AH383" s="9">
        <v>0.9166666666666666</v>
      </c>
      <c r="AI383" s="4" t="s">
        <v>49</v>
      </c>
      <c r="AJ383" s="5" t="s">
        <v>2297</v>
      </c>
      <c r="AK383" s="12"/>
      <c r="AL383" s="12">
        <v>46182.0</v>
      </c>
      <c r="AM383" s="12"/>
      <c r="AN383" s="12"/>
      <c r="AO383" s="12"/>
      <c r="AP383" s="12"/>
      <c r="AQ383" s="12"/>
    </row>
    <row r="384">
      <c r="A384" s="5" t="s">
        <v>2298</v>
      </c>
      <c r="B384" s="5">
        <v>1.1398423E7</v>
      </c>
      <c r="C384" s="5" t="s">
        <v>37</v>
      </c>
      <c r="D384" s="5" t="s">
        <v>2299</v>
      </c>
      <c r="E384" s="5" t="s">
        <v>39</v>
      </c>
      <c r="F384" s="5" t="s">
        <v>2300</v>
      </c>
      <c r="G384" s="15">
        <v>6.28217E17</v>
      </c>
      <c r="H384" s="5" t="s">
        <v>2301</v>
      </c>
      <c r="I384" s="5" t="s">
        <v>42</v>
      </c>
      <c r="J384" s="5" t="s">
        <v>43</v>
      </c>
      <c r="K384" s="5">
        <v>8.7733785699E10</v>
      </c>
      <c r="L384" s="4" t="s">
        <v>44</v>
      </c>
      <c r="M384" s="5" t="s">
        <v>42</v>
      </c>
      <c r="N384" s="4" t="s">
        <v>45</v>
      </c>
      <c r="O384" s="4" t="s">
        <v>46</v>
      </c>
      <c r="P384" s="4" t="s">
        <v>187</v>
      </c>
      <c r="Q384" s="4">
        <v>16451.0</v>
      </c>
      <c r="R384" s="5" t="s">
        <v>2302</v>
      </c>
      <c r="S384" s="8">
        <v>46183.0</v>
      </c>
      <c r="T384" s="9">
        <v>0.375</v>
      </c>
      <c r="U384" s="9">
        <v>0.9166666666666666</v>
      </c>
      <c r="V384" s="4" t="s">
        <v>49</v>
      </c>
      <c r="W384" s="5">
        <v>1.0</v>
      </c>
      <c r="X384" s="5" t="b">
        <v>1</v>
      </c>
      <c r="Y384" s="5" t="s">
        <v>189</v>
      </c>
      <c r="Z384" s="5" t="b">
        <v>0</v>
      </c>
      <c r="AA384" s="10"/>
      <c r="AB384" s="4">
        <v>1.0</v>
      </c>
      <c r="AC384" s="11" t="s">
        <v>2303</v>
      </c>
      <c r="AD384" s="5">
        <v>0.0</v>
      </c>
      <c r="AE384" s="5">
        <v>1.0</v>
      </c>
      <c r="AF384" s="8">
        <v>46183.0</v>
      </c>
      <c r="AG384" s="9">
        <v>0.375</v>
      </c>
      <c r="AH384" s="9">
        <v>0.9166666666666666</v>
      </c>
      <c r="AI384" s="4" t="s">
        <v>49</v>
      </c>
      <c r="AJ384" s="5" t="s">
        <v>2304</v>
      </c>
      <c r="AK384" s="12"/>
      <c r="AL384" s="12">
        <v>46182.0</v>
      </c>
      <c r="AM384" s="12"/>
      <c r="AN384" s="12"/>
      <c r="AO384" s="12"/>
      <c r="AP384" s="12"/>
      <c r="AQ384" s="12"/>
    </row>
    <row r="385">
      <c r="A385" s="5" t="s">
        <v>2305</v>
      </c>
      <c r="B385" s="5">
        <v>1.1398423E7</v>
      </c>
      <c r="C385" s="5" t="s">
        <v>37</v>
      </c>
      <c r="D385" s="5" t="s">
        <v>2306</v>
      </c>
      <c r="E385" s="5" t="s">
        <v>39</v>
      </c>
      <c r="F385" s="5" t="s">
        <v>2307</v>
      </c>
      <c r="G385" s="15">
        <v>6.28112E17</v>
      </c>
      <c r="H385" s="5" t="s">
        <v>2308</v>
      </c>
      <c r="I385" s="5" t="s">
        <v>42</v>
      </c>
      <c r="J385" s="5" t="s">
        <v>43</v>
      </c>
      <c r="K385" s="5">
        <v>8.7733785699E10</v>
      </c>
      <c r="L385" s="4" t="s">
        <v>44</v>
      </c>
      <c r="M385" s="5" t="s">
        <v>42</v>
      </c>
      <c r="N385" s="4" t="s">
        <v>45</v>
      </c>
      <c r="O385" s="4" t="s">
        <v>46</v>
      </c>
      <c r="P385" s="4" t="s">
        <v>187</v>
      </c>
      <c r="Q385" s="4">
        <v>16451.0</v>
      </c>
      <c r="R385" s="5" t="s">
        <v>2309</v>
      </c>
      <c r="S385" s="8">
        <v>46183.0</v>
      </c>
      <c r="T385" s="9">
        <v>0.375</v>
      </c>
      <c r="U385" s="9">
        <v>0.9166666666666666</v>
      </c>
      <c r="V385" s="4" t="s">
        <v>49</v>
      </c>
      <c r="W385" s="5">
        <v>1.0</v>
      </c>
      <c r="X385" s="5" t="b">
        <v>1</v>
      </c>
      <c r="Y385" s="5" t="s">
        <v>189</v>
      </c>
      <c r="Z385" s="5" t="b">
        <v>0</v>
      </c>
      <c r="AA385" s="10"/>
      <c r="AB385" s="4">
        <v>1.0</v>
      </c>
      <c r="AC385" s="11" t="s">
        <v>2310</v>
      </c>
      <c r="AD385" s="5">
        <v>0.0</v>
      </c>
      <c r="AE385" s="5">
        <v>1.0</v>
      </c>
      <c r="AF385" s="8">
        <v>46183.0</v>
      </c>
      <c r="AG385" s="9">
        <v>0.375</v>
      </c>
      <c r="AH385" s="9">
        <v>0.9166666666666666</v>
      </c>
      <c r="AI385" s="4" t="s">
        <v>49</v>
      </c>
      <c r="AJ385" s="5" t="s">
        <v>2311</v>
      </c>
      <c r="AK385" s="12"/>
      <c r="AL385" s="12">
        <v>46182.0</v>
      </c>
      <c r="AM385" s="12"/>
      <c r="AN385" s="12"/>
      <c r="AO385" s="12"/>
      <c r="AP385" s="12"/>
      <c r="AQ385" s="12"/>
    </row>
    <row r="386">
      <c r="A386" s="5" t="s">
        <v>2312</v>
      </c>
      <c r="B386" s="5">
        <v>1.1398423E7</v>
      </c>
      <c r="C386" s="5" t="s">
        <v>37</v>
      </c>
      <c r="D386" s="5" t="s">
        <v>2313</v>
      </c>
      <c r="E386" s="5" t="s">
        <v>39</v>
      </c>
      <c r="F386" s="5" t="s">
        <v>2314</v>
      </c>
      <c r="G386" s="15">
        <v>6.28199E17</v>
      </c>
      <c r="H386" s="5" t="s">
        <v>2315</v>
      </c>
      <c r="I386" s="5" t="s">
        <v>42</v>
      </c>
      <c r="J386" s="5" t="s">
        <v>43</v>
      </c>
      <c r="K386" s="5">
        <v>8.7733785699E10</v>
      </c>
      <c r="L386" s="4" t="s">
        <v>44</v>
      </c>
      <c r="M386" s="5" t="s">
        <v>42</v>
      </c>
      <c r="N386" s="4" t="s">
        <v>45</v>
      </c>
      <c r="O386" s="4" t="s">
        <v>46</v>
      </c>
      <c r="P386" s="4" t="s">
        <v>187</v>
      </c>
      <c r="Q386" s="4">
        <v>16451.0</v>
      </c>
      <c r="R386" s="5" t="s">
        <v>2316</v>
      </c>
      <c r="S386" s="8">
        <v>46183.0</v>
      </c>
      <c r="T386" s="9">
        <v>0.375</v>
      </c>
      <c r="U386" s="9">
        <v>0.9166666666666666</v>
      </c>
      <c r="V386" s="4" t="s">
        <v>49</v>
      </c>
      <c r="W386" s="5">
        <v>1.0</v>
      </c>
      <c r="X386" s="5" t="b">
        <v>1</v>
      </c>
      <c r="Y386" s="5" t="s">
        <v>189</v>
      </c>
      <c r="Z386" s="5" t="b">
        <v>0</v>
      </c>
      <c r="AA386" s="10"/>
      <c r="AB386" s="4">
        <v>1.0</v>
      </c>
      <c r="AC386" s="11" t="s">
        <v>2317</v>
      </c>
      <c r="AD386" s="5">
        <v>0.0</v>
      </c>
      <c r="AE386" s="5">
        <v>1.0</v>
      </c>
      <c r="AF386" s="8">
        <v>46183.0</v>
      </c>
      <c r="AG386" s="9">
        <v>0.375</v>
      </c>
      <c r="AH386" s="9">
        <v>0.9166666666666666</v>
      </c>
      <c r="AI386" s="4" t="s">
        <v>49</v>
      </c>
      <c r="AJ386" s="5" t="s">
        <v>2318</v>
      </c>
      <c r="AK386" s="12"/>
      <c r="AL386" s="12">
        <v>46182.0</v>
      </c>
      <c r="AM386" s="12"/>
      <c r="AN386" s="12"/>
      <c r="AO386" s="12"/>
      <c r="AP386" s="12"/>
      <c r="AQ386" s="12"/>
    </row>
    <row r="387">
      <c r="A387" s="5" t="s">
        <v>2319</v>
      </c>
      <c r="B387" s="5">
        <v>1.1398423E7</v>
      </c>
      <c r="C387" s="5" t="s">
        <v>37</v>
      </c>
      <c r="D387" s="5" t="s">
        <v>2320</v>
      </c>
      <c r="E387" s="5" t="s">
        <v>39</v>
      </c>
      <c r="F387" s="5" t="s">
        <v>2321</v>
      </c>
      <c r="G387" s="15">
        <v>6.28122E17</v>
      </c>
      <c r="H387" s="5" t="s">
        <v>2322</v>
      </c>
      <c r="I387" s="5" t="s">
        <v>42</v>
      </c>
      <c r="J387" s="5" t="s">
        <v>43</v>
      </c>
      <c r="K387" s="5">
        <v>8.7733785699E10</v>
      </c>
      <c r="L387" s="4" t="s">
        <v>44</v>
      </c>
      <c r="M387" s="5" t="s">
        <v>42</v>
      </c>
      <c r="N387" s="4" t="s">
        <v>45</v>
      </c>
      <c r="O387" s="4" t="s">
        <v>46</v>
      </c>
      <c r="P387" s="4" t="s">
        <v>187</v>
      </c>
      <c r="Q387" s="4">
        <v>16451.0</v>
      </c>
      <c r="R387" s="5" t="s">
        <v>2323</v>
      </c>
      <c r="S387" s="8">
        <v>46183.0</v>
      </c>
      <c r="T387" s="9">
        <v>0.375</v>
      </c>
      <c r="U387" s="9">
        <v>0.9166666666666666</v>
      </c>
      <c r="V387" s="4" t="s">
        <v>49</v>
      </c>
      <c r="W387" s="5">
        <v>1.0</v>
      </c>
      <c r="X387" s="5" t="b">
        <v>1</v>
      </c>
      <c r="Y387" s="5" t="s">
        <v>189</v>
      </c>
      <c r="Z387" s="5" t="b">
        <v>0</v>
      </c>
      <c r="AA387" s="10"/>
      <c r="AB387" s="4">
        <v>1.0</v>
      </c>
      <c r="AC387" s="11" t="s">
        <v>2324</v>
      </c>
      <c r="AD387" s="5">
        <v>0.0</v>
      </c>
      <c r="AE387" s="5">
        <v>1.0</v>
      </c>
      <c r="AF387" s="8">
        <v>46183.0</v>
      </c>
      <c r="AG387" s="9">
        <v>0.375</v>
      </c>
      <c r="AH387" s="9">
        <v>0.9166666666666666</v>
      </c>
      <c r="AI387" s="4" t="s">
        <v>49</v>
      </c>
      <c r="AJ387" s="5" t="s">
        <v>2325</v>
      </c>
      <c r="AK387" s="12"/>
      <c r="AL387" s="12">
        <v>46182.0</v>
      </c>
      <c r="AM387" s="12"/>
      <c r="AN387" s="12"/>
      <c r="AO387" s="12"/>
      <c r="AP387" s="12"/>
      <c r="AQ387" s="12"/>
    </row>
    <row r="388">
      <c r="A388" s="5" t="s">
        <v>2326</v>
      </c>
      <c r="B388" s="5">
        <v>1.1398423E7</v>
      </c>
      <c r="C388" s="5" t="s">
        <v>37</v>
      </c>
      <c r="D388" s="5" t="s">
        <v>2327</v>
      </c>
      <c r="E388" s="5" t="s">
        <v>39</v>
      </c>
      <c r="F388" s="5" t="s">
        <v>2328</v>
      </c>
      <c r="G388" s="15">
        <v>6.28156E16</v>
      </c>
      <c r="H388" s="5" t="s">
        <v>2329</v>
      </c>
      <c r="I388" s="5" t="s">
        <v>42</v>
      </c>
      <c r="J388" s="5" t="s">
        <v>43</v>
      </c>
      <c r="K388" s="5">
        <v>8.7733785699E10</v>
      </c>
      <c r="L388" s="4" t="s">
        <v>44</v>
      </c>
      <c r="M388" s="5" t="s">
        <v>42</v>
      </c>
      <c r="N388" s="4" t="s">
        <v>45</v>
      </c>
      <c r="O388" s="4" t="s">
        <v>46</v>
      </c>
      <c r="P388" s="4" t="s">
        <v>187</v>
      </c>
      <c r="Q388" s="4">
        <v>16451.0</v>
      </c>
      <c r="R388" s="5" t="s">
        <v>2330</v>
      </c>
      <c r="S388" s="8">
        <v>46183.0</v>
      </c>
      <c r="T388" s="9">
        <v>0.375</v>
      </c>
      <c r="U388" s="9">
        <v>0.9166666666666666</v>
      </c>
      <c r="V388" s="4" t="s">
        <v>49</v>
      </c>
      <c r="W388" s="5">
        <v>1.0</v>
      </c>
      <c r="X388" s="5" t="b">
        <v>1</v>
      </c>
      <c r="Y388" s="5" t="s">
        <v>189</v>
      </c>
      <c r="Z388" s="5" t="b">
        <v>0</v>
      </c>
      <c r="AA388" s="10"/>
      <c r="AB388" s="4">
        <v>1.0</v>
      </c>
      <c r="AC388" s="11" t="s">
        <v>2331</v>
      </c>
      <c r="AD388" s="5">
        <v>0.0</v>
      </c>
      <c r="AE388" s="5">
        <v>1.0</v>
      </c>
      <c r="AF388" s="8">
        <v>46183.0</v>
      </c>
      <c r="AG388" s="9">
        <v>0.375</v>
      </c>
      <c r="AH388" s="9">
        <v>0.9166666666666666</v>
      </c>
      <c r="AI388" s="4" t="s">
        <v>49</v>
      </c>
      <c r="AJ388" s="5" t="s">
        <v>2332</v>
      </c>
      <c r="AK388" s="12"/>
      <c r="AL388" s="12">
        <v>46182.0</v>
      </c>
      <c r="AM388" s="12"/>
      <c r="AN388" s="12"/>
      <c r="AO388" s="12"/>
      <c r="AP388" s="12"/>
      <c r="AQ388" s="12"/>
    </row>
    <row r="389">
      <c r="A389" s="5" t="s">
        <v>2333</v>
      </c>
      <c r="B389" s="5">
        <v>1.1398423E7</v>
      </c>
      <c r="C389" s="5" t="s">
        <v>37</v>
      </c>
      <c r="D389" s="5" t="s">
        <v>2199</v>
      </c>
      <c r="E389" s="5" t="s">
        <v>39</v>
      </c>
      <c r="F389" s="5" t="s">
        <v>2334</v>
      </c>
      <c r="G389" s="15">
        <v>6.28125E17</v>
      </c>
      <c r="H389" s="5" t="s">
        <v>2335</v>
      </c>
      <c r="I389" s="5" t="s">
        <v>42</v>
      </c>
      <c r="J389" s="5" t="s">
        <v>43</v>
      </c>
      <c r="K389" s="5">
        <v>8.7733785699E10</v>
      </c>
      <c r="L389" s="4" t="s">
        <v>44</v>
      </c>
      <c r="M389" s="5" t="s">
        <v>42</v>
      </c>
      <c r="N389" s="4" t="s">
        <v>45</v>
      </c>
      <c r="O389" s="4" t="s">
        <v>46</v>
      </c>
      <c r="P389" s="4" t="s">
        <v>187</v>
      </c>
      <c r="Q389" s="4">
        <v>16451.0</v>
      </c>
      <c r="R389" s="5" t="s">
        <v>2336</v>
      </c>
      <c r="S389" s="8">
        <v>46183.0</v>
      </c>
      <c r="T389" s="9">
        <v>0.375</v>
      </c>
      <c r="U389" s="9">
        <v>0.9166666666666666</v>
      </c>
      <c r="V389" s="4" t="s">
        <v>49</v>
      </c>
      <c r="W389" s="5">
        <v>1.0</v>
      </c>
      <c r="X389" s="5" t="b">
        <v>1</v>
      </c>
      <c r="Y389" s="5" t="s">
        <v>189</v>
      </c>
      <c r="Z389" s="5" t="b">
        <v>0</v>
      </c>
      <c r="AA389" s="10"/>
      <c r="AB389" s="4">
        <v>1.0</v>
      </c>
      <c r="AC389" s="11" t="s">
        <v>2337</v>
      </c>
      <c r="AD389" s="5">
        <v>0.0</v>
      </c>
      <c r="AE389" s="5">
        <v>1.0</v>
      </c>
      <c r="AF389" s="8">
        <v>46183.0</v>
      </c>
      <c r="AG389" s="9">
        <v>0.375</v>
      </c>
      <c r="AH389" s="9">
        <v>0.9166666666666666</v>
      </c>
      <c r="AI389" s="4" t="s">
        <v>49</v>
      </c>
      <c r="AJ389" s="5" t="s">
        <v>2338</v>
      </c>
      <c r="AK389" s="12"/>
      <c r="AL389" s="12">
        <v>46182.0</v>
      </c>
      <c r="AM389" s="12"/>
      <c r="AN389" s="12"/>
      <c r="AO389" s="12"/>
      <c r="AP389" s="12"/>
      <c r="AQ389" s="12"/>
    </row>
    <row r="390">
      <c r="A390" s="5" t="s">
        <v>2339</v>
      </c>
      <c r="B390" s="5">
        <v>1.1398423E7</v>
      </c>
      <c r="C390" s="5" t="s">
        <v>37</v>
      </c>
      <c r="D390" s="5" t="s">
        <v>1973</v>
      </c>
      <c r="E390" s="5" t="s">
        <v>39</v>
      </c>
      <c r="F390" s="5" t="s">
        <v>1974</v>
      </c>
      <c r="G390" s="15">
        <v>6.28122E17</v>
      </c>
      <c r="H390" s="5" t="s">
        <v>1975</v>
      </c>
      <c r="I390" s="5" t="s">
        <v>42</v>
      </c>
      <c r="J390" s="5" t="s">
        <v>43</v>
      </c>
      <c r="K390" s="5">
        <v>8.7733785699E10</v>
      </c>
      <c r="L390" s="4" t="s">
        <v>44</v>
      </c>
      <c r="M390" s="5" t="s">
        <v>42</v>
      </c>
      <c r="N390" s="4" t="s">
        <v>45</v>
      </c>
      <c r="O390" s="4" t="s">
        <v>46</v>
      </c>
      <c r="P390" s="4" t="s">
        <v>187</v>
      </c>
      <c r="Q390" s="4">
        <v>16451.0</v>
      </c>
      <c r="R390" s="5" t="s">
        <v>2340</v>
      </c>
      <c r="S390" s="8">
        <v>46183.0</v>
      </c>
      <c r="T390" s="9">
        <v>0.375</v>
      </c>
      <c r="U390" s="9">
        <v>0.9166666666666666</v>
      </c>
      <c r="V390" s="4" t="s">
        <v>49</v>
      </c>
      <c r="W390" s="5">
        <v>1.0</v>
      </c>
      <c r="X390" s="5" t="b">
        <v>1</v>
      </c>
      <c r="Y390" s="5" t="s">
        <v>189</v>
      </c>
      <c r="Z390" s="5" t="b">
        <v>0</v>
      </c>
      <c r="AA390" s="10"/>
      <c r="AB390" s="4">
        <v>1.0</v>
      </c>
      <c r="AC390" s="11" t="s">
        <v>2341</v>
      </c>
      <c r="AD390" s="5">
        <v>0.0</v>
      </c>
      <c r="AE390" s="5">
        <v>1.0</v>
      </c>
      <c r="AF390" s="8">
        <v>46183.0</v>
      </c>
      <c r="AG390" s="9">
        <v>0.375</v>
      </c>
      <c r="AH390" s="9">
        <v>0.9166666666666666</v>
      </c>
      <c r="AI390" s="4" t="s">
        <v>49</v>
      </c>
      <c r="AJ390" s="5" t="s">
        <v>2342</v>
      </c>
      <c r="AK390" s="12"/>
      <c r="AL390" s="12">
        <v>46182.0</v>
      </c>
      <c r="AM390" s="12"/>
      <c r="AN390" s="12"/>
      <c r="AO390" s="12"/>
      <c r="AP390" s="12"/>
      <c r="AQ390" s="12"/>
    </row>
    <row r="391">
      <c r="A391" s="5" t="s">
        <v>2343</v>
      </c>
      <c r="B391" s="5">
        <v>1.1398423E7</v>
      </c>
      <c r="C391" s="5" t="s">
        <v>37</v>
      </c>
      <c r="D391" s="5" t="s">
        <v>1973</v>
      </c>
      <c r="E391" s="5" t="s">
        <v>39</v>
      </c>
      <c r="F391" s="5" t="s">
        <v>1974</v>
      </c>
      <c r="G391" s="15">
        <v>6.28122E17</v>
      </c>
      <c r="H391" s="5" t="s">
        <v>1975</v>
      </c>
      <c r="I391" s="5" t="s">
        <v>42</v>
      </c>
      <c r="J391" s="5" t="s">
        <v>43</v>
      </c>
      <c r="K391" s="5">
        <v>8.7733785699E10</v>
      </c>
      <c r="L391" s="4" t="s">
        <v>44</v>
      </c>
      <c r="M391" s="5" t="s">
        <v>42</v>
      </c>
      <c r="N391" s="4" t="s">
        <v>45</v>
      </c>
      <c r="O391" s="4" t="s">
        <v>46</v>
      </c>
      <c r="P391" s="4" t="s">
        <v>187</v>
      </c>
      <c r="Q391" s="4">
        <v>16451.0</v>
      </c>
      <c r="R391" s="5" t="s">
        <v>2340</v>
      </c>
      <c r="S391" s="8">
        <v>46183.0</v>
      </c>
      <c r="T391" s="9">
        <v>0.375</v>
      </c>
      <c r="U391" s="9">
        <v>0.9166666666666666</v>
      </c>
      <c r="V391" s="4" t="s">
        <v>49</v>
      </c>
      <c r="W391" s="5">
        <v>1.0</v>
      </c>
      <c r="X391" s="5" t="b">
        <v>1</v>
      </c>
      <c r="Y391" s="5" t="s">
        <v>189</v>
      </c>
      <c r="Z391" s="5" t="b">
        <v>0</v>
      </c>
      <c r="AA391" s="10"/>
      <c r="AB391" s="4">
        <v>1.0</v>
      </c>
      <c r="AC391" s="11" t="s">
        <v>2344</v>
      </c>
      <c r="AD391" s="5">
        <v>0.0</v>
      </c>
      <c r="AE391" s="5">
        <v>1.0</v>
      </c>
      <c r="AF391" s="8">
        <v>46183.0</v>
      </c>
      <c r="AG391" s="9">
        <v>0.375</v>
      </c>
      <c r="AH391" s="9">
        <v>0.9166666666666666</v>
      </c>
      <c r="AI391" s="4" t="s">
        <v>49</v>
      </c>
      <c r="AJ391" s="5" t="s">
        <v>2342</v>
      </c>
      <c r="AK391" s="12"/>
      <c r="AL391" s="12">
        <v>46182.0</v>
      </c>
      <c r="AM391" s="12"/>
      <c r="AN391" s="12"/>
      <c r="AO391" s="12"/>
      <c r="AP391" s="12"/>
      <c r="AQ391" s="12"/>
    </row>
    <row r="392">
      <c r="A392" s="5" t="s">
        <v>2345</v>
      </c>
      <c r="B392" s="5">
        <v>1.1398423E7</v>
      </c>
      <c r="C392" s="5" t="s">
        <v>37</v>
      </c>
      <c r="D392" s="5" t="s">
        <v>2346</v>
      </c>
      <c r="E392" s="5" t="s">
        <v>39</v>
      </c>
      <c r="F392" s="5" t="s">
        <v>2117</v>
      </c>
      <c r="G392" s="15">
        <v>6.28819E16</v>
      </c>
      <c r="H392" s="5" t="s">
        <v>2118</v>
      </c>
      <c r="I392" s="5" t="s">
        <v>42</v>
      </c>
      <c r="J392" s="5" t="s">
        <v>43</v>
      </c>
      <c r="K392" s="5">
        <v>8.7733785699E10</v>
      </c>
      <c r="L392" s="4" t="s">
        <v>44</v>
      </c>
      <c r="M392" s="5" t="s">
        <v>42</v>
      </c>
      <c r="N392" s="4" t="s">
        <v>45</v>
      </c>
      <c r="O392" s="4" t="s">
        <v>46</v>
      </c>
      <c r="P392" s="4" t="s">
        <v>187</v>
      </c>
      <c r="Q392" s="4">
        <v>16451.0</v>
      </c>
      <c r="R392" s="5" t="s">
        <v>2347</v>
      </c>
      <c r="S392" s="8">
        <v>46183.0</v>
      </c>
      <c r="T392" s="9">
        <v>0.375</v>
      </c>
      <c r="U392" s="9">
        <v>0.9166666666666666</v>
      </c>
      <c r="V392" s="4" t="s">
        <v>49</v>
      </c>
      <c r="W392" s="5">
        <v>1.0</v>
      </c>
      <c r="X392" s="5" t="b">
        <v>1</v>
      </c>
      <c r="Y392" s="5" t="s">
        <v>189</v>
      </c>
      <c r="Z392" s="5" t="b">
        <v>0</v>
      </c>
      <c r="AA392" s="10"/>
      <c r="AB392" s="4">
        <v>1.0</v>
      </c>
      <c r="AC392" s="11" t="s">
        <v>2348</v>
      </c>
      <c r="AD392" s="5">
        <v>0.0</v>
      </c>
      <c r="AE392" s="5">
        <v>1.0</v>
      </c>
      <c r="AF392" s="8">
        <v>46183.0</v>
      </c>
      <c r="AG392" s="9">
        <v>0.375</v>
      </c>
      <c r="AH392" s="9">
        <v>0.9166666666666666</v>
      </c>
      <c r="AI392" s="4" t="s">
        <v>49</v>
      </c>
      <c r="AJ392" s="5" t="s">
        <v>2349</v>
      </c>
      <c r="AK392" s="12"/>
      <c r="AL392" s="12">
        <v>46182.0</v>
      </c>
      <c r="AM392" s="12"/>
      <c r="AN392" s="12"/>
      <c r="AO392" s="12"/>
      <c r="AP392" s="12"/>
      <c r="AQ392" s="12"/>
    </row>
    <row r="393">
      <c r="A393" s="5" t="s">
        <v>2350</v>
      </c>
      <c r="B393" s="5">
        <v>1.1398423E7</v>
      </c>
      <c r="C393" s="5" t="s">
        <v>37</v>
      </c>
      <c r="D393" s="5" t="s">
        <v>2116</v>
      </c>
      <c r="E393" s="5" t="s">
        <v>39</v>
      </c>
      <c r="F393" s="5" t="s">
        <v>2117</v>
      </c>
      <c r="G393" s="15">
        <v>6.28819E16</v>
      </c>
      <c r="H393" s="5" t="s">
        <v>2118</v>
      </c>
      <c r="I393" s="5" t="s">
        <v>42</v>
      </c>
      <c r="J393" s="5" t="s">
        <v>43</v>
      </c>
      <c r="K393" s="5">
        <v>8.7733785699E10</v>
      </c>
      <c r="L393" s="4" t="s">
        <v>44</v>
      </c>
      <c r="M393" s="5" t="s">
        <v>42</v>
      </c>
      <c r="N393" s="4" t="s">
        <v>45</v>
      </c>
      <c r="O393" s="4" t="s">
        <v>46</v>
      </c>
      <c r="P393" s="4" t="s">
        <v>187</v>
      </c>
      <c r="Q393" s="4">
        <v>16451.0</v>
      </c>
      <c r="R393" s="5" t="s">
        <v>2351</v>
      </c>
      <c r="S393" s="8">
        <v>46183.0</v>
      </c>
      <c r="T393" s="9">
        <v>0.375</v>
      </c>
      <c r="U393" s="9">
        <v>0.9166666666666666</v>
      </c>
      <c r="V393" s="4" t="s">
        <v>49</v>
      </c>
      <c r="W393" s="5">
        <v>1.0</v>
      </c>
      <c r="X393" s="5" t="b">
        <v>1</v>
      </c>
      <c r="Y393" s="5" t="s">
        <v>189</v>
      </c>
      <c r="Z393" s="5" t="b">
        <v>0</v>
      </c>
      <c r="AA393" s="10"/>
      <c r="AB393" s="4">
        <v>1.0</v>
      </c>
      <c r="AC393" s="11" t="s">
        <v>2352</v>
      </c>
      <c r="AD393" s="5">
        <v>0.0</v>
      </c>
      <c r="AE393" s="5">
        <v>1.0</v>
      </c>
      <c r="AF393" s="8">
        <v>46183.0</v>
      </c>
      <c r="AG393" s="9">
        <v>0.375</v>
      </c>
      <c r="AH393" s="9">
        <v>0.9166666666666666</v>
      </c>
      <c r="AI393" s="4" t="s">
        <v>49</v>
      </c>
      <c r="AJ393" s="5" t="s">
        <v>2353</v>
      </c>
      <c r="AK393" s="12"/>
      <c r="AL393" s="12">
        <v>46182.0</v>
      </c>
      <c r="AM393" s="12"/>
      <c r="AN393" s="12"/>
      <c r="AO393" s="12"/>
      <c r="AP393" s="12"/>
      <c r="AQ393" s="12"/>
    </row>
    <row r="394">
      <c r="A394" s="5" t="s">
        <v>2354</v>
      </c>
      <c r="B394" s="5">
        <v>1.1398423E7</v>
      </c>
      <c r="C394" s="5" t="s">
        <v>37</v>
      </c>
      <c r="D394" s="5" t="s">
        <v>2355</v>
      </c>
      <c r="E394" s="5" t="s">
        <v>39</v>
      </c>
      <c r="F394" s="5" t="s">
        <v>2356</v>
      </c>
      <c r="G394" s="15">
        <v>6.28821E17</v>
      </c>
      <c r="H394" s="5" t="s">
        <v>2357</v>
      </c>
      <c r="I394" s="5" t="s">
        <v>42</v>
      </c>
      <c r="J394" s="5" t="s">
        <v>43</v>
      </c>
      <c r="K394" s="5">
        <v>8.7733785699E10</v>
      </c>
      <c r="L394" s="4" t="s">
        <v>44</v>
      </c>
      <c r="M394" s="5" t="s">
        <v>42</v>
      </c>
      <c r="N394" s="4" t="s">
        <v>45</v>
      </c>
      <c r="O394" s="4" t="s">
        <v>46</v>
      </c>
      <c r="P394" s="4" t="s">
        <v>187</v>
      </c>
      <c r="Q394" s="4">
        <v>16451.0</v>
      </c>
      <c r="R394" s="5" t="s">
        <v>2358</v>
      </c>
      <c r="S394" s="8">
        <v>46183.0</v>
      </c>
      <c r="T394" s="9">
        <v>0.375</v>
      </c>
      <c r="U394" s="9">
        <v>0.9166666666666666</v>
      </c>
      <c r="V394" s="4" t="s">
        <v>49</v>
      </c>
      <c r="W394" s="5">
        <v>1.0</v>
      </c>
      <c r="X394" s="5" t="b">
        <v>1</v>
      </c>
      <c r="Y394" s="5" t="s">
        <v>189</v>
      </c>
      <c r="Z394" s="5" t="b">
        <v>0</v>
      </c>
      <c r="AA394" s="10"/>
      <c r="AB394" s="4">
        <v>1.0</v>
      </c>
      <c r="AC394" s="11" t="s">
        <v>2359</v>
      </c>
      <c r="AD394" s="5">
        <v>0.0</v>
      </c>
      <c r="AE394" s="5">
        <v>1.0</v>
      </c>
      <c r="AF394" s="8">
        <v>46183.0</v>
      </c>
      <c r="AG394" s="9">
        <v>0.375</v>
      </c>
      <c r="AH394" s="9">
        <v>0.9166666666666666</v>
      </c>
      <c r="AI394" s="4" t="s">
        <v>49</v>
      </c>
      <c r="AJ394" s="5" t="s">
        <v>2360</v>
      </c>
      <c r="AK394" s="12"/>
      <c r="AL394" s="12">
        <v>46182.0</v>
      </c>
      <c r="AM394" s="12"/>
      <c r="AN394" s="12"/>
      <c r="AO394" s="12"/>
      <c r="AP394" s="12"/>
      <c r="AQ394" s="12"/>
    </row>
    <row r="395">
      <c r="A395" s="5" t="s">
        <v>2361</v>
      </c>
      <c r="B395" s="5">
        <v>1.1398423E7</v>
      </c>
      <c r="C395" s="5" t="s">
        <v>37</v>
      </c>
      <c r="D395" s="5" t="s">
        <v>2362</v>
      </c>
      <c r="E395" s="5" t="s">
        <v>39</v>
      </c>
      <c r="F395" s="5" t="s">
        <v>2363</v>
      </c>
      <c r="G395" s="15">
        <v>6.28118E16</v>
      </c>
      <c r="H395" s="5" t="s">
        <v>2364</v>
      </c>
      <c r="I395" s="5" t="s">
        <v>42</v>
      </c>
      <c r="J395" s="5" t="s">
        <v>43</v>
      </c>
      <c r="K395" s="5">
        <v>8.7733785699E10</v>
      </c>
      <c r="L395" s="4" t="s">
        <v>44</v>
      </c>
      <c r="M395" s="5" t="s">
        <v>42</v>
      </c>
      <c r="N395" s="4" t="s">
        <v>45</v>
      </c>
      <c r="O395" s="4" t="s">
        <v>46</v>
      </c>
      <c r="P395" s="4" t="s">
        <v>187</v>
      </c>
      <c r="Q395" s="4">
        <v>16451.0</v>
      </c>
      <c r="R395" s="5" t="s">
        <v>2365</v>
      </c>
      <c r="S395" s="8">
        <v>46183.0</v>
      </c>
      <c r="T395" s="9">
        <v>0.375</v>
      </c>
      <c r="U395" s="9">
        <v>0.9166666666666666</v>
      </c>
      <c r="V395" s="4" t="s">
        <v>49</v>
      </c>
      <c r="W395" s="5">
        <v>1.0</v>
      </c>
      <c r="X395" s="5" t="b">
        <v>1</v>
      </c>
      <c r="Y395" s="5" t="s">
        <v>189</v>
      </c>
      <c r="Z395" s="5" t="b">
        <v>0</v>
      </c>
      <c r="AA395" s="10"/>
      <c r="AB395" s="4">
        <v>1.0</v>
      </c>
      <c r="AC395" s="11" t="s">
        <v>2366</v>
      </c>
      <c r="AD395" s="5">
        <v>0.0</v>
      </c>
      <c r="AE395" s="5">
        <v>1.0</v>
      </c>
      <c r="AF395" s="8">
        <v>46183.0</v>
      </c>
      <c r="AG395" s="9">
        <v>0.375</v>
      </c>
      <c r="AH395" s="9">
        <v>0.9166666666666666</v>
      </c>
      <c r="AI395" s="4" t="s">
        <v>49</v>
      </c>
      <c r="AJ395" s="5" t="s">
        <v>2367</v>
      </c>
      <c r="AK395" s="12"/>
      <c r="AL395" s="12">
        <v>46182.0</v>
      </c>
      <c r="AM395" s="12"/>
      <c r="AN395" s="12"/>
      <c r="AO395" s="12"/>
      <c r="AP395" s="12"/>
      <c r="AQ395" s="12"/>
    </row>
    <row r="396">
      <c r="A396" s="5" t="s">
        <v>2368</v>
      </c>
      <c r="B396" s="5">
        <v>1.1398423E7</v>
      </c>
      <c r="C396" s="5" t="s">
        <v>37</v>
      </c>
      <c r="D396" s="5" t="s">
        <v>2369</v>
      </c>
      <c r="E396" s="5" t="s">
        <v>39</v>
      </c>
      <c r="F396" s="5" t="s">
        <v>2370</v>
      </c>
      <c r="G396" s="15">
        <v>6.28132E17</v>
      </c>
      <c r="H396" s="5" t="s">
        <v>2371</v>
      </c>
      <c r="I396" s="5" t="s">
        <v>42</v>
      </c>
      <c r="J396" s="5" t="s">
        <v>43</v>
      </c>
      <c r="K396" s="5">
        <v>8.7733785699E10</v>
      </c>
      <c r="L396" s="4" t="s">
        <v>44</v>
      </c>
      <c r="M396" s="5" t="s">
        <v>42</v>
      </c>
      <c r="N396" s="4" t="s">
        <v>45</v>
      </c>
      <c r="O396" s="4" t="s">
        <v>46</v>
      </c>
      <c r="P396" s="4" t="s">
        <v>187</v>
      </c>
      <c r="Q396" s="4">
        <v>16451.0</v>
      </c>
      <c r="R396" s="5" t="s">
        <v>2372</v>
      </c>
      <c r="S396" s="8">
        <v>46183.0</v>
      </c>
      <c r="T396" s="9">
        <v>0.375</v>
      </c>
      <c r="U396" s="9">
        <v>0.9166666666666666</v>
      </c>
      <c r="V396" s="4" t="s">
        <v>49</v>
      </c>
      <c r="W396" s="5">
        <v>1.0</v>
      </c>
      <c r="X396" s="5" t="b">
        <v>1</v>
      </c>
      <c r="Y396" s="5" t="s">
        <v>189</v>
      </c>
      <c r="Z396" s="5" t="b">
        <v>0</v>
      </c>
      <c r="AA396" s="10"/>
      <c r="AB396" s="4">
        <v>1.0</v>
      </c>
      <c r="AC396" s="11" t="s">
        <v>2373</v>
      </c>
      <c r="AD396" s="5">
        <v>0.0</v>
      </c>
      <c r="AE396" s="5">
        <v>1.0</v>
      </c>
      <c r="AF396" s="8">
        <v>46183.0</v>
      </c>
      <c r="AG396" s="9">
        <v>0.375</v>
      </c>
      <c r="AH396" s="9">
        <v>0.9166666666666666</v>
      </c>
      <c r="AI396" s="4" t="s">
        <v>49</v>
      </c>
      <c r="AJ396" s="5" t="s">
        <v>2374</v>
      </c>
      <c r="AK396" s="12"/>
      <c r="AL396" s="12">
        <v>46182.0</v>
      </c>
      <c r="AM396" s="12"/>
      <c r="AN396" s="12"/>
      <c r="AO396" s="12"/>
      <c r="AP396" s="12"/>
      <c r="AQ396" s="12"/>
    </row>
    <row r="397">
      <c r="A397" s="5" t="s">
        <v>2375</v>
      </c>
      <c r="B397" s="5">
        <v>1.1398423E7</v>
      </c>
      <c r="C397" s="5" t="s">
        <v>37</v>
      </c>
      <c r="D397" s="5" t="s">
        <v>2376</v>
      </c>
      <c r="E397" s="5" t="s">
        <v>39</v>
      </c>
      <c r="F397" s="5" t="s">
        <v>2377</v>
      </c>
      <c r="G397" s="15">
        <v>6.28129E17</v>
      </c>
      <c r="H397" s="5" t="s">
        <v>2378</v>
      </c>
      <c r="I397" s="5" t="s">
        <v>42</v>
      </c>
      <c r="J397" s="5" t="s">
        <v>43</v>
      </c>
      <c r="K397" s="5">
        <v>8.7733785699E10</v>
      </c>
      <c r="L397" s="4" t="s">
        <v>44</v>
      </c>
      <c r="M397" s="5" t="s">
        <v>42</v>
      </c>
      <c r="N397" s="4" t="s">
        <v>45</v>
      </c>
      <c r="O397" s="4" t="s">
        <v>46</v>
      </c>
      <c r="P397" s="4" t="s">
        <v>187</v>
      </c>
      <c r="Q397" s="4">
        <v>16451.0</v>
      </c>
      <c r="R397" s="5" t="s">
        <v>2379</v>
      </c>
      <c r="S397" s="8">
        <v>46183.0</v>
      </c>
      <c r="T397" s="9">
        <v>0.375</v>
      </c>
      <c r="U397" s="9">
        <v>0.9166666666666666</v>
      </c>
      <c r="V397" s="4" t="s">
        <v>49</v>
      </c>
      <c r="W397" s="5">
        <v>1.0</v>
      </c>
      <c r="X397" s="5" t="b">
        <v>1</v>
      </c>
      <c r="Y397" s="5" t="s">
        <v>189</v>
      </c>
      <c r="Z397" s="5" t="b">
        <v>0</v>
      </c>
      <c r="AA397" s="10"/>
      <c r="AB397" s="4">
        <v>1.0</v>
      </c>
      <c r="AC397" s="11" t="s">
        <v>2380</v>
      </c>
      <c r="AD397" s="5">
        <v>0.0</v>
      </c>
      <c r="AE397" s="5">
        <v>1.0</v>
      </c>
      <c r="AF397" s="8">
        <v>46183.0</v>
      </c>
      <c r="AG397" s="9">
        <v>0.375</v>
      </c>
      <c r="AH397" s="9">
        <v>0.9166666666666666</v>
      </c>
      <c r="AI397" s="4" t="s">
        <v>49</v>
      </c>
      <c r="AJ397" s="5" t="s">
        <v>2381</v>
      </c>
      <c r="AK397" s="12"/>
      <c r="AL397" s="12">
        <v>46182.0</v>
      </c>
      <c r="AM397" s="12"/>
      <c r="AN397" s="12"/>
      <c r="AO397" s="12"/>
      <c r="AP397" s="12"/>
      <c r="AQ397" s="12"/>
    </row>
    <row r="398">
      <c r="A398" s="5" t="s">
        <v>2382</v>
      </c>
      <c r="B398" s="5">
        <v>1.1398423E7</v>
      </c>
      <c r="C398" s="5" t="s">
        <v>37</v>
      </c>
      <c r="D398" s="5" t="s">
        <v>2383</v>
      </c>
      <c r="E398" s="5" t="s">
        <v>39</v>
      </c>
      <c r="F398" s="5" t="s">
        <v>2384</v>
      </c>
      <c r="G398" s="15">
        <v>6.28128E17</v>
      </c>
      <c r="H398" s="5" t="s">
        <v>2385</v>
      </c>
      <c r="I398" s="5" t="s">
        <v>42</v>
      </c>
      <c r="J398" s="5" t="s">
        <v>43</v>
      </c>
      <c r="K398" s="5">
        <v>8.7733785699E10</v>
      </c>
      <c r="L398" s="4" t="s">
        <v>44</v>
      </c>
      <c r="M398" s="5" t="s">
        <v>42</v>
      </c>
      <c r="N398" s="4" t="s">
        <v>45</v>
      </c>
      <c r="O398" s="4" t="s">
        <v>46</v>
      </c>
      <c r="P398" s="4" t="s">
        <v>187</v>
      </c>
      <c r="Q398" s="4">
        <v>16451.0</v>
      </c>
      <c r="R398" s="5" t="s">
        <v>2386</v>
      </c>
      <c r="S398" s="8">
        <v>46183.0</v>
      </c>
      <c r="T398" s="9">
        <v>0.375</v>
      </c>
      <c r="U398" s="9">
        <v>0.9166666666666666</v>
      </c>
      <c r="V398" s="4" t="s">
        <v>49</v>
      </c>
      <c r="W398" s="5">
        <v>1.0</v>
      </c>
      <c r="X398" s="5" t="b">
        <v>1</v>
      </c>
      <c r="Y398" s="5" t="s">
        <v>189</v>
      </c>
      <c r="Z398" s="5" t="b">
        <v>0</v>
      </c>
      <c r="AA398" s="10"/>
      <c r="AB398" s="4">
        <v>1.0</v>
      </c>
      <c r="AC398" s="11" t="s">
        <v>2387</v>
      </c>
      <c r="AD398" s="5">
        <v>0.0</v>
      </c>
      <c r="AE398" s="5">
        <v>1.0</v>
      </c>
      <c r="AF398" s="8">
        <v>46183.0</v>
      </c>
      <c r="AG398" s="9">
        <v>0.375</v>
      </c>
      <c r="AH398" s="9">
        <v>0.9166666666666666</v>
      </c>
      <c r="AI398" s="4" t="s">
        <v>49</v>
      </c>
      <c r="AJ398" s="5" t="s">
        <v>2388</v>
      </c>
      <c r="AK398" s="12"/>
      <c r="AL398" s="12">
        <v>46182.0</v>
      </c>
      <c r="AM398" s="12"/>
      <c r="AN398" s="12"/>
      <c r="AO398" s="12"/>
      <c r="AP398" s="12"/>
      <c r="AQ398" s="12"/>
    </row>
    <row r="399">
      <c r="A399" s="5" t="s">
        <v>2389</v>
      </c>
      <c r="B399" s="5">
        <v>1.1398423E7</v>
      </c>
      <c r="C399" s="5" t="s">
        <v>37</v>
      </c>
      <c r="D399" s="5" t="s">
        <v>2390</v>
      </c>
      <c r="E399" s="5" t="s">
        <v>39</v>
      </c>
      <c r="F399" s="5" t="s">
        <v>2391</v>
      </c>
      <c r="G399" s="15">
        <v>6.28129E17</v>
      </c>
      <c r="H399" s="5" t="s">
        <v>2392</v>
      </c>
      <c r="I399" s="5" t="s">
        <v>42</v>
      </c>
      <c r="J399" s="5" t="s">
        <v>43</v>
      </c>
      <c r="K399" s="5">
        <v>8.7733785699E10</v>
      </c>
      <c r="L399" s="4" t="s">
        <v>44</v>
      </c>
      <c r="M399" s="5" t="s">
        <v>42</v>
      </c>
      <c r="N399" s="4" t="s">
        <v>45</v>
      </c>
      <c r="O399" s="4" t="s">
        <v>46</v>
      </c>
      <c r="P399" s="4" t="s">
        <v>187</v>
      </c>
      <c r="Q399" s="4">
        <v>16451.0</v>
      </c>
      <c r="R399" s="5" t="s">
        <v>2393</v>
      </c>
      <c r="S399" s="8">
        <v>46183.0</v>
      </c>
      <c r="T399" s="9">
        <v>0.375</v>
      </c>
      <c r="U399" s="9">
        <v>0.9166666666666666</v>
      </c>
      <c r="V399" s="4" t="s">
        <v>49</v>
      </c>
      <c r="W399" s="5">
        <v>1.0</v>
      </c>
      <c r="X399" s="5" t="b">
        <v>1</v>
      </c>
      <c r="Y399" s="5" t="s">
        <v>189</v>
      </c>
      <c r="Z399" s="5" t="b">
        <v>0</v>
      </c>
      <c r="AA399" s="10"/>
      <c r="AB399" s="4">
        <v>1.0</v>
      </c>
      <c r="AC399" s="11" t="s">
        <v>2394</v>
      </c>
      <c r="AD399" s="5">
        <v>0.0</v>
      </c>
      <c r="AE399" s="5">
        <v>1.0</v>
      </c>
      <c r="AF399" s="8">
        <v>46183.0</v>
      </c>
      <c r="AG399" s="9">
        <v>0.375</v>
      </c>
      <c r="AH399" s="9">
        <v>0.9166666666666666</v>
      </c>
      <c r="AI399" s="4" t="s">
        <v>49</v>
      </c>
      <c r="AJ399" s="5" t="s">
        <v>2395</v>
      </c>
      <c r="AK399" s="12"/>
      <c r="AL399" s="12">
        <v>46182.0</v>
      </c>
      <c r="AM399" s="12"/>
      <c r="AN399" s="12"/>
      <c r="AO399" s="12"/>
      <c r="AP399" s="12"/>
      <c r="AQ399" s="12"/>
    </row>
    <row r="400">
      <c r="A400" s="5" t="s">
        <v>2396</v>
      </c>
      <c r="B400" s="5">
        <v>1.1398423E7</v>
      </c>
      <c r="C400" s="5" t="s">
        <v>37</v>
      </c>
      <c r="D400" s="5" t="s">
        <v>2397</v>
      </c>
      <c r="E400" s="5" t="s">
        <v>39</v>
      </c>
      <c r="F400" s="5" t="s">
        <v>2398</v>
      </c>
      <c r="G400" s="15">
        <v>6.28968E17</v>
      </c>
      <c r="H400" s="5" t="s">
        <v>2399</v>
      </c>
      <c r="I400" s="5" t="s">
        <v>42</v>
      </c>
      <c r="J400" s="5" t="s">
        <v>43</v>
      </c>
      <c r="K400" s="5">
        <v>8.7733785699E10</v>
      </c>
      <c r="L400" s="4" t="s">
        <v>44</v>
      </c>
      <c r="M400" s="5" t="s">
        <v>42</v>
      </c>
      <c r="N400" s="4" t="s">
        <v>45</v>
      </c>
      <c r="O400" s="4" t="s">
        <v>46</v>
      </c>
      <c r="P400" s="4" t="s">
        <v>187</v>
      </c>
      <c r="Q400" s="4">
        <v>16451.0</v>
      </c>
      <c r="R400" s="5" t="s">
        <v>2400</v>
      </c>
      <c r="S400" s="8">
        <v>46183.0</v>
      </c>
      <c r="T400" s="9">
        <v>0.375</v>
      </c>
      <c r="U400" s="9">
        <v>0.9166666666666666</v>
      </c>
      <c r="V400" s="4" t="s">
        <v>49</v>
      </c>
      <c r="W400" s="5">
        <v>1.0</v>
      </c>
      <c r="X400" s="5" t="b">
        <v>1</v>
      </c>
      <c r="Y400" s="5" t="s">
        <v>189</v>
      </c>
      <c r="Z400" s="5" t="b">
        <v>0</v>
      </c>
      <c r="AA400" s="10"/>
      <c r="AB400" s="4">
        <v>1.0</v>
      </c>
      <c r="AC400" s="11" t="s">
        <v>2401</v>
      </c>
      <c r="AD400" s="5">
        <v>0.0</v>
      </c>
      <c r="AE400" s="5">
        <v>1.0</v>
      </c>
      <c r="AF400" s="8">
        <v>46183.0</v>
      </c>
      <c r="AG400" s="9">
        <v>0.375</v>
      </c>
      <c r="AH400" s="9">
        <v>0.9166666666666666</v>
      </c>
      <c r="AI400" s="4" t="s">
        <v>49</v>
      </c>
      <c r="AJ400" s="5" t="s">
        <v>2402</v>
      </c>
      <c r="AK400" s="12"/>
      <c r="AL400" s="12">
        <v>46182.0</v>
      </c>
      <c r="AM400" s="12"/>
      <c r="AN400" s="12"/>
      <c r="AO400" s="12"/>
      <c r="AP400" s="12"/>
      <c r="AQ400" s="12"/>
    </row>
    <row r="401">
      <c r="A401" s="5" t="s">
        <v>2403</v>
      </c>
      <c r="B401" s="5">
        <v>1.1398423E7</v>
      </c>
      <c r="C401" s="5" t="s">
        <v>37</v>
      </c>
      <c r="D401" s="5" t="s">
        <v>2104</v>
      </c>
      <c r="E401" s="5" t="s">
        <v>39</v>
      </c>
      <c r="F401" s="5" t="s">
        <v>1668</v>
      </c>
      <c r="G401" s="15">
        <v>6.28127E17</v>
      </c>
      <c r="H401" s="5" t="s">
        <v>1669</v>
      </c>
      <c r="I401" s="5" t="s">
        <v>42</v>
      </c>
      <c r="J401" s="5" t="s">
        <v>43</v>
      </c>
      <c r="K401" s="5">
        <v>8.7733785699E10</v>
      </c>
      <c r="L401" s="4" t="s">
        <v>44</v>
      </c>
      <c r="M401" s="5" t="s">
        <v>42</v>
      </c>
      <c r="N401" s="4" t="s">
        <v>45</v>
      </c>
      <c r="O401" s="4" t="s">
        <v>46</v>
      </c>
      <c r="P401" s="4" t="s">
        <v>187</v>
      </c>
      <c r="Q401" s="4">
        <v>16451.0</v>
      </c>
      <c r="R401" s="5" t="s">
        <v>2404</v>
      </c>
      <c r="S401" s="8">
        <v>46183.0</v>
      </c>
      <c r="T401" s="9">
        <v>0.375</v>
      </c>
      <c r="U401" s="9">
        <v>0.9166666666666666</v>
      </c>
      <c r="V401" s="4" t="s">
        <v>49</v>
      </c>
      <c r="W401" s="5">
        <v>1.0</v>
      </c>
      <c r="X401" s="5" t="b">
        <v>1</v>
      </c>
      <c r="Y401" s="5" t="s">
        <v>189</v>
      </c>
      <c r="Z401" s="5" t="b">
        <v>0</v>
      </c>
      <c r="AA401" s="10"/>
      <c r="AB401" s="4">
        <v>1.0</v>
      </c>
      <c r="AC401" s="11" t="s">
        <v>2405</v>
      </c>
      <c r="AD401" s="5">
        <v>0.0</v>
      </c>
      <c r="AE401" s="5">
        <v>1.0</v>
      </c>
      <c r="AF401" s="8">
        <v>46183.0</v>
      </c>
      <c r="AG401" s="9">
        <v>0.375</v>
      </c>
      <c r="AH401" s="9">
        <v>0.9166666666666666</v>
      </c>
      <c r="AI401" s="4" t="s">
        <v>49</v>
      </c>
      <c r="AJ401" s="5" t="s">
        <v>2406</v>
      </c>
      <c r="AK401" s="12"/>
      <c r="AL401" s="12">
        <v>46182.0</v>
      </c>
      <c r="AM401" s="12"/>
      <c r="AN401" s="12"/>
      <c r="AO401" s="12"/>
      <c r="AP401" s="12"/>
      <c r="AQ401" s="12"/>
    </row>
    <row r="402">
      <c r="A402" s="5" t="s">
        <v>2407</v>
      </c>
      <c r="B402" s="5">
        <v>1.1398423E7</v>
      </c>
      <c r="C402" s="5" t="s">
        <v>37</v>
      </c>
      <c r="D402" s="5" t="s">
        <v>2408</v>
      </c>
      <c r="E402" s="5" t="s">
        <v>39</v>
      </c>
      <c r="F402" s="5" t="s">
        <v>2409</v>
      </c>
      <c r="G402" s="15">
        <v>6.28128E17</v>
      </c>
      <c r="H402" s="5" t="s">
        <v>2410</v>
      </c>
      <c r="I402" s="5" t="s">
        <v>42</v>
      </c>
      <c r="J402" s="5" t="s">
        <v>43</v>
      </c>
      <c r="K402" s="5">
        <v>8.7733785699E10</v>
      </c>
      <c r="L402" s="4" t="s">
        <v>44</v>
      </c>
      <c r="M402" s="5" t="s">
        <v>42</v>
      </c>
      <c r="N402" s="4" t="s">
        <v>45</v>
      </c>
      <c r="O402" s="4" t="s">
        <v>46</v>
      </c>
      <c r="P402" s="4" t="s">
        <v>187</v>
      </c>
      <c r="Q402" s="4">
        <v>16451.0</v>
      </c>
      <c r="R402" s="5" t="s">
        <v>2411</v>
      </c>
      <c r="S402" s="8">
        <v>46183.0</v>
      </c>
      <c r="T402" s="9">
        <v>0.375</v>
      </c>
      <c r="U402" s="9">
        <v>0.9166666666666666</v>
      </c>
      <c r="V402" s="4" t="s">
        <v>49</v>
      </c>
      <c r="W402" s="5">
        <v>1.0</v>
      </c>
      <c r="X402" s="5" t="b">
        <v>1</v>
      </c>
      <c r="Y402" s="5" t="s">
        <v>189</v>
      </c>
      <c r="Z402" s="5" t="b">
        <v>0</v>
      </c>
      <c r="AA402" s="10"/>
      <c r="AB402" s="4">
        <v>1.0</v>
      </c>
      <c r="AC402" s="11" t="s">
        <v>2412</v>
      </c>
      <c r="AD402" s="5">
        <v>0.0</v>
      </c>
      <c r="AE402" s="5">
        <v>1.0</v>
      </c>
      <c r="AF402" s="8">
        <v>46183.0</v>
      </c>
      <c r="AG402" s="9">
        <v>0.375</v>
      </c>
      <c r="AH402" s="9">
        <v>0.9166666666666666</v>
      </c>
      <c r="AI402" s="4" t="s">
        <v>49</v>
      </c>
      <c r="AJ402" s="5" t="s">
        <v>2413</v>
      </c>
      <c r="AK402" s="12"/>
      <c r="AL402" s="12">
        <v>46182.0</v>
      </c>
      <c r="AM402" s="12"/>
      <c r="AN402" s="12"/>
      <c r="AO402" s="12"/>
      <c r="AP402" s="12"/>
      <c r="AQ402" s="12"/>
    </row>
    <row r="403">
      <c r="A403" s="5" t="s">
        <v>2414</v>
      </c>
      <c r="B403" s="5">
        <v>1.1398423E7</v>
      </c>
      <c r="C403" s="5" t="s">
        <v>37</v>
      </c>
      <c r="D403" s="5" t="s">
        <v>2415</v>
      </c>
      <c r="E403" s="5" t="s">
        <v>39</v>
      </c>
      <c r="F403" s="5" t="s">
        <v>2416</v>
      </c>
      <c r="G403" s="15">
        <v>6.28535E17</v>
      </c>
      <c r="H403" s="5" t="s">
        <v>2417</v>
      </c>
      <c r="I403" s="5" t="s">
        <v>42</v>
      </c>
      <c r="J403" s="5" t="s">
        <v>43</v>
      </c>
      <c r="K403" s="5">
        <v>8.7733785699E10</v>
      </c>
      <c r="L403" s="4" t="s">
        <v>44</v>
      </c>
      <c r="M403" s="5" t="s">
        <v>42</v>
      </c>
      <c r="N403" s="4" t="s">
        <v>45</v>
      </c>
      <c r="O403" s="4" t="s">
        <v>46</v>
      </c>
      <c r="P403" s="4" t="s">
        <v>187</v>
      </c>
      <c r="Q403" s="4">
        <v>16451.0</v>
      </c>
      <c r="R403" s="5" t="s">
        <v>2418</v>
      </c>
      <c r="S403" s="8">
        <v>46183.0</v>
      </c>
      <c r="T403" s="9">
        <v>0.375</v>
      </c>
      <c r="U403" s="9">
        <v>0.9166666666666666</v>
      </c>
      <c r="V403" s="4" t="s">
        <v>49</v>
      </c>
      <c r="W403" s="5">
        <v>1.0</v>
      </c>
      <c r="X403" s="5" t="b">
        <v>1</v>
      </c>
      <c r="Y403" s="5" t="s">
        <v>189</v>
      </c>
      <c r="Z403" s="5" t="b">
        <v>0</v>
      </c>
      <c r="AA403" s="10"/>
      <c r="AB403" s="4">
        <v>1.0</v>
      </c>
      <c r="AC403" s="11" t="s">
        <v>2419</v>
      </c>
      <c r="AD403" s="5">
        <v>0.0</v>
      </c>
      <c r="AE403" s="5">
        <v>1.0</v>
      </c>
      <c r="AF403" s="8">
        <v>46183.0</v>
      </c>
      <c r="AG403" s="9">
        <v>0.375</v>
      </c>
      <c r="AH403" s="9">
        <v>0.9166666666666666</v>
      </c>
      <c r="AI403" s="4" t="s">
        <v>49</v>
      </c>
      <c r="AJ403" s="5" t="s">
        <v>2420</v>
      </c>
      <c r="AK403" s="12"/>
      <c r="AL403" s="12">
        <v>46182.0</v>
      </c>
      <c r="AM403" s="12"/>
      <c r="AN403" s="12"/>
      <c r="AO403" s="12"/>
      <c r="AP403" s="12"/>
      <c r="AQ403" s="12"/>
    </row>
    <row r="404">
      <c r="A404" s="5" t="s">
        <v>2421</v>
      </c>
      <c r="B404" s="5">
        <v>1.1398423E7</v>
      </c>
      <c r="C404" s="5" t="s">
        <v>37</v>
      </c>
      <c r="D404" s="5" t="s">
        <v>2029</v>
      </c>
      <c r="E404" s="5" t="s">
        <v>39</v>
      </c>
      <c r="F404" s="5" t="s">
        <v>2030</v>
      </c>
      <c r="G404" s="15">
        <v>6.28788E17</v>
      </c>
      <c r="H404" s="5" t="s">
        <v>2031</v>
      </c>
      <c r="I404" s="5" t="s">
        <v>42</v>
      </c>
      <c r="J404" s="5" t="s">
        <v>43</v>
      </c>
      <c r="K404" s="5">
        <v>8.7733785699E10</v>
      </c>
      <c r="L404" s="4" t="s">
        <v>44</v>
      </c>
      <c r="M404" s="5" t="s">
        <v>42</v>
      </c>
      <c r="N404" s="4" t="s">
        <v>45</v>
      </c>
      <c r="O404" s="4" t="s">
        <v>46</v>
      </c>
      <c r="P404" s="4" t="s">
        <v>187</v>
      </c>
      <c r="Q404" s="4">
        <v>16451.0</v>
      </c>
      <c r="R404" s="5" t="s">
        <v>2422</v>
      </c>
      <c r="S404" s="8">
        <v>46183.0</v>
      </c>
      <c r="T404" s="9">
        <v>0.375</v>
      </c>
      <c r="U404" s="9">
        <v>0.9166666666666666</v>
      </c>
      <c r="V404" s="4" t="s">
        <v>49</v>
      </c>
      <c r="W404" s="5">
        <v>1.0</v>
      </c>
      <c r="X404" s="5" t="b">
        <v>1</v>
      </c>
      <c r="Y404" s="5" t="s">
        <v>189</v>
      </c>
      <c r="Z404" s="5" t="b">
        <v>0</v>
      </c>
      <c r="AA404" s="10"/>
      <c r="AB404" s="4">
        <v>1.0</v>
      </c>
      <c r="AC404" s="11" t="s">
        <v>2423</v>
      </c>
      <c r="AD404" s="5">
        <v>0.0</v>
      </c>
      <c r="AE404" s="5">
        <v>1.0</v>
      </c>
      <c r="AF404" s="8">
        <v>46183.0</v>
      </c>
      <c r="AG404" s="9">
        <v>0.375</v>
      </c>
      <c r="AH404" s="9">
        <v>0.9166666666666666</v>
      </c>
      <c r="AI404" s="4" t="s">
        <v>49</v>
      </c>
      <c r="AJ404" s="5" t="s">
        <v>2424</v>
      </c>
      <c r="AK404" s="12"/>
      <c r="AL404" s="12">
        <v>46182.0</v>
      </c>
      <c r="AM404" s="12"/>
      <c r="AN404" s="12"/>
      <c r="AO404" s="12"/>
      <c r="AP404" s="12"/>
      <c r="AQ404" s="12"/>
    </row>
    <row r="405">
      <c r="A405" s="5" t="s">
        <v>2425</v>
      </c>
      <c r="B405" s="5">
        <v>1.1398423E7</v>
      </c>
      <c r="C405" s="5" t="s">
        <v>37</v>
      </c>
      <c r="D405" s="5" t="s">
        <v>1402</v>
      </c>
      <c r="E405" s="5" t="s">
        <v>39</v>
      </c>
      <c r="F405" s="5" t="s">
        <v>854</v>
      </c>
      <c r="G405" s="15">
        <v>6.28213E17</v>
      </c>
      <c r="H405" s="5" t="s">
        <v>855</v>
      </c>
      <c r="I405" s="5" t="s">
        <v>42</v>
      </c>
      <c r="J405" s="5" t="s">
        <v>43</v>
      </c>
      <c r="K405" s="5">
        <v>8.7733785699E10</v>
      </c>
      <c r="L405" s="4" t="s">
        <v>44</v>
      </c>
      <c r="M405" s="5" t="s">
        <v>42</v>
      </c>
      <c r="N405" s="4" t="s">
        <v>45</v>
      </c>
      <c r="O405" s="4" t="s">
        <v>46</v>
      </c>
      <c r="P405" s="4" t="s">
        <v>187</v>
      </c>
      <c r="Q405" s="4">
        <v>16451.0</v>
      </c>
      <c r="R405" s="5" t="s">
        <v>2426</v>
      </c>
      <c r="S405" s="8">
        <v>46183.0</v>
      </c>
      <c r="T405" s="9">
        <v>0.375</v>
      </c>
      <c r="U405" s="9">
        <v>0.9166666666666666</v>
      </c>
      <c r="V405" s="4" t="s">
        <v>49</v>
      </c>
      <c r="W405" s="5">
        <v>1.0</v>
      </c>
      <c r="X405" s="5" t="b">
        <v>1</v>
      </c>
      <c r="Y405" s="5" t="s">
        <v>189</v>
      </c>
      <c r="Z405" s="5" t="b">
        <v>0</v>
      </c>
      <c r="AA405" s="10"/>
      <c r="AB405" s="4">
        <v>1.0</v>
      </c>
      <c r="AC405" s="11" t="s">
        <v>2427</v>
      </c>
      <c r="AD405" s="5">
        <v>0.0</v>
      </c>
      <c r="AE405" s="5">
        <v>1.0</v>
      </c>
      <c r="AF405" s="8">
        <v>46183.0</v>
      </c>
      <c r="AG405" s="9">
        <v>0.375</v>
      </c>
      <c r="AH405" s="9">
        <v>0.9166666666666666</v>
      </c>
      <c r="AI405" s="4" t="s">
        <v>49</v>
      </c>
      <c r="AJ405" s="5" t="s">
        <v>2428</v>
      </c>
      <c r="AK405" s="12"/>
      <c r="AL405" s="12">
        <v>46182.0</v>
      </c>
      <c r="AM405" s="12"/>
      <c r="AN405" s="12"/>
      <c r="AO405" s="12"/>
      <c r="AP405" s="12"/>
      <c r="AQ405" s="12"/>
    </row>
    <row r="406">
      <c r="A406" s="5" t="s">
        <v>2429</v>
      </c>
      <c r="B406" s="5">
        <v>1.1398423E7</v>
      </c>
      <c r="C406" s="5" t="s">
        <v>37</v>
      </c>
      <c r="D406" s="5" t="s">
        <v>1046</v>
      </c>
      <c r="E406" s="5" t="s">
        <v>39</v>
      </c>
      <c r="F406" s="5" t="s">
        <v>516</v>
      </c>
      <c r="G406" s="15">
        <v>6.28132E17</v>
      </c>
      <c r="H406" s="5" t="s">
        <v>517</v>
      </c>
      <c r="I406" s="5" t="s">
        <v>42</v>
      </c>
      <c r="J406" s="5" t="s">
        <v>43</v>
      </c>
      <c r="K406" s="5">
        <v>8.7733785699E10</v>
      </c>
      <c r="L406" s="4" t="s">
        <v>44</v>
      </c>
      <c r="M406" s="5" t="s">
        <v>42</v>
      </c>
      <c r="N406" s="4" t="s">
        <v>45</v>
      </c>
      <c r="O406" s="4" t="s">
        <v>46</v>
      </c>
      <c r="P406" s="4" t="s">
        <v>187</v>
      </c>
      <c r="Q406" s="4">
        <v>16451.0</v>
      </c>
      <c r="R406" s="5" t="s">
        <v>2430</v>
      </c>
      <c r="S406" s="8">
        <v>46183.0</v>
      </c>
      <c r="T406" s="9">
        <v>0.375</v>
      </c>
      <c r="U406" s="9">
        <v>0.9166666666666666</v>
      </c>
      <c r="V406" s="4" t="s">
        <v>49</v>
      </c>
      <c r="W406" s="5">
        <v>1.0</v>
      </c>
      <c r="X406" s="5" t="b">
        <v>1</v>
      </c>
      <c r="Y406" s="5" t="s">
        <v>189</v>
      </c>
      <c r="Z406" s="5" t="b">
        <v>0</v>
      </c>
      <c r="AA406" s="10"/>
      <c r="AB406" s="4">
        <v>1.0</v>
      </c>
      <c r="AC406" s="11" t="s">
        <v>2431</v>
      </c>
      <c r="AD406" s="5">
        <v>0.0</v>
      </c>
      <c r="AE406" s="5">
        <v>1.0</v>
      </c>
      <c r="AF406" s="8">
        <v>46183.0</v>
      </c>
      <c r="AG406" s="9">
        <v>0.375</v>
      </c>
      <c r="AH406" s="9">
        <v>0.9166666666666666</v>
      </c>
      <c r="AI406" s="4" t="s">
        <v>49</v>
      </c>
      <c r="AJ406" s="5" t="s">
        <v>2432</v>
      </c>
      <c r="AK406" s="12"/>
      <c r="AL406" s="12">
        <v>46182.0</v>
      </c>
      <c r="AM406" s="12"/>
      <c r="AN406" s="12"/>
      <c r="AO406" s="12"/>
      <c r="AP406" s="12"/>
      <c r="AQ406" s="12"/>
    </row>
    <row r="407">
      <c r="A407" s="5" t="s">
        <v>2433</v>
      </c>
      <c r="B407" s="5">
        <v>1.1398423E7</v>
      </c>
      <c r="C407" s="5" t="s">
        <v>37</v>
      </c>
      <c r="D407" s="5" t="s">
        <v>1681</v>
      </c>
      <c r="E407" s="5" t="s">
        <v>39</v>
      </c>
      <c r="F407" s="5" t="s">
        <v>155</v>
      </c>
      <c r="G407" s="15">
        <v>6.28526E17</v>
      </c>
      <c r="H407" s="5" t="s">
        <v>156</v>
      </c>
      <c r="I407" s="5" t="s">
        <v>42</v>
      </c>
      <c r="J407" s="5" t="s">
        <v>43</v>
      </c>
      <c r="K407" s="5">
        <v>8.7733785699E10</v>
      </c>
      <c r="L407" s="4" t="s">
        <v>44</v>
      </c>
      <c r="M407" s="5" t="s">
        <v>42</v>
      </c>
      <c r="N407" s="4" t="s">
        <v>45</v>
      </c>
      <c r="O407" s="4" t="s">
        <v>46</v>
      </c>
      <c r="P407" s="4" t="s">
        <v>187</v>
      </c>
      <c r="Q407" s="4">
        <v>16451.0</v>
      </c>
      <c r="R407" s="5" t="s">
        <v>2434</v>
      </c>
      <c r="S407" s="8">
        <v>46183.0</v>
      </c>
      <c r="T407" s="9">
        <v>0.375</v>
      </c>
      <c r="U407" s="9">
        <v>0.9166666666666666</v>
      </c>
      <c r="V407" s="4" t="s">
        <v>49</v>
      </c>
      <c r="W407" s="5">
        <v>1.0</v>
      </c>
      <c r="X407" s="5" t="b">
        <v>1</v>
      </c>
      <c r="Y407" s="5" t="s">
        <v>189</v>
      </c>
      <c r="Z407" s="5" t="b">
        <v>0</v>
      </c>
      <c r="AA407" s="10"/>
      <c r="AB407" s="4">
        <v>1.0</v>
      </c>
      <c r="AC407" s="11" t="s">
        <v>2435</v>
      </c>
      <c r="AD407" s="5">
        <v>0.0</v>
      </c>
      <c r="AE407" s="5">
        <v>1.0</v>
      </c>
      <c r="AF407" s="8">
        <v>46183.0</v>
      </c>
      <c r="AG407" s="9">
        <v>0.375</v>
      </c>
      <c r="AH407" s="9">
        <v>0.9166666666666666</v>
      </c>
      <c r="AI407" s="4" t="s">
        <v>49</v>
      </c>
      <c r="AJ407" s="5" t="s">
        <v>2436</v>
      </c>
      <c r="AK407" s="12"/>
      <c r="AL407" s="12">
        <v>46182.0</v>
      </c>
      <c r="AM407" s="12"/>
      <c r="AN407" s="12"/>
      <c r="AO407" s="12"/>
      <c r="AP407" s="12"/>
      <c r="AQ407" s="12"/>
    </row>
    <row r="408">
      <c r="A408" s="5" t="s">
        <v>2437</v>
      </c>
      <c r="B408" s="5">
        <v>1.1398423E7</v>
      </c>
      <c r="C408" s="5" t="s">
        <v>37</v>
      </c>
      <c r="D408" s="5" t="s">
        <v>2438</v>
      </c>
      <c r="E408" s="5" t="s">
        <v>39</v>
      </c>
      <c r="F408" s="5" t="s">
        <v>2439</v>
      </c>
      <c r="G408" s="15">
        <v>6.28212E17</v>
      </c>
      <c r="H408" s="5" t="s">
        <v>2440</v>
      </c>
      <c r="I408" s="5" t="s">
        <v>42</v>
      </c>
      <c r="J408" s="5" t="s">
        <v>43</v>
      </c>
      <c r="K408" s="5">
        <v>8.7733785699E10</v>
      </c>
      <c r="L408" s="4" t="s">
        <v>44</v>
      </c>
      <c r="M408" s="5" t="s">
        <v>42</v>
      </c>
      <c r="N408" s="4" t="s">
        <v>45</v>
      </c>
      <c r="O408" s="4" t="s">
        <v>46</v>
      </c>
      <c r="P408" s="4" t="s">
        <v>187</v>
      </c>
      <c r="Q408" s="4">
        <v>16451.0</v>
      </c>
      <c r="R408" s="5" t="s">
        <v>2441</v>
      </c>
      <c r="S408" s="8">
        <v>46183.0</v>
      </c>
      <c r="T408" s="9">
        <v>0.375</v>
      </c>
      <c r="U408" s="9">
        <v>0.9166666666666666</v>
      </c>
      <c r="V408" s="4" t="s">
        <v>49</v>
      </c>
      <c r="W408" s="5">
        <v>1.0</v>
      </c>
      <c r="X408" s="5" t="b">
        <v>1</v>
      </c>
      <c r="Y408" s="5" t="s">
        <v>189</v>
      </c>
      <c r="Z408" s="5" t="b">
        <v>0</v>
      </c>
      <c r="AA408" s="10"/>
      <c r="AB408" s="4">
        <v>1.0</v>
      </c>
      <c r="AC408" s="11" t="s">
        <v>2442</v>
      </c>
      <c r="AD408" s="5">
        <v>0.0</v>
      </c>
      <c r="AE408" s="5">
        <v>1.0</v>
      </c>
      <c r="AF408" s="8">
        <v>46183.0</v>
      </c>
      <c r="AG408" s="9">
        <v>0.375</v>
      </c>
      <c r="AH408" s="9">
        <v>0.9166666666666666</v>
      </c>
      <c r="AI408" s="4" t="s">
        <v>49</v>
      </c>
      <c r="AJ408" s="5" t="s">
        <v>2443</v>
      </c>
      <c r="AK408" s="12"/>
      <c r="AL408" s="12">
        <v>46182.0</v>
      </c>
      <c r="AM408" s="12"/>
      <c r="AN408" s="12"/>
      <c r="AO408" s="12"/>
      <c r="AP408" s="12"/>
      <c r="AQ408" s="12"/>
    </row>
    <row r="409">
      <c r="A409" s="5" t="s">
        <v>2444</v>
      </c>
      <c r="B409" s="5">
        <v>1.1398423E7</v>
      </c>
      <c r="C409" s="5" t="s">
        <v>37</v>
      </c>
      <c r="D409" s="5" t="s">
        <v>2445</v>
      </c>
      <c r="E409" s="5" t="s">
        <v>39</v>
      </c>
      <c r="F409" s="5" t="s">
        <v>2446</v>
      </c>
      <c r="G409" s="15">
        <v>6.28961E17</v>
      </c>
      <c r="H409" s="5" t="s">
        <v>2447</v>
      </c>
      <c r="I409" s="5" t="s">
        <v>42</v>
      </c>
      <c r="J409" s="5" t="s">
        <v>43</v>
      </c>
      <c r="K409" s="5">
        <v>8.7733785699E10</v>
      </c>
      <c r="L409" s="4" t="s">
        <v>44</v>
      </c>
      <c r="M409" s="5" t="s">
        <v>42</v>
      </c>
      <c r="N409" s="4" t="s">
        <v>45</v>
      </c>
      <c r="O409" s="4" t="s">
        <v>46</v>
      </c>
      <c r="P409" s="4" t="s">
        <v>187</v>
      </c>
      <c r="Q409" s="4">
        <v>16451.0</v>
      </c>
      <c r="R409" s="5" t="s">
        <v>2448</v>
      </c>
      <c r="S409" s="8">
        <v>46183.0</v>
      </c>
      <c r="T409" s="9">
        <v>0.375</v>
      </c>
      <c r="U409" s="9">
        <v>0.9166666666666666</v>
      </c>
      <c r="V409" s="4" t="s">
        <v>49</v>
      </c>
      <c r="W409" s="5">
        <v>1.0</v>
      </c>
      <c r="X409" s="5" t="b">
        <v>1</v>
      </c>
      <c r="Y409" s="5" t="s">
        <v>189</v>
      </c>
      <c r="Z409" s="5" t="b">
        <v>0</v>
      </c>
      <c r="AA409" s="10"/>
      <c r="AB409" s="4">
        <v>1.0</v>
      </c>
      <c r="AC409" s="11" t="s">
        <v>2449</v>
      </c>
      <c r="AD409" s="5">
        <v>0.0</v>
      </c>
      <c r="AE409" s="5">
        <v>1.0</v>
      </c>
      <c r="AF409" s="8">
        <v>46183.0</v>
      </c>
      <c r="AG409" s="9">
        <v>0.375</v>
      </c>
      <c r="AH409" s="9">
        <v>0.9166666666666666</v>
      </c>
      <c r="AI409" s="4" t="s">
        <v>49</v>
      </c>
      <c r="AJ409" s="5" t="s">
        <v>2450</v>
      </c>
      <c r="AK409" s="12"/>
      <c r="AL409" s="12">
        <v>46182.0</v>
      </c>
      <c r="AM409" s="12"/>
      <c r="AN409" s="12"/>
      <c r="AO409" s="12"/>
      <c r="AP409" s="12"/>
      <c r="AQ409" s="12"/>
    </row>
    <row r="410">
      <c r="A410" s="5" t="s">
        <v>2451</v>
      </c>
      <c r="B410" s="5">
        <v>1.1398423E7</v>
      </c>
      <c r="C410" s="5" t="s">
        <v>37</v>
      </c>
      <c r="D410" s="5" t="s">
        <v>2452</v>
      </c>
      <c r="E410" s="5" t="s">
        <v>39</v>
      </c>
      <c r="F410" s="5" t="s">
        <v>834</v>
      </c>
      <c r="G410" s="15">
        <v>6.28121E17</v>
      </c>
      <c r="H410" s="5" t="s">
        <v>835</v>
      </c>
      <c r="I410" s="5" t="s">
        <v>42</v>
      </c>
      <c r="J410" s="5" t="s">
        <v>43</v>
      </c>
      <c r="K410" s="5">
        <v>8.7733785699E10</v>
      </c>
      <c r="L410" s="4" t="s">
        <v>44</v>
      </c>
      <c r="M410" s="5" t="s">
        <v>42</v>
      </c>
      <c r="N410" s="4" t="s">
        <v>45</v>
      </c>
      <c r="O410" s="4" t="s">
        <v>46</v>
      </c>
      <c r="P410" s="4" t="s">
        <v>187</v>
      </c>
      <c r="Q410" s="4">
        <v>16451.0</v>
      </c>
      <c r="R410" s="5" t="s">
        <v>2453</v>
      </c>
      <c r="S410" s="8">
        <v>46183.0</v>
      </c>
      <c r="T410" s="9">
        <v>0.375</v>
      </c>
      <c r="U410" s="9">
        <v>0.9166666666666666</v>
      </c>
      <c r="V410" s="4" t="s">
        <v>49</v>
      </c>
      <c r="W410" s="5">
        <v>1.0</v>
      </c>
      <c r="X410" s="5" t="b">
        <v>1</v>
      </c>
      <c r="Y410" s="5" t="s">
        <v>189</v>
      </c>
      <c r="Z410" s="5" t="b">
        <v>0</v>
      </c>
      <c r="AA410" s="10"/>
      <c r="AB410" s="4">
        <v>1.0</v>
      </c>
      <c r="AC410" s="11" t="s">
        <v>2454</v>
      </c>
      <c r="AD410" s="5">
        <v>0.0</v>
      </c>
      <c r="AE410" s="5">
        <v>1.0</v>
      </c>
      <c r="AF410" s="8">
        <v>46183.0</v>
      </c>
      <c r="AG410" s="9">
        <v>0.375</v>
      </c>
      <c r="AH410" s="9">
        <v>0.9166666666666666</v>
      </c>
      <c r="AI410" s="4" t="s">
        <v>49</v>
      </c>
      <c r="AJ410" s="5" t="s">
        <v>2455</v>
      </c>
      <c r="AK410" s="12"/>
      <c r="AL410" s="12">
        <v>46182.0</v>
      </c>
      <c r="AM410" s="12"/>
      <c r="AN410" s="12"/>
      <c r="AO410" s="12"/>
      <c r="AP410" s="12"/>
      <c r="AQ410" s="12"/>
    </row>
    <row r="411">
      <c r="A411" s="5" t="s">
        <v>2456</v>
      </c>
      <c r="B411" s="5">
        <v>1.1398423E7</v>
      </c>
      <c r="C411" s="5" t="s">
        <v>37</v>
      </c>
      <c r="D411" s="5" t="s">
        <v>2457</v>
      </c>
      <c r="E411" s="5" t="s">
        <v>39</v>
      </c>
      <c r="F411" s="5" t="s">
        <v>2458</v>
      </c>
      <c r="G411" s="15">
        <v>6.28589E17</v>
      </c>
      <c r="H411" s="5" t="s">
        <v>2459</v>
      </c>
      <c r="I411" s="5" t="s">
        <v>42</v>
      </c>
      <c r="J411" s="5" t="s">
        <v>43</v>
      </c>
      <c r="K411" s="5">
        <v>8.7733785699E10</v>
      </c>
      <c r="L411" s="4" t="s">
        <v>44</v>
      </c>
      <c r="M411" s="5" t="s">
        <v>42</v>
      </c>
      <c r="N411" s="4" t="s">
        <v>45</v>
      </c>
      <c r="O411" s="4" t="s">
        <v>46</v>
      </c>
      <c r="P411" s="4" t="s">
        <v>187</v>
      </c>
      <c r="Q411" s="4">
        <v>16451.0</v>
      </c>
      <c r="R411" s="5" t="s">
        <v>2460</v>
      </c>
      <c r="S411" s="8">
        <v>46183.0</v>
      </c>
      <c r="T411" s="9">
        <v>0.375</v>
      </c>
      <c r="U411" s="9">
        <v>0.9166666666666666</v>
      </c>
      <c r="V411" s="4" t="s">
        <v>49</v>
      </c>
      <c r="W411" s="5">
        <v>1.0</v>
      </c>
      <c r="X411" s="5" t="b">
        <v>1</v>
      </c>
      <c r="Y411" s="5" t="s">
        <v>189</v>
      </c>
      <c r="Z411" s="5" t="b">
        <v>0</v>
      </c>
      <c r="AA411" s="10"/>
      <c r="AB411" s="4">
        <v>1.0</v>
      </c>
      <c r="AC411" s="11" t="s">
        <v>2461</v>
      </c>
      <c r="AD411" s="5">
        <v>0.0</v>
      </c>
      <c r="AE411" s="5">
        <v>1.0</v>
      </c>
      <c r="AF411" s="8">
        <v>46183.0</v>
      </c>
      <c r="AG411" s="9">
        <v>0.375</v>
      </c>
      <c r="AH411" s="9">
        <v>0.9166666666666666</v>
      </c>
      <c r="AI411" s="4" t="s">
        <v>49</v>
      </c>
      <c r="AJ411" s="5" t="s">
        <v>2462</v>
      </c>
      <c r="AK411" s="12"/>
      <c r="AL411" s="12">
        <v>46182.0</v>
      </c>
      <c r="AM411" s="12"/>
      <c r="AN411" s="12"/>
      <c r="AO411" s="12"/>
      <c r="AP411" s="12"/>
      <c r="AQ411" s="12"/>
    </row>
    <row r="412">
      <c r="A412" s="5" t="s">
        <v>2463</v>
      </c>
      <c r="B412" s="5">
        <v>1.1398423E7</v>
      </c>
      <c r="C412" s="5" t="s">
        <v>37</v>
      </c>
      <c r="D412" s="5" t="s">
        <v>2067</v>
      </c>
      <c r="E412" s="5" t="s">
        <v>39</v>
      </c>
      <c r="F412" s="5" t="s">
        <v>2068</v>
      </c>
      <c r="G412" s="15">
        <v>6.28219E17</v>
      </c>
      <c r="H412" s="5" t="s">
        <v>2069</v>
      </c>
      <c r="I412" s="5" t="s">
        <v>42</v>
      </c>
      <c r="J412" s="5" t="s">
        <v>43</v>
      </c>
      <c r="K412" s="5">
        <v>8.7733785699E10</v>
      </c>
      <c r="L412" s="4" t="s">
        <v>44</v>
      </c>
      <c r="M412" s="5" t="s">
        <v>42</v>
      </c>
      <c r="N412" s="4" t="s">
        <v>45</v>
      </c>
      <c r="O412" s="4" t="s">
        <v>46</v>
      </c>
      <c r="P412" s="4" t="s">
        <v>187</v>
      </c>
      <c r="Q412" s="4">
        <v>16451.0</v>
      </c>
      <c r="R412" s="5" t="s">
        <v>2464</v>
      </c>
      <c r="S412" s="8">
        <v>46183.0</v>
      </c>
      <c r="T412" s="9">
        <v>0.375</v>
      </c>
      <c r="U412" s="9">
        <v>0.9166666666666666</v>
      </c>
      <c r="V412" s="4" t="s">
        <v>49</v>
      </c>
      <c r="W412" s="5">
        <v>1.0</v>
      </c>
      <c r="X412" s="5" t="b">
        <v>1</v>
      </c>
      <c r="Y412" s="5" t="s">
        <v>189</v>
      </c>
      <c r="Z412" s="5" t="b">
        <v>0</v>
      </c>
      <c r="AA412" s="10"/>
      <c r="AB412" s="4">
        <v>1.0</v>
      </c>
      <c r="AC412" s="11" t="s">
        <v>2465</v>
      </c>
      <c r="AD412" s="5">
        <v>0.0</v>
      </c>
      <c r="AE412" s="5">
        <v>1.0</v>
      </c>
      <c r="AF412" s="8">
        <v>46183.0</v>
      </c>
      <c r="AG412" s="9">
        <v>0.375</v>
      </c>
      <c r="AH412" s="9">
        <v>0.9166666666666666</v>
      </c>
      <c r="AI412" s="4" t="s">
        <v>49</v>
      </c>
      <c r="AJ412" s="5" t="s">
        <v>2466</v>
      </c>
      <c r="AK412" s="12"/>
      <c r="AL412" s="12">
        <v>46182.0</v>
      </c>
      <c r="AM412" s="12"/>
      <c r="AN412" s="12"/>
      <c r="AO412" s="12"/>
      <c r="AP412" s="12"/>
      <c r="AQ412" s="12"/>
    </row>
    <row r="413">
      <c r="A413" s="5" t="s">
        <v>2467</v>
      </c>
      <c r="B413" s="5">
        <v>1.1398423E7</v>
      </c>
      <c r="C413" s="5" t="s">
        <v>37</v>
      </c>
      <c r="D413" s="5" t="s">
        <v>2468</v>
      </c>
      <c r="E413" s="5" t="s">
        <v>39</v>
      </c>
      <c r="F413" s="5" t="s">
        <v>2469</v>
      </c>
      <c r="G413" s="15">
        <v>6.28122E17</v>
      </c>
      <c r="H413" s="5" t="s">
        <v>2470</v>
      </c>
      <c r="I413" s="5" t="s">
        <v>42</v>
      </c>
      <c r="J413" s="5" t="s">
        <v>43</v>
      </c>
      <c r="K413" s="5">
        <v>8.7733785699E10</v>
      </c>
      <c r="L413" s="4" t="s">
        <v>44</v>
      </c>
      <c r="M413" s="5" t="s">
        <v>42</v>
      </c>
      <c r="N413" s="4" t="s">
        <v>45</v>
      </c>
      <c r="O413" s="4" t="s">
        <v>46</v>
      </c>
      <c r="P413" s="4" t="s">
        <v>187</v>
      </c>
      <c r="Q413" s="4">
        <v>16451.0</v>
      </c>
      <c r="R413" s="5" t="s">
        <v>2471</v>
      </c>
      <c r="S413" s="8">
        <v>46183.0</v>
      </c>
      <c r="T413" s="9">
        <v>0.375</v>
      </c>
      <c r="U413" s="9">
        <v>0.9166666666666666</v>
      </c>
      <c r="V413" s="4" t="s">
        <v>49</v>
      </c>
      <c r="W413" s="5">
        <v>1.0</v>
      </c>
      <c r="X413" s="5" t="b">
        <v>1</v>
      </c>
      <c r="Y413" s="5" t="s">
        <v>189</v>
      </c>
      <c r="Z413" s="5" t="b">
        <v>0</v>
      </c>
      <c r="AA413" s="10"/>
      <c r="AB413" s="4">
        <v>1.0</v>
      </c>
      <c r="AC413" s="11" t="s">
        <v>2472</v>
      </c>
      <c r="AD413" s="5">
        <v>0.0</v>
      </c>
      <c r="AE413" s="5">
        <v>1.0</v>
      </c>
      <c r="AF413" s="8">
        <v>46183.0</v>
      </c>
      <c r="AG413" s="9">
        <v>0.375</v>
      </c>
      <c r="AH413" s="9">
        <v>0.9166666666666666</v>
      </c>
      <c r="AI413" s="4" t="s">
        <v>49</v>
      </c>
      <c r="AJ413" s="5" t="s">
        <v>2473</v>
      </c>
      <c r="AK413" s="12"/>
      <c r="AL413" s="12">
        <v>46182.0</v>
      </c>
      <c r="AM413" s="12"/>
      <c r="AN413" s="12"/>
      <c r="AO413" s="12"/>
      <c r="AP413" s="12"/>
      <c r="AQ413" s="12"/>
    </row>
    <row r="414">
      <c r="A414" s="5" t="s">
        <v>2474</v>
      </c>
      <c r="B414" s="5">
        <v>1.1398423E7</v>
      </c>
      <c r="C414" s="5" t="s">
        <v>37</v>
      </c>
      <c r="D414" s="5" t="s">
        <v>2022</v>
      </c>
      <c r="E414" s="5" t="s">
        <v>39</v>
      </c>
      <c r="F414" s="5" t="s">
        <v>2023</v>
      </c>
      <c r="G414" s="15">
        <v>6.2813E16</v>
      </c>
      <c r="H414" s="5" t="s">
        <v>2024</v>
      </c>
      <c r="I414" s="5" t="s">
        <v>42</v>
      </c>
      <c r="J414" s="5" t="s">
        <v>43</v>
      </c>
      <c r="K414" s="5">
        <v>8.7733785699E10</v>
      </c>
      <c r="L414" s="4" t="s">
        <v>44</v>
      </c>
      <c r="M414" s="5" t="s">
        <v>42</v>
      </c>
      <c r="N414" s="4" t="s">
        <v>45</v>
      </c>
      <c r="O414" s="4" t="s">
        <v>46</v>
      </c>
      <c r="P414" s="4" t="s">
        <v>187</v>
      </c>
      <c r="Q414" s="4">
        <v>16451.0</v>
      </c>
      <c r="R414" s="5" t="s">
        <v>2475</v>
      </c>
      <c r="S414" s="8">
        <v>46183.0</v>
      </c>
      <c r="T414" s="9">
        <v>0.375</v>
      </c>
      <c r="U414" s="9">
        <v>0.9166666666666666</v>
      </c>
      <c r="V414" s="4" t="s">
        <v>49</v>
      </c>
      <c r="W414" s="5">
        <v>1.0</v>
      </c>
      <c r="X414" s="5" t="b">
        <v>1</v>
      </c>
      <c r="Y414" s="5" t="s">
        <v>189</v>
      </c>
      <c r="Z414" s="5" t="b">
        <v>0</v>
      </c>
      <c r="AA414" s="10"/>
      <c r="AB414" s="4">
        <v>1.0</v>
      </c>
      <c r="AC414" s="11" t="s">
        <v>2476</v>
      </c>
      <c r="AD414" s="5">
        <v>0.0</v>
      </c>
      <c r="AE414" s="5">
        <v>1.0</v>
      </c>
      <c r="AF414" s="8">
        <v>46183.0</v>
      </c>
      <c r="AG414" s="9">
        <v>0.375</v>
      </c>
      <c r="AH414" s="9">
        <v>0.9166666666666666</v>
      </c>
      <c r="AI414" s="4" t="s">
        <v>49</v>
      </c>
      <c r="AJ414" s="5" t="s">
        <v>2477</v>
      </c>
      <c r="AK414" s="12"/>
      <c r="AL414" s="12">
        <v>46182.0</v>
      </c>
      <c r="AM414" s="12"/>
      <c r="AN414" s="12"/>
      <c r="AO414" s="12"/>
      <c r="AP414" s="12"/>
      <c r="AQ414" s="12"/>
    </row>
    <row r="415">
      <c r="A415" s="5" t="s">
        <v>2478</v>
      </c>
      <c r="B415" s="5">
        <v>1.1398423E7</v>
      </c>
      <c r="C415" s="5" t="s">
        <v>37</v>
      </c>
      <c r="D415" s="5" t="s">
        <v>2086</v>
      </c>
      <c r="E415" s="5" t="s">
        <v>39</v>
      </c>
      <c r="F415" s="5" t="s">
        <v>2087</v>
      </c>
      <c r="G415" s="15" t="s">
        <v>2088</v>
      </c>
      <c r="H415" s="5" t="s">
        <v>2089</v>
      </c>
      <c r="I415" s="5" t="s">
        <v>42</v>
      </c>
      <c r="J415" s="5" t="s">
        <v>43</v>
      </c>
      <c r="K415" s="5">
        <v>8.7733785699E10</v>
      </c>
      <c r="L415" s="4" t="s">
        <v>44</v>
      </c>
      <c r="M415" s="5" t="s">
        <v>42</v>
      </c>
      <c r="N415" s="4" t="s">
        <v>45</v>
      </c>
      <c r="O415" s="4" t="s">
        <v>46</v>
      </c>
      <c r="P415" s="4" t="s">
        <v>187</v>
      </c>
      <c r="Q415" s="4">
        <v>16451.0</v>
      </c>
      <c r="R415" s="5" t="s">
        <v>2479</v>
      </c>
      <c r="S415" s="8">
        <v>46183.0</v>
      </c>
      <c r="T415" s="9">
        <v>0.375</v>
      </c>
      <c r="U415" s="9">
        <v>0.9166666666666666</v>
      </c>
      <c r="V415" s="4" t="s">
        <v>49</v>
      </c>
      <c r="W415" s="5">
        <v>1.0</v>
      </c>
      <c r="X415" s="5" t="b">
        <v>1</v>
      </c>
      <c r="Y415" s="5" t="s">
        <v>189</v>
      </c>
      <c r="Z415" s="5" t="b">
        <v>0</v>
      </c>
      <c r="AA415" s="10"/>
      <c r="AB415" s="4">
        <v>1.0</v>
      </c>
      <c r="AC415" s="11" t="s">
        <v>2480</v>
      </c>
      <c r="AD415" s="5">
        <v>0.0</v>
      </c>
      <c r="AE415" s="5">
        <v>1.0</v>
      </c>
      <c r="AF415" s="8">
        <v>46183.0</v>
      </c>
      <c r="AG415" s="9">
        <v>0.375</v>
      </c>
      <c r="AH415" s="9">
        <v>0.9166666666666666</v>
      </c>
      <c r="AI415" s="4" t="s">
        <v>49</v>
      </c>
      <c r="AJ415" s="5" t="s">
        <v>2481</v>
      </c>
      <c r="AK415" s="12"/>
      <c r="AL415" s="12">
        <v>46182.0</v>
      </c>
      <c r="AM415" s="12"/>
      <c r="AN415" s="12"/>
      <c r="AO415" s="12"/>
      <c r="AP415" s="12"/>
      <c r="AQ415" s="12"/>
    </row>
    <row r="416">
      <c r="A416" s="5" t="s">
        <v>2482</v>
      </c>
      <c r="B416" s="5">
        <v>1.1398423E7</v>
      </c>
      <c r="C416" s="5" t="s">
        <v>37</v>
      </c>
      <c r="D416" s="5" t="s">
        <v>2199</v>
      </c>
      <c r="E416" s="5" t="s">
        <v>39</v>
      </c>
      <c r="F416" s="5" t="s">
        <v>1171</v>
      </c>
      <c r="G416" s="15">
        <v>6.28127E17</v>
      </c>
      <c r="H416" s="5" t="s">
        <v>1172</v>
      </c>
      <c r="I416" s="5" t="s">
        <v>42</v>
      </c>
      <c r="J416" s="5" t="s">
        <v>43</v>
      </c>
      <c r="K416" s="5">
        <v>8.7733785699E10</v>
      </c>
      <c r="L416" s="4" t="s">
        <v>44</v>
      </c>
      <c r="M416" s="5" t="s">
        <v>42</v>
      </c>
      <c r="N416" s="4" t="s">
        <v>45</v>
      </c>
      <c r="O416" s="4" t="s">
        <v>46</v>
      </c>
      <c r="P416" s="4" t="s">
        <v>187</v>
      </c>
      <c r="Q416" s="4">
        <v>16451.0</v>
      </c>
      <c r="R416" s="5" t="s">
        <v>2483</v>
      </c>
      <c r="S416" s="8">
        <v>46183.0</v>
      </c>
      <c r="T416" s="9">
        <v>0.375</v>
      </c>
      <c r="U416" s="9">
        <v>0.9166666666666666</v>
      </c>
      <c r="V416" s="4" t="s">
        <v>49</v>
      </c>
      <c r="W416" s="5">
        <v>1.0</v>
      </c>
      <c r="X416" s="5" t="b">
        <v>1</v>
      </c>
      <c r="Y416" s="5" t="s">
        <v>189</v>
      </c>
      <c r="Z416" s="5" t="b">
        <v>0</v>
      </c>
      <c r="AA416" s="10"/>
      <c r="AB416" s="4">
        <v>1.0</v>
      </c>
      <c r="AC416" s="11" t="s">
        <v>2484</v>
      </c>
      <c r="AD416" s="5">
        <v>0.0</v>
      </c>
      <c r="AE416" s="5">
        <v>1.0</v>
      </c>
      <c r="AF416" s="8">
        <v>46183.0</v>
      </c>
      <c r="AG416" s="9">
        <v>0.375</v>
      </c>
      <c r="AH416" s="9">
        <v>0.9166666666666666</v>
      </c>
      <c r="AI416" s="4" t="s">
        <v>49</v>
      </c>
      <c r="AJ416" s="5" t="s">
        <v>2485</v>
      </c>
      <c r="AK416" s="12"/>
      <c r="AL416" s="12">
        <v>46182.0</v>
      </c>
      <c r="AM416" s="12"/>
      <c r="AN416" s="12"/>
      <c r="AO416" s="12"/>
      <c r="AP416" s="12"/>
      <c r="AQ416" s="12"/>
    </row>
    <row r="417">
      <c r="A417" s="5" t="s">
        <v>2486</v>
      </c>
      <c r="B417" s="5">
        <v>1.1398423E7</v>
      </c>
      <c r="C417" s="5" t="s">
        <v>37</v>
      </c>
      <c r="D417" s="5" t="s">
        <v>2199</v>
      </c>
      <c r="E417" s="5" t="s">
        <v>39</v>
      </c>
      <c r="F417" s="5" t="s">
        <v>276</v>
      </c>
      <c r="G417" s="15">
        <v>6.28232E17</v>
      </c>
      <c r="H417" s="5" t="s">
        <v>277</v>
      </c>
      <c r="I417" s="5" t="s">
        <v>42</v>
      </c>
      <c r="J417" s="5" t="s">
        <v>43</v>
      </c>
      <c r="K417" s="5">
        <v>8.7733785699E10</v>
      </c>
      <c r="L417" s="4" t="s">
        <v>44</v>
      </c>
      <c r="M417" s="5" t="s">
        <v>42</v>
      </c>
      <c r="N417" s="4" t="s">
        <v>45</v>
      </c>
      <c r="O417" s="4" t="s">
        <v>46</v>
      </c>
      <c r="P417" s="4" t="s">
        <v>187</v>
      </c>
      <c r="Q417" s="4">
        <v>16451.0</v>
      </c>
      <c r="R417" s="5" t="s">
        <v>2487</v>
      </c>
      <c r="S417" s="8">
        <v>46183.0</v>
      </c>
      <c r="T417" s="9">
        <v>0.375</v>
      </c>
      <c r="U417" s="9">
        <v>0.9166666666666666</v>
      </c>
      <c r="V417" s="4" t="s">
        <v>49</v>
      </c>
      <c r="W417" s="5">
        <v>1.0</v>
      </c>
      <c r="X417" s="5" t="b">
        <v>1</v>
      </c>
      <c r="Y417" s="5" t="s">
        <v>189</v>
      </c>
      <c r="Z417" s="5" t="b">
        <v>0</v>
      </c>
      <c r="AA417" s="10"/>
      <c r="AB417" s="4">
        <v>1.0</v>
      </c>
      <c r="AC417" s="11" t="s">
        <v>2488</v>
      </c>
      <c r="AD417" s="5">
        <v>0.0</v>
      </c>
      <c r="AE417" s="5">
        <v>1.0</v>
      </c>
      <c r="AF417" s="8">
        <v>46183.0</v>
      </c>
      <c r="AG417" s="9">
        <v>0.375</v>
      </c>
      <c r="AH417" s="9">
        <v>0.9166666666666666</v>
      </c>
      <c r="AI417" s="4" t="s">
        <v>49</v>
      </c>
      <c r="AJ417" s="5" t="s">
        <v>2489</v>
      </c>
      <c r="AK417" s="12"/>
      <c r="AL417" s="12">
        <v>46182.0</v>
      </c>
      <c r="AM417" s="12"/>
      <c r="AN417" s="12"/>
      <c r="AO417" s="12"/>
      <c r="AP417" s="12"/>
      <c r="AQ417" s="12"/>
    </row>
    <row r="418">
      <c r="A418" s="5" t="s">
        <v>2490</v>
      </c>
      <c r="B418" s="5">
        <v>1.1398423E7</v>
      </c>
      <c r="C418" s="5" t="s">
        <v>37</v>
      </c>
      <c r="D418" s="5" t="s">
        <v>2199</v>
      </c>
      <c r="E418" s="5" t="s">
        <v>39</v>
      </c>
      <c r="F418" s="5" t="s">
        <v>276</v>
      </c>
      <c r="G418" s="15">
        <v>6.28232E17</v>
      </c>
      <c r="H418" s="5" t="s">
        <v>277</v>
      </c>
      <c r="I418" s="5" t="s">
        <v>42</v>
      </c>
      <c r="J418" s="5" t="s">
        <v>43</v>
      </c>
      <c r="K418" s="5">
        <v>8.7733785699E10</v>
      </c>
      <c r="L418" s="4" t="s">
        <v>44</v>
      </c>
      <c r="M418" s="5" t="s">
        <v>42</v>
      </c>
      <c r="N418" s="4" t="s">
        <v>45</v>
      </c>
      <c r="O418" s="4" t="s">
        <v>46</v>
      </c>
      <c r="P418" s="4" t="s">
        <v>187</v>
      </c>
      <c r="Q418" s="4">
        <v>16451.0</v>
      </c>
      <c r="R418" s="5" t="s">
        <v>2491</v>
      </c>
      <c r="S418" s="8">
        <v>46183.0</v>
      </c>
      <c r="T418" s="9">
        <v>0.375</v>
      </c>
      <c r="U418" s="9">
        <v>0.9166666666666666</v>
      </c>
      <c r="V418" s="4" t="s">
        <v>49</v>
      </c>
      <c r="W418" s="5">
        <v>1.0</v>
      </c>
      <c r="X418" s="5" t="b">
        <v>1</v>
      </c>
      <c r="Y418" s="5" t="s">
        <v>189</v>
      </c>
      <c r="Z418" s="5" t="b">
        <v>0</v>
      </c>
      <c r="AA418" s="10"/>
      <c r="AB418" s="4">
        <v>1.0</v>
      </c>
      <c r="AC418" s="11" t="s">
        <v>2492</v>
      </c>
      <c r="AD418" s="5">
        <v>0.0</v>
      </c>
      <c r="AE418" s="5">
        <v>1.0</v>
      </c>
      <c r="AF418" s="8">
        <v>46183.0</v>
      </c>
      <c r="AG418" s="9">
        <v>0.375</v>
      </c>
      <c r="AH418" s="9">
        <v>0.9166666666666666</v>
      </c>
      <c r="AI418" s="4" t="s">
        <v>49</v>
      </c>
      <c r="AJ418" s="5" t="s">
        <v>2493</v>
      </c>
      <c r="AK418" s="12"/>
      <c r="AL418" s="12">
        <v>46182.0</v>
      </c>
      <c r="AM418" s="12"/>
      <c r="AN418" s="12"/>
      <c r="AO418" s="12"/>
      <c r="AP418" s="12"/>
      <c r="AQ418" s="12"/>
    </row>
    <row r="419">
      <c r="A419" s="5" t="s">
        <v>2494</v>
      </c>
      <c r="B419" s="5">
        <v>1.1398423E7</v>
      </c>
      <c r="C419" s="5" t="s">
        <v>37</v>
      </c>
      <c r="D419" s="5" t="s">
        <v>2495</v>
      </c>
      <c r="E419" s="5" t="s">
        <v>39</v>
      </c>
      <c r="F419" s="5" t="s">
        <v>2496</v>
      </c>
      <c r="G419" s="15">
        <v>6.28953E18</v>
      </c>
      <c r="H419" s="5" t="s">
        <v>2497</v>
      </c>
      <c r="I419" s="5" t="s">
        <v>42</v>
      </c>
      <c r="J419" s="5" t="s">
        <v>43</v>
      </c>
      <c r="K419" s="5">
        <v>8.7733785699E10</v>
      </c>
      <c r="L419" s="4" t="s">
        <v>44</v>
      </c>
      <c r="M419" s="5" t="s">
        <v>42</v>
      </c>
      <c r="N419" s="4" t="s">
        <v>45</v>
      </c>
      <c r="O419" s="4" t="s">
        <v>46</v>
      </c>
      <c r="P419" s="4" t="s">
        <v>187</v>
      </c>
      <c r="Q419" s="4">
        <v>16451.0</v>
      </c>
      <c r="R419" s="5" t="s">
        <v>2498</v>
      </c>
      <c r="S419" s="8">
        <v>46183.0</v>
      </c>
      <c r="T419" s="9">
        <v>0.375</v>
      </c>
      <c r="U419" s="9">
        <v>0.9166666666666666</v>
      </c>
      <c r="V419" s="4" t="s">
        <v>49</v>
      </c>
      <c r="W419" s="5">
        <v>1.0</v>
      </c>
      <c r="X419" s="5" t="b">
        <v>1</v>
      </c>
      <c r="Y419" s="5" t="s">
        <v>189</v>
      </c>
      <c r="Z419" s="5" t="b">
        <v>0</v>
      </c>
      <c r="AA419" s="10"/>
      <c r="AB419" s="4">
        <v>1.0</v>
      </c>
      <c r="AC419" s="11" t="s">
        <v>2499</v>
      </c>
      <c r="AD419" s="5">
        <v>0.0</v>
      </c>
      <c r="AE419" s="5">
        <v>1.0</v>
      </c>
      <c r="AF419" s="8">
        <v>46183.0</v>
      </c>
      <c r="AG419" s="9">
        <v>0.375</v>
      </c>
      <c r="AH419" s="9">
        <v>0.9166666666666666</v>
      </c>
      <c r="AI419" s="4" t="s">
        <v>49</v>
      </c>
      <c r="AJ419" s="5" t="s">
        <v>2500</v>
      </c>
      <c r="AK419" s="12"/>
      <c r="AL419" s="12">
        <v>46182.0</v>
      </c>
      <c r="AM419" s="12"/>
      <c r="AN419" s="12"/>
      <c r="AO419" s="12"/>
      <c r="AP419" s="12"/>
      <c r="AQ419" s="12"/>
    </row>
    <row r="420">
      <c r="A420" s="5" t="s">
        <v>2501</v>
      </c>
      <c r="B420" s="5">
        <v>1.1398423E7</v>
      </c>
      <c r="C420" s="5" t="s">
        <v>37</v>
      </c>
      <c r="D420" s="5" t="s">
        <v>2502</v>
      </c>
      <c r="E420" s="5" t="s">
        <v>39</v>
      </c>
      <c r="F420" s="5" t="s">
        <v>2503</v>
      </c>
      <c r="G420" s="15">
        <v>6.28212E17</v>
      </c>
      <c r="H420" s="5" t="s">
        <v>2504</v>
      </c>
      <c r="I420" s="5" t="s">
        <v>42</v>
      </c>
      <c r="J420" s="5" t="s">
        <v>43</v>
      </c>
      <c r="K420" s="5">
        <v>8.7733785699E10</v>
      </c>
      <c r="L420" s="4" t="s">
        <v>44</v>
      </c>
      <c r="M420" s="5" t="s">
        <v>42</v>
      </c>
      <c r="N420" s="4" t="s">
        <v>45</v>
      </c>
      <c r="O420" s="4" t="s">
        <v>46</v>
      </c>
      <c r="P420" s="4" t="s">
        <v>187</v>
      </c>
      <c r="Q420" s="4">
        <v>16451.0</v>
      </c>
      <c r="R420" s="5" t="s">
        <v>2505</v>
      </c>
      <c r="S420" s="8">
        <v>46183.0</v>
      </c>
      <c r="T420" s="9">
        <v>0.375</v>
      </c>
      <c r="U420" s="9">
        <v>0.9166666666666666</v>
      </c>
      <c r="V420" s="4" t="s">
        <v>49</v>
      </c>
      <c r="W420" s="5">
        <v>1.0</v>
      </c>
      <c r="X420" s="5" t="b">
        <v>1</v>
      </c>
      <c r="Y420" s="5" t="s">
        <v>189</v>
      </c>
      <c r="Z420" s="5" t="b">
        <v>0</v>
      </c>
      <c r="AA420" s="10"/>
      <c r="AB420" s="4">
        <v>1.0</v>
      </c>
      <c r="AC420" s="11" t="s">
        <v>2506</v>
      </c>
      <c r="AD420" s="5">
        <v>0.0</v>
      </c>
      <c r="AE420" s="5">
        <v>1.0</v>
      </c>
      <c r="AF420" s="8">
        <v>46183.0</v>
      </c>
      <c r="AG420" s="9">
        <v>0.375</v>
      </c>
      <c r="AH420" s="9">
        <v>0.9166666666666666</v>
      </c>
      <c r="AI420" s="4" t="s">
        <v>49</v>
      </c>
      <c r="AJ420" s="5" t="s">
        <v>2507</v>
      </c>
      <c r="AK420" s="12"/>
      <c r="AL420" s="12">
        <v>46182.0</v>
      </c>
      <c r="AM420" s="12"/>
      <c r="AN420" s="12"/>
      <c r="AO420" s="12"/>
      <c r="AP420" s="12"/>
      <c r="AQ420" s="12"/>
    </row>
    <row r="421">
      <c r="A421" s="5" t="s">
        <v>2508</v>
      </c>
      <c r="B421" s="5">
        <v>1.1398423E7</v>
      </c>
      <c r="C421" s="5" t="s">
        <v>37</v>
      </c>
      <c r="D421" s="5" t="s">
        <v>2509</v>
      </c>
      <c r="E421" s="5" t="s">
        <v>39</v>
      </c>
      <c r="F421" s="5" t="s">
        <v>2510</v>
      </c>
      <c r="G421" s="15">
        <v>6.28132E17</v>
      </c>
      <c r="H421" s="5" t="s">
        <v>2511</v>
      </c>
      <c r="I421" s="5" t="s">
        <v>42</v>
      </c>
      <c r="J421" s="5" t="s">
        <v>43</v>
      </c>
      <c r="K421" s="5">
        <v>8.7733785699E10</v>
      </c>
      <c r="L421" s="4" t="s">
        <v>44</v>
      </c>
      <c r="M421" s="5" t="s">
        <v>42</v>
      </c>
      <c r="N421" s="4" t="s">
        <v>45</v>
      </c>
      <c r="O421" s="4" t="s">
        <v>46</v>
      </c>
      <c r="P421" s="4" t="s">
        <v>187</v>
      </c>
      <c r="Q421" s="4">
        <v>16451.0</v>
      </c>
      <c r="R421" s="5" t="s">
        <v>2512</v>
      </c>
      <c r="S421" s="8">
        <v>46183.0</v>
      </c>
      <c r="T421" s="9">
        <v>0.375</v>
      </c>
      <c r="U421" s="9">
        <v>0.9166666666666666</v>
      </c>
      <c r="V421" s="4" t="s">
        <v>49</v>
      </c>
      <c r="W421" s="5">
        <v>1.0</v>
      </c>
      <c r="X421" s="5" t="b">
        <v>1</v>
      </c>
      <c r="Y421" s="5" t="s">
        <v>189</v>
      </c>
      <c r="Z421" s="5" t="b">
        <v>0</v>
      </c>
      <c r="AA421" s="10"/>
      <c r="AB421" s="4">
        <v>1.0</v>
      </c>
      <c r="AC421" s="11" t="s">
        <v>2513</v>
      </c>
      <c r="AD421" s="5">
        <v>0.0</v>
      </c>
      <c r="AE421" s="5">
        <v>1.0</v>
      </c>
      <c r="AF421" s="8">
        <v>46183.0</v>
      </c>
      <c r="AG421" s="9">
        <v>0.375</v>
      </c>
      <c r="AH421" s="9">
        <v>0.9166666666666666</v>
      </c>
      <c r="AI421" s="4" t="s">
        <v>49</v>
      </c>
      <c r="AJ421" s="5" t="s">
        <v>2514</v>
      </c>
      <c r="AK421" s="12"/>
      <c r="AL421" s="12">
        <v>46182.0</v>
      </c>
      <c r="AM421" s="12"/>
      <c r="AN421" s="12"/>
      <c r="AO421" s="12"/>
      <c r="AP421" s="12"/>
      <c r="AQ421" s="12"/>
    </row>
    <row r="422">
      <c r="A422" s="5" t="s">
        <v>2515</v>
      </c>
      <c r="B422" s="5">
        <v>1.1398423E7</v>
      </c>
      <c r="C422" s="5" t="s">
        <v>37</v>
      </c>
      <c r="D422" s="5" t="s">
        <v>2516</v>
      </c>
      <c r="E422" s="5" t="s">
        <v>39</v>
      </c>
      <c r="F422" s="5" t="s">
        <v>2510</v>
      </c>
      <c r="G422" s="15">
        <v>6.28132E17</v>
      </c>
      <c r="H422" s="5" t="s">
        <v>2511</v>
      </c>
      <c r="I422" s="5" t="s">
        <v>42</v>
      </c>
      <c r="J422" s="5" t="s">
        <v>43</v>
      </c>
      <c r="K422" s="5">
        <v>8.7733785699E10</v>
      </c>
      <c r="L422" s="4" t="s">
        <v>44</v>
      </c>
      <c r="M422" s="5" t="s">
        <v>42</v>
      </c>
      <c r="N422" s="4" t="s">
        <v>45</v>
      </c>
      <c r="O422" s="4" t="s">
        <v>46</v>
      </c>
      <c r="P422" s="4" t="s">
        <v>187</v>
      </c>
      <c r="Q422" s="4">
        <v>16451.0</v>
      </c>
      <c r="R422" s="5" t="s">
        <v>2517</v>
      </c>
      <c r="S422" s="8">
        <v>46183.0</v>
      </c>
      <c r="T422" s="9">
        <v>0.375</v>
      </c>
      <c r="U422" s="9">
        <v>0.9166666666666666</v>
      </c>
      <c r="V422" s="4" t="s">
        <v>49</v>
      </c>
      <c r="W422" s="5">
        <v>1.0</v>
      </c>
      <c r="X422" s="5" t="b">
        <v>1</v>
      </c>
      <c r="Y422" s="5" t="s">
        <v>189</v>
      </c>
      <c r="Z422" s="5" t="b">
        <v>0</v>
      </c>
      <c r="AA422" s="10"/>
      <c r="AB422" s="4">
        <v>1.0</v>
      </c>
      <c r="AC422" s="11" t="s">
        <v>2518</v>
      </c>
      <c r="AD422" s="5">
        <v>0.0</v>
      </c>
      <c r="AE422" s="5">
        <v>1.0</v>
      </c>
      <c r="AF422" s="8">
        <v>46183.0</v>
      </c>
      <c r="AG422" s="9">
        <v>0.375</v>
      </c>
      <c r="AH422" s="9">
        <v>0.9166666666666666</v>
      </c>
      <c r="AI422" s="4" t="s">
        <v>49</v>
      </c>
      <c r="AJ422" s="5" t="s">
        <v>2519</v>
      </c>
      <c r="AK422" s="12"/>
      <c r="AL422" s="12">
        <v>46182.0</v>
      </c>
      <c r="AM422" s="12"/>
      <c r="AN422" s="12"/>
      <c r="AO422" s="12"/>
      <c r="AP422" s="12"/>
      <c r="AQ422" s="12"/>
    </row>
    <row r="423">
      <c r="A423" s="5" t="s">
        <v>2520</v>
      </c>
      <c r="B423" s="5">
        <v>1.1398423E7</v>
      </c>
      <c r="C423" s="5" t="s">
        <v>37</v>
      </c>
      <c r="D423" s="5" t="s">
        <v>2521</v>
      </c>
      <c r="E423" s="5" t="s">
        <v>39</v>
      </c>
      <c r="F423" s="5" t="s">
        <v>2510</v>
      </c>
      <c r="G423" s="15">
        <v>6.28132E17</v>
      </c>
      <c r="H423" s="5" t="s">
        <v>2511</v>
      </c>
      <c r="I423" s="5" t="s">
        <v>42</v>
      </c>
      <c r="J423" s="5" t="s">
        <v>43</v>
      </c>
      <c r="K423" s="5">
        <v>8.7733785699E10</v>
      </c>
      <c r="L423" s="4" t="s">
        <v>44</v>
      </c>
      <c r="M423" s="5" t="s">
        <v>42</v>
      </c>
      <c r="N423" s="4" t="s">
        <v>45</v>
      </c>
      <c r="O423" s="4" t="s">
        <v>46</v>
      </c>
      <c r="P423" s="4" t="s">
        <v>187</v>
      </c>
      <c r="Q423" s="4">
        <v>16451.0</v>
      </c>
      <c r="R423" s="5" t="s">
        <v>2522</v>
      </c>
      <c r="S423" s="8">
        <v>46183.0</v>
      </c>
      <c r="T423" s="9">
        <v>0.375</v>
      </c>
      <c r="U423" s="9">
        <v>0.9166666666666666</v>
      </c>
      <c r="V423" s="4" t="s">
        <v>49</v>
      </c>
      <c r="W423" s="5">
        <v>1.0</v>
      </c>
      <c r="X423" s="5" t="b">
        <v>1</v>
      </c>
      <c r="Y423" s="5" t="s">
        <v>189</v>
      </c>
      <c r="Z423" s="5" t="b">
        <v>0</v>
      </c>
      <c r="AA423" s="10"/>
      <c r="AB423" s="4">
        <v>1.0</v>
      </c>
      <c r="AC423" s="11" t="s">
        <v>2523</v>
      </c>
      <c r="AD423" s="5">
        <v>0.0</v>
      </c>
      <c r="AE423" s="5">
        <v>1.0</v>
      </c>
      <c r="AF423" s="8">
        <v>46183.0</v>
      </c>
      <c r="AG423" s="9">
        <v>0.375</v>
      </c>
      <c r="AH423" s="9">
        <v>0.9166666666666666</v>
      </c>
      <c r="AI423" s="4" t="s">
        <v>49</v>
      </c>
      <c r="AJ423" s="5" t="s">
        <v>2524</v>
      </c>
      <c r="AK423" s="12"/>
      <c r="AL423" s="12">
        <v>46182.0</v>
      </c>
      <c r="AM423" s="12"/>
      <c r="AN423" s="12"/>
      <c r="AO423" s="12"/>
      <c r="AP423" s="12"/>
      <c r="AQ423" s="12"/>
    </row>
    <row r="424">
      <c r="A424" s="5" t="s">
        <v>2525</v>
      </c>
      <c r="B424" s="5">
        <v>1.1398423E7</v>
      </c>
      <c r="C424" s="5" t="s">
        <v>37</v>
      </c>
      <c r="D424" s="5" t="s">
        <v>2526</v>
      </c>
      <c r="E424" s="5" t="s">
        <v>39</v>
      </c>
      <c r="F424" s="5" t="s">
        <v>2527</v>
      </c>
      <c r="G424" s="15">
        <v>6.28226E17</v>
      </c>
      <c r="H424" s="5" t="s">
        <v>2528</v>
      </c>
      <c r="I424" s="5" t="s">
        <v>42</v>
      </c>
      <c r="J424" s="5" t="s">
        <v>43</v>
      </c>
      <c r="K424" s="5">
        <v>8.7733785699E10</v>
      </c>
      <c r="L424" s="4" t="s">
        <v>44</v>
      </c>
      <c r="M424" s="5" t="s">
        <v>42</v>
      </c>
      <c r="N424" s="4" t="s">
        <v>45</v>
      </c>
      <c r="O424" s="4" t="s">
        <v>46</v>
      </c>
      <c r="P424" s="4" t="s">
        <v>187</v>
      </c>
      <c r="Q424" s="4">
        <v>16451.0</v>
      </c>
      <c r="R424" s="5" t="s">
        <v>2529</v>
      </c>
      <c r="S424" s="8">
        <v>46183.0</v>
      </c>
      <c r="T424" s="9">
        <v>0.375</v>
      </c>
      <c r="U424" s="9">
        <v>0.9166666666666666</v>
      </c>
      <c r="V424" s="4" t="s">
        <v>49</v>
      </c>
      <c r="W424" s="5">
        <v>1.0</v>
      </c>
      <c r="X424" s="5" t="b">
        <v>1</v>
      </c>
      <c r="Y424" s="5" t="s">
        <v>189</v>
      </c>
      <c r="Z424" s="5" t="b">
        <v>0</v>
      </c>
      <c r="AA424" s="10"/>
      <c r="AB424" s="4">
        <v>1.0</v>
      </c>
      <c r="AC424" s="11" t="s">
        <v>2530</v>
      </c>
      <c r="AD424" s="5">
        <v>0.0</v>
      </c>
      <c r="AE424" s="5">
        <v>1.0</v>
      </c>
      <c r="AF424" s="8">
        <v>46183.0</v>
      </c>
      <c r="AG424" s="9">
        <v>0.375</v>
      </c>
      <c r="AH424" s="9">
        <v>0.9166666666666666</v>
      </c>
      <c r="AI424" s="4" t="s">
        <v>49</v>
      </c>
      <c r="AJ424" s="5" t="s">
        <v>2531</v>
      </c>
      <c r="AK424" s="12"/>
      <c r="AL424" s="12">
        <v>46182.0</v>
      </c>
      <c r="AM424" s="12"/>
      <c r="AN424" s="12"/>
      <c r="AO424" s="12"/>
      <c r="AP424" s="12"/>
      <c r="AQ424" s="12"/>
    </row>
    <row r="425">
      <c r="A425" s="5" t="s">
        <v>2532</v>
      </c>
      <c r="B425" s="5">
        <v>1.1398423E7</v>
      </c>
      <c r="C425" s="5" t="s">
        <v>37</v>
      </c>
      <c r="D425" s="5" t="s">
        <v>2533</v>
      </c>
      <c r="E425" s="5" t="s">
        <v>39</v>
      </c>
      <c r="F425" s="5" t="s">
        <v>2534</v>
      </c>
      <c r="G425" s="15" t="s">
        <v>2535</v>
      </c>
      <c r="H425" s="5" t="s">
        <v>2536</v>
      </c>
      <c r="I425" s="5" t="s">
        <v>42</v>
      </c>
      <c r="J425" s="5" t="s">
        <v>43</v>
      </c>
      <c r="K425" s="5">
        <v>8.7733785699E10</v>
      </c>
      <c r="L425" s="4" t="s">
        <v>44</v>
      </c>
      <c r="M425" s="5" t="s">
        <v>42</v>
      </c>
      <c r="N425" s="4" t="s">
        <v>45</v>
      </c>
      <c r="O425" s="4" t="s">
        <v>46</v>
      </c>
      <c r="P425" s="4" t="s">
        <v>187</v>
      </c>
      <c r="Q425" s="4">
        <v>16451.0</v>
      </c>
      <c r="R425" s="5" t="s">
        <v>2537</v>
      </c>
      <c r="S425" s="8">
        <v>46183.0</v>
      </c>
      <c r="T425" s="9">
        <v>0.375</v>
      </c>
      <c r="U425" s="9">
        <v>0.9166666666666666</v>
      </c>
      <c r="V425" s="4" t="s">
        <v>49</v>
      </c>
      <c r="W425" s="5">
        <v>1.0</v>
      </c>
      <c r="X425" s="5" t="b">
        <v>1</v>
      </c>
      <c r="Y425" s="5" t="s">
        <v>189</v>
      </c>
      <c r="Z425" s="5" t="b">
        <v>0</v>
      </c>
      <c r="AA425" s="10"/>
      <c r="AB425" s="4">
        <v>1.0</v>
      </c>
      <c r="AC425" s="11" t="s">
        <v>2538</v>
      </c>
      <c r="AD425" s="5">
        <v>0.0</v>
      </c>
      <c r="AE425" s="5">
        <v>1.0</v>
      </c>
      <c r="AF425" s="8">
        <v>46183.0</v>
      </c>
      <c r="AG425" s="9">
        <v>0.375</v>
      </c>
      <c r="AH425" s="9">
        <v>0.9166666666666666</v>
      </c>
      <c r="AI425" s="4" t="s">
        <v>49</v>
      </c>
      <c r="AJ425" s="5" t="s">
        <v>2539</v>
      </c>
      <c r="AK425" s="12"/>
      <c r="AL425" s="12">
        <v>46182.0</v>
      </c>
      <c r="AM425" s="12"/>
      <c r="AN425" s="12"/>
      <c r="AO425" s="12"/>
      <c r="AP425" s="12"/>
      <c r="AQ425" s="12"/>
    </row>
    <row r="426">
      <c r="A426" s="5" t="s">
        <v>2540</v>
      </c>
      <c r="B426" s="5">
        <v>1.1398423E7</v>
      </c>
      <c r="C426" s="5" t="s">
        <v>37</v>
      </c>
      <c r="D426" s="5" t="s">
        <v>2541</v>
      </c>
      <c r="E426" s="5" t="s">
        <v>39</v>
      </c>
      <c r="F426" s="5" t="s">
        <v>2542</v>
      </c>
      <c r="G426" s="15">
        <v>6.28775E17</v>
      </c>
      <c r="H426" s="5" t="s">
        <v>2543</v>
      </c>
      <c r="I426" s="5" t="s">
        <v>42</v>
      </c>
      <c r="J426" s="5" t="s">
        <v>43</v>
      </c>
      <c r="K426" s="5">
        <v>8.7733785699E10</v>
      </c>
      <c r="L426" s="4" t="s">
        <v>44</v>
      </c>
      <c r="M426" s="5" t="s">
        <v>42</v>
      </c>
      <c r="N426" s="4" t="s">
        <v>45</v>
      </c>
      <c r="O426" s="4" t="s">
        <v>46</v>
      </c>
      <c r="P426" s="4" t="s">
        <v>187</v>
      </c>
      <c r="Q426" s="4">
        <v>16451.0</v>
      </c>
      <c r="R426" s="5" t="s">
        <v>2544</v>
      </c>
      <c r="S426" s="8">
        <v>46183.0</v>
      </c>
      <c r="T426" s="9">
        <v>0.375</v>
      </c>
      <c r="U426" s="9">
        <v>0.9166666666666666</v>
      </c>
      <c r="V426" s="4" t="s">
        <v>49</v>
      </c>
      <c r="W426" s="5">
        <v>1.0</v>
      </c>
      <c r="X426" s="5" t="b">
        <v>1</v>
      </c>
      <c r="Y426" s="5" t="s">
        <v>189</v>
      </c>
      <c r="Z426" s="5" t="b">
        <v>0</v>
      </c>
      <c r="AA426" s="10"/>
      <c r="AB426" s="4">
        <v>1.0</v>
      </c>
      <c r="AC426" s="11" t="s">
        <v>2545</v>
      </c>
      <c r="AD426" s="5">
        <v>0.0</v>
      </c>
      <c r="AE426" s="5">
        <v>1.0</v>
      </c>
      <c r="AF426" s="8">
        <v>46183.0</v>
      </c>
      <c r="AG426" s="9">
        <v>0.375</v>
      </c>
      <c r="AH426" s="9">
        <v>0.9166666666666666</v>
      </c>
      <c r="AI426" s="4" t="s">
        <v>49</v>
      </c>
      <c r="AJ426" s="5" t="s">
        <v>2546</v>
      </c>
      <c r="AK426" s="12"/>
      <c r="AL426" s="12">
        <v>46182.0</v>
      </c>
      <c r="AM426" s="12"/>
      <c r="AN426" s="12"/>
      <c r="AO426" s="12"/>
      <c r="AP426" s="12"/>
      <c r="AQ426" s="12"/>
    </row>
    <row r="427">
      <c r="A427" s="5" t="s">
        <v>2547</v>
      </c>
      <c r="B427" s="5">
        <v>1.1398423E7</v>
      </c>
      <c r="C427" s="5" t="s">
        <v>37</v>
      </c>
      <c r="D427" s="5" t="s">
        <v>2548</v>
      </c>
      <c r="E427" s="5" t="s">
        <v>39</v>
      </c>
      <c r="F427" s="5" t="s">
        <v>2549</v>
      </c>
      <c r="G427" s="15">
        <v>6.28581E17</v>
      </c>
      <c r="H427" s="5" t="s">
        <v>2550</v>
      </c>
      <c r="I427" s="5" t="s">
        <v>42</v>
      </c>
      <c r="J427" s="5" t="s">
        <v>43</v>
      </c>
      <c r="K427" s="5">
        <v>8.7733785699E10</v>
      </c>
      <c r="L427" s="4" t="s">
        <v>44</v>
      </c>
      <c r="M427" s="5" t="s">
        <v>42</v>
      </c>
      <c r="N427" s="4" t="s">
        <v>45</v>
      </c>
      <c r="O427" s="4" t="s">
        <v>46</v>
      </c>
      <c r="P427" s="4" t="s">
        <v>187</v>
      </c>
      <c r="Q427" s="4">
        <v>16451.0</v>
      </c>
      <c r="R427" s="5" t="s">
        <v>2551</v>
      </c>
      <c r="S427" s="8">
        <v>46183.0</v>
      </c>
      <c r="T427" s="9">
        <v>0.375</v>
      </c>
      <c r="U427" s="9">
        <v>0.9166666666666666</v>
      </c>
      <c r="V427" s="4" t="s">
        <v>49</v>
      </c>
      <c r="W427" s="5">
        <v>1.0</v>
      </c>
      <c r="X427" s="5" t="b">
        <v>1</v>
      </c>
      <c r="Y427" s="5" t="s">
        <v>189</v>
      </c>
      <c r="Z427" s="5" t="b">
        <v>0</v>
      </c>
      <c r="AA427" s="10"/>
      <c r="AB427" s="4">
        <v>1.0</v>
      </c>
      <c r="AC427" s="11" t="s">
        <v>2552</v>
      </c>
      <c r="AD427" s="5">
        <v>0.0</v>
      </c>
      <c r="AE427" s="5">
        <v>1.0</v>
      </c>
      <c r="AF427" s="8">
        <v>46183.0</v>
      </c>
      <c r="AG427" s="9">
        <v>0.375</v>
      </c>
      <c r="AH427" s="9">
        <v>0.9166666666666666</v>
      </c>
      <c r="AI427" s="4" t="s">
        <v>49</v>
      </c>
      <c r="AJ427" s="5" t="s">
        <v>2553</v>
      </c>
      <c r="AK427" s="12"/>
      <c r="AL427" s="12">
        <v>46182.0</v>
      </c>
      <c r="AM427" s="12"/>
      <c r="AN427" s="12"/>
      <c r="AO427" s="12"/>
      <c r="AP427" s="12"/>
      <c r="AQ427" s="12"/>
    </row>
    <row r="428">
      <c r="A428" s="5" t="s">
        <v>2554</v>
      </c>
      <c r="B428" s="5">
        <v>1.1398423E7</v>
      </c>
      <c r="C428" s="5" t="s">
        <v>37</v>
      </c>
      <c r="D428" s="5" t="s">
        <v>2555</v>
      </c>
      <c r="E428" s="5" t="s">
        <v>39</v>
      </c>
      <c r="F428" s="5" t="s">
        <v>2556</v>
      </c>
      <c r="G428" s="15">
        <v>6.2824E16</v>
      </c>
      <c r="H428" s="5" t="s">
        <v>2557</v>
      </c>
      <c r="I428" s="5" t="s">
        <v>42</v>
      </c>
      <c r="J428" s="5" t="s">
        <v>43</v>
      </c>
      <c r="K428" s="5">
        <v>8.7733785699E10</v>
      </c>
      <c r="L428" s="4" t="s">
        <v>44</v>
      </c>
      <c r="M428" s="5" t="s">
        <v>42</v>
      </c>
      <c r="N428" s="4" t="s">
        <v>45</v>
      </c>
      <c r="O428" s="4" t="s">
        <v>46</v>
      </c>
      <c r="P428" s="4" t="s">
        <v>187</v>
      </c>
      <c r="Q428" s="4">
        <v>16451.0</v>
      </c>
      <c r="R428" s="5" t="s">
        <v>2558</v>
      </c>
      <c r="S428" s="8">
        <v>46183.0</v>
      </c>
      <c r="T428" s="9">
        <v>0.375</v>
      </c>
      <c r="U428" s="9">
        <v>0.9166666666666666</v>
      </c>
      <c r="V428" s="4" t="s">
        <v>49</v>
      </c>
      <c r="W428" s="5">
        <v>1.0</v>
      </c>
      <c r="X428" s="5" t="b">
        <v>1</v>
      </c>
      <c r="Y428" s="5" t="s">
        <v>189</v>
      </c>
      <c r="Z428" s="5" t="b">
        <v>0</v>
      </c>
      <c r="AA428" s="10"/>
      <c r="AB428" s="4">
        <v>1.0</v>
      </c>
      <c r="AC428" s="11" t="s">
        <v>2559</v>
      </c>
      <c r="AD428" s="5">
        <v>0.0</v>
      </c>
      <c r="AE428" s="5">
        <v>1.0</v>
      </c>
      <c r="AF428" s="8">
        <v>46183.0</v>
      </c>
      <c r="AG428" s="9">
        <v>0.375</v>
      </c>
      <c r="AH428" s="9">
        <v>0.9166666666666666</v>
      </c>
      <c r="AI428" s="4" t="s">
        <v>49</v>
      </c>
      <c r="AJ428" s="5" t="s">
        <v>2560</v>
      </c>
      <c r="AK428" s="12"/>
      <c r="AL428" s="12">
        <v>46182.0</v>
      </c>
      <c r="AM428" s="12"/>
      <c r="AN428" s="12"/>
      <c r="AO428" s="12"/>
      <c r="AP428" s="12"/>
      <c r="AQ428" s="12"/>
    </row>
    <row r="429">
      <c r="A429" s="5" t="s">
        <v>2561</v>
      </c>
      <c r="B429" s="5">
        <v>1.1398423E7</v>
      </c>
      <c r="C429" s="5" t="s">
        <v>37</v>
      </c>
      <c r="D429" s="5" t="s">
        <v>2562</v>
      </c>
      <c r="E429" s="5" t="s">
        <v>39</v>
      </c>
      <c r="F429" s="5" t="s">
        <v>2563</v>
      </c>
      <c r="G429" s="15">
        <v>6.28222E17</v>
      </c>
      <c r="H429" s="5" t="s">
        <v>2564</v>
      </c>
      <c r="I429" s="5" t="s">
        <v>42</v>
      </c>
      <c r="J429" s="5" t="s">
        <v>43</v>
      </c>
      <c r="K429" s="5">
        <v>8.7733785699E10</v>
      </c>
      <c r="L429" s="4" t="s">
        <v>44</v>
      </c>
      <c r="M429" s="5" t="s">
        <v>42</v>
      </c>
      <c r="N429" s="4" t="s">
        <v>45</v>
      </c>
      <c r="O429" s="4" t="s">
        <v>46</v>
      </c>
      <c r="P429" s="4" t="s">
        <v>187</v>
      </c>
      <c r="Q429" s="4">
        <v>16451.0</v>
      </c>
      <c r="R429" s="5" t="s">
        <v>2565</v>
      </c>
      <c r="S429" s="8">
        <v>46183.0</v>
      </c>
      <c r="T429" s="9">
        <v>0.375</v>
      </c>
      <c r="U429" s="9">
        <v>0.9166666666666666</v>
      </c>
      <c r="V429" s="4" t="s">
        <v>49</v>
      </c>
      <c r="W429" s="5">
        <v>1.0</v>
      </c>
      <c r="X429" s="5" t="b">
        <v>1</v>
      </c>
      <c r="Y429" s="5" t="s">
        <v>189</v>
      </c>
      <c r="Z429" s="5" t="b">
        <v>0</v>
      </c>
      <c r="AA429" s="10"/>
      <c r="AB429" s="4">
        <v>1.0</v>
      </c>
      <c r="AC429" s="11" t="s">
        <v>2566</v>
      </c>
      <c r="AD429" s="5">
        <v>0.0</v>
      </c>
      <c r="AE429" s="5">
        <v>1.0</v>
      </c>
      <c r="AF429" s="8">
        <v>46183.0</v>
      </c>
      <c r="AG429" s="9">
        <v>0.375</v>
      </c>
      <c r="AH429" s="9">
        <v>0.9166666666666666</v>
      </c>
      <c r="AI429" s="4" t="s">
        <v>49</v>
      </c>
      <c r="AJ429" s="5" t="s">
        <v>2567</v>
      </c>
      <c r="AK429" s="12"/>
      <c r="AL429" s="12">
        <v>46182.0</v>
      </c>
      <c r="AM429" s="12"/>
      <c r="AN429" s="12"/>
      <c r="AO429" s="12"/>
      <c r="AP429" s="12"/>
      <c r="AQ429" s="12"/>
    </row>
    <row r="430">
      <c r="A430" s="5" t="s">
        <v>2568</v>
      </c>
      <c r="B430" s="5">
        <v>1.1398423E7</v>
      </c>
      <c r="C430" s="5" t="s">
        <v>37</v>
      </c>
      <c r="D430" s="5" t="s">
        <v>2569</v>
      </c>
      <c r="E430" s="5" t="s">
        <v>39</v>
      </c>
      <c r="F430" s="5" t="s">
        <v>2570</v>
      </c>
      <c r="G430" s="15">
        <v>8.123566495E9</v>
      </c>
      <c r="H430" s="5" t="s">
        <v>2571</v>
      </c>
      <c r="I430" s="5" t="s">
        <v>42</v>
      </c>
      <c r="J430" s="5" t="s">
        <v>43</v>
      </c>
      <c r="K430" s="5">
        <v>8.7733785699E10</v>
      </c>
      <c r="L430" s="4" t="s">
        <v>44</v>
      </c>
      <c r="M430" s="5" t="s">
        <v>42</v>
      </c>
      <c r="N430" s="4" t="s">
        <v>45</v>
      </c>
      <c r="O430" s="4" t="s">
        <v>46</v>
      </c>
      <c r="P430" s="4" t="s">
        <v>187</v>
      </c>
      <c r="Q430" s="4">
        <v>16451.0</v>
      </c>
      <c r="R430" s="5" t="s">
        <v>2572</v>
      </c>
      <c r="S430" s="8">
        <v>46183.0</v>
      </c>
      <c r="T430" s="9">
        <v>0.375</v>
      </c>
      <c r="U430" s="9">
        <v>0.9166666666666666</v>
      </c>
      <c r="V430" s="4" t="s">
        <v>49</v>
      </c>
      <c r="W430" s="5">
        <v>1.0</v>
      </c>
      <c r="X430" s="5" t="b">
        <v>1</v>
      </c>
      <c r="Y430" s="5" t="s">
        <v>189</v>
      </c>
      <c r="Z430" s="5" t="b">
        <v>0</v>
      </c>
      <c r="AA430" s="10"/>
      <c r="AB430" s="4">
        <v>1.0</v>
      </c>
      <c r="AC430" s="11" t="s">
        <v>2573</v>
      </c>
      <c r="AD430" s="5">
        <v>0.0</v>
      </c>
      <c r="AE430" s="5">
        <v>1.0</v>
      </c>
      <c r="AF430" s="8">
        <v>46183.0</v>
      </c>
      <c r="AG430" s="9">
        <v>0.375</v>
      </c>
      <c r="AH430" s="9">
        <v>0.9166666666666666</v>
      </c>
      <c r="AI430" s="4" t="s">
        <v>49</v>
      </c>
      <c r="AJ430" s="5" t="s">
        <v>2574</v>
      </c>
      <c r="AK430" s="12"/>
      <c r="AL430" s="12">
        <v>46182.0</v>
      </c>
      <c r="AM430" s="12"/>
      <c r="AN430" s="12"/>
      <c r="AO430" s="12"/>
      <c r="AP430" s="12"/>
      <c r="AQ430" s="12"/>
    </row>
    <row r="431">
      <c r="A431" s="5" t="s">
        <v>2575</v>
      </c>
      <c r="B431" s="5">
        <v>1.1398423E7</v>
      </c>
      <c r="C431" s="5" t="s">
        <v>37</v>
      </c>
      <c r="D431" s="5" t="s">
        <v>2576</v>
      </c>
      <c r="E431" s="5" t="s">
        <v>39</v>
      </c>
      <c r="F431" s="5" t="s">
        <v>2577</v>
      </c>
      <c r="G431" s="15">
        <v>6.28524E17</v>
      </c>
      <c r="H431" s="5" t="s">
        <v>2578</v>
      </c>
      <c r="I431" s="5" t="s">
        <v>42</v>
      </c>
      <c r="J431" s="5" t="s">
        <v>43</v>
      </c>
      <c r="K431" s="5">
        <v>8.7733785699E10</v>
      </c>
      <c r="L431" s="4" t="s">
        <v>44</v>
      </c>
      <c r="M431" s="5" t="s">
        <v>42</v>
      </c>
      <c r="N431" s="4" t="s">
        <v>45</v>
      </c>
      <c r="O431" s="4" t="s">
        <v>46</v>
      </c>
      <c r="P431" s="4" t="s">
        <v>187</v>
      </c>
      <c r="Q431" s="4">
        <v>16451.0</v>
      </c>
      <c r="R431" s="5" t="s">
        <v>2579</v>
      </c>
      <c r="S431" s="8">
        <v>46183.0</v>
      </c>
      <c r="T431" s="9">
        <v>0.375</v>
      </c>
      <c r="U431" s="9">
        <v>0.9166666666666666</v>
      </c>
      <c r="V431" s="4" t="s">
        <v>49</v>
      </c>
      <c r="W431" s="5">
        <v>1.0</v>
      </c>
      <c r="X431" s="5" t="b">
        <v>1</v>
      </c>
      <c r="Y431" s="5" t="s">
        <v>189</v>
      </c>
      <c r="Z431" s="5" t="b">
        <v>0</v>
      </c>
      <c r="AA431" s="10"/>
      <c r="AB431" s="4">
        <v>1.0</v>
      </c>
      <c r="AC431" s="11" t="s">
        <v>2580</v>
      </c>
      <c r="AD431" s="5">
        <v>0.0</v>
      </c>
      <c r="AE431" s="5">
        <v>1.0</v>
      </c>
      <c r="AF431" s="8">
        <v>46183.0</v>
      </c>
      <c r="AG431" s="9">
        <v>0.375</v>
      </c>
      <c r="AH431" s="9">
        <v>0.9166666666666666</v>
      </c>
      <c r="AI431" s="4" t="s">
        <v>49</v>
      </c>
      <c r="AJ431" s="5" t="s">
        <v>2581</v>
      </c>
      <c r="AK431" s="12"/>
      <c r="AL431" s="12">
        <v>46182.0</v>
      </c>
      <c r="AM431" s="12"/>
      <c r="AN431" s="12"/>
      <c r="AO431" s="12"/>
      <c r="AP431" s="12"/>
      <c r="AQ431" s="12"/>
    </row>
    <row r="432">
      <c r="A432" s="5" t="s">
        <v>2582</v>
      </c>
      <c r="B432" s="5">
        <v>1.1398423E7</v>
      </c>
      <c r="C432" s="5" t="s">
        <v>37</v>
      </c>
      <c r="D432" s="5" t="s">
        <v>2583</v>
      </c>
      <c r="E432" s="5" t="s">
        <v>39</v>
      </c>
      <c r="F432" s="5" t="s">
        <v>2584</v>
      </c>
      <c r="G432" s="15">
        <v>6.28524E17</v>
      </c>
      <c r="H432" s="5" t="s">
        <v>2585</v>
      </c>
      <c r="I432" s="5" t="s">
        <v>42</v>
      </c>
      <c r="J432" s="5" t="s">
        <v>43</v>
      </c>
      <c r="K432" s="5">
        <v>8.7733785699E10</v>
      </c>
      <c r="L432" s="4" t="s">
        <v>44</v>
      </c>
      <c r="M432" s="5" t="s">
        <v>42</v>
      </c>
      <c r="N432" s="4" t="s">
        <v>45</v>
      </c>
      <c r="O432" s="4" t="s">
        <v>46</v>
      </c>
      <c r="P432" s="4" t="s">
        <v>187</v>
      </c>
      <c r="Q432" s="4">
        <v>16451.0</v>
      </c>
      <c r="R432" s="5" t="s">
        <v>2586</v>
      </c>
      <c r="S432" s="8">
        <v>46183.0</v>
      </c>
      <c r="T432" s="9">
        <v>0.375</v>
      </c>
      <c r="U432" s="9">
        <v>0.9166666666666666</v>
      </c>
      <c r="V432" s="4" t="s">
        <v>49</v>
      </c>
      <c r="W432" s="5">
        <v>1.0</v>
      </c>
      <c r="X432" s="5" t="b">
        <v>1</v>
      </c>
      <c r="Y432" s="5" t="s">
        <v>189</v>
      </c>
      <c r="Z432" s="5" t="b">
        <v>0</v>
      </c>
      <c r="AA432" s="10"/>
      <c r="AB432" s="4">
        <v>1.0</v>
      </c>
      <c r="AC432" s="11" t="s">
        <v>2587</v>
      </c>
      <c r="AD432" s="5">
        <v>0.0</v>
      </c>
      <c r="AE432" s="5">
        <v>1.0</v>
      </c>
      <c r="AF432" s="8">
        <v>46183.0</v>
      </c>
      <c r="AG432" s="9">
        <v>0.375</v>
      </c>
      <c r="AH432" s="9">
        <v>0.9166666666666666</v>
      </c>
      <c r="AI432" s="4" t="s">
        <v>49</v>
      </c>
      <c r="AJ432" s="5" t="s">
        <v>2588</v>
      </c>
      <c r="AK432" s="12"/>
      <c r="AL432" s="12">
        <v>46182.0</v>
      </c>
      <c r="AM432" s="12"/>
      <c r="AN432" s="12"/>
      <c r="AO432" s="12"/>
      <c r="AP432" s="12"/>
      <c r="AQ432" s="12"/>
    </row>
    <row r="433">
      <c r="A433" s="5" t="s">
        <v>2589</v>
      </c>
      <c r="B433" s="5">
        <v>1.1398423E7</v>
      </c>
      <c r="C433" s="5" t="s">
        <v>37</v>
      </c>
      <c r="D433" s="5" t="s">
        <v>2590</v>
      </c>
      <c r="E433" s="5" t="s">
        <v>39</v>
      </c>
      <c r="F433" s="5" t="s">
        <v>2591</v>
      </c>
      <c r="G433" s="15">
        <v>6.28571E17</v>
      </c>
      <c r="H433" s="5" t="s">
        <v>2592</v>
      </c>
      <c r="I433" s="5" t="s">
        <v>42</v>
      </c>
      <c r="J433" s="5" t="s">
        <v>43</v>
      </c>
      <c r="K433" s="5">
        <v>8.7733785699E10</v>
      </c>
      <c r="L433" s="4" t="s">
        <v>44</v>
      </c>
      <c r="M433" s="5" t="s">
        <v>42</v>
      </c>
      <c r="N433" s="4" t="s">
        <v>45</v>
      </c>
      <c r="O433" s="4" t="s">
        <v>46</v>
      </c>
      <c r="P433" s="4" t="s">
        <v>187</v>
      </c>
      <c r="Q433" s="4">
        <v>16451.0</v>
      </c>
      <c r="R433" s="5" t="s">
        <v>2593</v>
      </c>
      <c r="S433" s="8">
        <v>46183.0</v>
      </c>
      <c r="T433" s="9">
        <v>0.375</v>
      </c>
      <c r="U433" s="9">
        <v>0.9166666666666666</v>
      </c>
      <c r="V433" s="4" t="s">
        <v>49</v>
      </c>
      <c r="W433" s="5">
        <v>1.0</v>
      </c>
      <c r="X433" s="5" t="b">
        <v>1</v>
      </c>
      <c r="Y433" s="5" t="s">
        <v>189</v>
      </c>
      <c r="Z433" s="5" t="b">
        <v>0</v>
      </c>
      <c r="AA433" s="10"/>
      <c r="AB433" s="4">
        <v>1.0</v>
      </c>
      <c r="AC433" s="11" t="s">
        <v>2594</v>
      </c>
      <c r="AD433" s="5">
        <v>0.0</v>
      </c>
      <c r="AE433" s="5">
        <v>1.0</v>
      </c>
      <c r="AF433" s="8">
        <v>46183.0</v>
      </c>
      <c r="AG433" s="9">
        <v>0.375</v>
      </c>
      <c r="AH433" s="9">
        <v>0.9166666666666666</v>
      </c>
      <c r="AI433" s="4" t="s">
        <v>49</v>
      </c>
      <c r="AJ433" s="5" t="s">
        <v>2595</v>
      </c>
      <c r="AK433" s="12"/>
      <c r="AL433" s="12">
        <v>46182.0</v>
      </c>
      <c r="AM433" s="12"/>
      <c r="AN433" s="12"/>
      <c r="AO433" s="12"/>
      <c r="AP433" s="12"/>
      <c r="AQ433" s="12"/>
    </row>
    <row r="434">
      <c r="A434" s="5" t="s">
        <v>2596</v>
      </c>
      <c r="B434" s="5">
        <v>1.1398423E7</v>
      </c>
      <c r="C434" s="5" t="s">
        <v>37</v>
      </c>
      <c r="D434" s="5" t="s">
        <v>2597</v>
      </c>
      <c r="E434" s="5" t="s">
        <v>39</v>
      </c>
      <c r="F434" s="5" t="s">
        <v>2598</v>
      </c>
      <c r="G434" s="15">
        <v>6.28224E17</v>
      </c>
      <c r="H434" s="5" t="s">
        <v>2599</v>
      </c>
      <c r="I434" s="5" t="s">
        <v>42</v>
      </c>
      <c r="J434" s="5" t="s">
        <v>43</v>
      </c>
      <c r="K434" s="5">
        <v>8.7733785699E10</v>
      </c>
      <c r="L434" s="4" t="s">
        <v>44</v>
      </c>
      <c r="M434" s="5" t="s">
        <v>42</v>
      </c>
      <c r="N434" s="4" t="s">
        <v>45</v>
      </c>
      <c r="O434" s="4" t="s">
        <v>46</v>
      </c>
      <c r="P434" s="4" t="s">
        <v>187</v>
      </c>
      <c r="Q434" s="4">
        <v>16451.0</v>
      </c>
      <c r="R434" s="5" t="s">
        <v>2600</v>
      </c>
      <c r="S434" s="8">
        <v>46183.0</v>
      </c>
      <c r="T434" s="9">
        <v>0.375</v>
      </c>
      <c r="U434" s="9">
        <v>0.9166666666666666</v>
      </c>
      <c r="V434" s="4" t="s">
        <v>49</v>
      </c>
      <c r="W434" s="5">
        <v>1.0</v>
      </c>
      <c r="X434" s="5" t="b">
        <v>1</v>
      </c>
      <c r="Y434" s="5" t="s">
        <v>189</v>
      </c>
      <c r="Z434" s="5" t="b">
        <v>0</v>
      </c>
      <c r="AA434" s="10"/>
      <c r="AB434" s="4">
        <v>1.0</v>
      </c>
      <c r="AC434" s="11" t="s">
        <v>2601</v>
      </c>
      <c r="AD434" s="5">
        <v>0.0</v>
      </c>
      <c r="AE434" s="5">
        <v>1.0</v>
      </c>
      <c r="AF434" s="8">
        <v>46183.0</v>
      </c>
      <c r="AG434" s="9">
        <v>0.375</v>
      </c>
      <c r="AH434" s="9">
        <v>0.9166666666666666</v>
      </c>
      <c r="AI434" s="4" t="s">
        <v>49</v>
      </c>
      <c r="AJ434" s="5" t="s">
        <v>2602</v>
      </c>
      <c r="AK434" s="12"/>
      <c r="AL434" s="12">
        <v>46182.0</v>
      </c>
      <c r="AM434" s="12"/>
      <c r="AN434" s="12"/>
      <c r="AO434" s="12"/>
      <c r="AP434" s="12"/>
      <c r="AQ434" s="12"/>
    </row>
    <row r="435">
      <c r="A435" s="5" t="s">
        <v>2603</v>
      </c>
      <c r="B435" s="5">
        <v>1.1398423E7</v>
      </c>
      <c r="C435" s="5" t="s">
        <v>37</v>
      </c>
      <c r="D435" s="5" t="s">
        <v>2604</v>
      </c>
      <c r="E435" s="5" t="s">
        <v>39</v>
      </c>
      <c r="F435" s="5" t="s">
        <v>2605</v>
      </c>
      <c r="G435" s="15">
        <v>6.2818E16</v>
      </c>
      <c r="H435" s="5" t="s">
        <v>2606</v>
      </c>
      <c r="I435" s="5" t="s">
        <v>42</v>
      </c>
      <c r="J435" s="5" t="s">
        <v>43</v>
      </c>
      <c r="K435" s="5">
        <v>8.7733785699E10</v>
      </c>
      <c r="L435" s="4" t="s">
        <v>44</v>
      </c>
      <c r="M435" s="5" t="s">
        <v>42</v>
      </c>
      <c r="N435" s="4" t="s">
        <v>45</v>
      </c>
      <c r="O435" s="4" t="s">
        <v>46</v>
      </c>
      <c r="P435" s="4" t="s">
        <v>187</v>
      </c>
      <c r="Q435" s="4">
        <v>16451.0</v>
      </c>
      <c r="R435" s="5" t="s">
        <v>2607</v>
      </c>
      <c r="S435" s="8">
        <v>46183.0</v>
      </c>
      <c r="T435" s="9">
        <v>0.375</v>
      </c>
      <c r="U435" s="9">
        <v>0.9166666666666666</v>
      </c>
      <c r="V435" s="4" t="s">
        <v>49</v>
      </c>
      <c r="W435" s="5">
        <v>1.0</v>
      </c>
      <c r="X435" s="5" t="b">
        <v>1</v>
      </c>
      <c r="Y435" s="5" t="s">
        <v>189</v>
      </c>
      <c r="Z435" s="5" t="b">
        <v>0</v>
      </c>
      <c r="AA435" s="10"/>
      <c r="AB435" s="4">
        <v>1.0</v>
      </c>
      <c r="AC435" s="11" t="s">
        <v>2608</v>
      </c>
      <c r="AD435" s="5">
        <v>0.0</v>
      </c>
      <c r="AE435" s="5">
        <v>1.0</v>
      </c>
      <c r="AF435" s="8">
        <v>46183.0</v>
      </c>
      <c r="AG435" s="9">
        <v>0.375</v>
      </c>
      <c r="AH435" s="9">
        <v>0.9166666666666666</v>
      </c>
      <c r="AI435" s="4" t="s">
        <v>49</v>
      </c>
      <c r="AJ435" s="5" t="s">
        <v>2609</v>
      </c>
      <c r="AK435" s="12"/>
      <c r="AL435" s="12">
        <v>46182.0</v>
      </c>
      <c r="AM435" s="12"/>
      <c r="AN435" s="12"/>
      <c r="AO435" s="12"/>
      <c r="AP435" s="12"/>
      <c r="AQ435" s="12"/>
    </row>
    <row r="436">
      <c r="A436" s="5" t="s">
        <v>2610</v>
      </c>
      <c r="B436" s="5">
        <v>1.1398423E7</v>
      </c>
      <c r="C436" s="5" t="s">
        <v>37</v>
      </c>
      <c r="D436" s="5" t="s">
        <v>2611</v>
      </c>
      <c r="E436" s="5" t="s">
        <v>39</v>
      </c>
      <c r="F436" s="5" t="s">
        <v>2612</v>
      </c>
      <c r="G436" s="15">
        <v>6.28129E17</v>
      </c>
      <c r="H436" s="5" t="s">
        <v>2613</v>
      </c>
      <c r="I436" s="5" t="s">
        <v>42</v>
      </c>
      <c r="J436" s="5" t="s">
        <v>43</v>
      </c>
      <c r="K436" s="5">
        <v>8.7733785699E10</v>
      </c>
      <c r="L436" s="4" t="s">
        <v>44</v>
      </c>
      <c r="M436" s="5" t="s">
        <v>42</v>
      </c>
      <c r="N436" s="4" t="s">
        <v>45</v>
      </c>
      <c r="O436" s="4" t="s">
        <v>46</v>
      </c>
      <c r="P436" s="4" t="s">
        <v>187</v>
      </c>
      <c r="Q436" s="4">
        <v>16451.0</v>
      </c>
      <c r="R436" s="5" t="s">
        <v>2614</v>
      </c>
      <c r="S436" s="8">
        <v>46183.0</v>
      </c>
      <c r="T436" s="9">
        <v>0.375</v>
      </c>
      <c r="U436" s="9">
        <v>0.9166666666666666</v>
      </c>
      <c r="V436" s="4" t="s">
        <v>49</v>
      </c>
      <c r="W436" s="5">
        <v>1.0</v>
      </c>
      <c r="X436" s="5" t="b">
        <v>1</v>
      </c>
      <c r="Y436" s="5" t="s">
        <v>189</v>
      </c>
      <c r="Z436" s="5" t="b">
        <v>0</v>
      </c>
      <c r="AA436" s="10"/>
      <c r="AB436" s="4">
        <v>1.0</v>
      </c>
      <c r="AC436" s="11" t="s">
        <v>2615</v>
      </c>
      <c r="AD436" s="5">
        <v>0.0</v>
      </c>
      <c r="AE436" s="5">
        <v>1.0</v>
      </c>
      <c r="AF436" s="8">
        <v>46183.0</v>
      </c>
      <c r="AG436" s="9">
        <v>0.375</v>
      </c>
      <c r="AH436" s="9">
        <v>0.9166666666666666</v>
      </c>
      <c r="AI436" s="4" t="s">
        <v>49</v>
      </c>
      <c r="AJ436" s="5" t="s">
        <v>2616</v>
      </c>
      <c r="AK436" s="12"/>
      <c r="AL436" s="12">
        <v>46182.0</v>
      </c>
      <c r="AM436" s="12"/>
      <c r="AN436" s="12"/>
      <c r="AO436" s="12"/>
      <c r="AP436" s="12"/>
      <c r="AQ436" s="12"/>
    </row>
    <row r="437">
      <c r="A437" s="5" t="s">
        <v>2617</v>
      </c>
      <c r="B437" s="5">
        <v>1.1398423E7</v>
      </c>
      <c r="C437" s="5" t="s">
        <v>37</v>
      </c>
      <c r="D437" s="5" t="s">
        <v>2618</v>
      </c>
      <c r="E437" s="5" t="s">
        <v>39</v>
      </c>
      <c r="F437" s="5" t="s">
        <v>2619</v>
      </c>
      <c r="G437" s="15">
        <v>6.28516E17</v>
      </c>
      <c r="H437" s="5" t="s">
        <v>2620</v>
      </c>
      <c r="I437" s="5" t="s">
        <v>42</v>
      </c>
      <c r="J437" s="5" t="s">
        <v>43</v>
      </c>
      <c r="K437" s="5">
        <v>8.7733785699E10</v>
      </c>
      <c r="L437" s="4" t="s">
        <v>44</v>
      </c>
      <c r="M437" s="5" t="s">
        <v>42</v>
      </c>
      <c r="N437" s="4" t="s">
        <v>45</v>
      </c>
      <c r="O437" s="4" t="s">
        <v>46</v>
      </c>
      <c r="P437" s="4" t="s">
        <v>187</v>
      </c>
      <c r="Q437" s="4">
        <v>16451.0</v>
      </c>
      <c r="R437" s="5" t="s">
        <v>2621</v>
      </c>
      <c r="S437" s="8">
        <v>46183.0</v>
      </c>
      <c r="T437" s="9">
        <v>0.375</v>
      </c>
      <c r="U437" s="9">
        <v>0.9166666666666666</v>
      </c>
      <c r="V437" s="4" t="s">
        <v>49</v>
      </c>
      <c r="W437" s="5">
        <v>1.0</v>
      </c>
      <c r="X437" s="5" t="b">
        <v>1</v>
      </c>
      <c r="Y437" s="5" t="s">
        <v>189</v>
      </c>
      <c r="Z437" s="5" t="b">
        <v>0</v>
      </c>
      <c r="AA437" s="10"/>
      <c r="AB437" s="4">
        <v>1.0</v>
      </c>
      <c r="AC437" s="11" t="s">
        <v>2622</v>
      </c>
      <c r="AD437" s="5">
        <v>0.0</v>
      </c>
      <c r="AE437" s="5">
        <v>1.0</v>
      </c>
      <c r="AF437" s="8">
        <v>46183.0</v>
      </c>
      <c r="AG437" s="9">
        <v>0.375</v>
      </c>
      <c r="AH437" s="9">
        <v>0.9166666666666666</v>
      </c>
      <c r="AI437" s="4" t="s">
        <v>49</v>
      </c>
      <c r="AJ437" s="5" t="s">
        <v>2623</v>
      </c>
      <c r="AK437" s="12"/>
      <c r="AL437" s="12">
        <v>46182.0</v>
      </c>
      <c r="AM437" s="12"/>
      <c r="AN437" s="12"/>
      <c r="AO437" s="12"/>
      <c r="AP437" s="12"/>
      <c r="AQ437" s="12"/>
    </row>
    <row r="438">
      <c r="A438" s="5" t="s">
        <v>2624</v>
      </c>
      <c r="B438" s="5">
        <v>1.1398423E7</v>
      </c>
      <c r="C438" s="5" t="s">
        <v>37</v>
      </c>
      <c r="D438" s="5" t="s">
        <v>2199</v>
      </c>
      <c r="E438" s="5" t="s">
        <v>39</v>
      </c>
      <c r="F438" s="5" t="s">
        <v>2625</v>
      </c>
      <c r="G438" s="15">
        <v>6.28155E17</v>
      </c>
      <c r="H438" s="5" t="s">
        <v>2626</v>
      </c>
      <c r="I438" s="5" t="s">
        <v>42</v>
      </c>
      <c r="J438" s="5" t="s">
        <v>43</v>
      </c>
      <c r="K438" s="5">
        <v>8.7733785699E10</v>
      </c>
      <c r="L438" s="4" t="s">
        <v>44</v>
      </c>
      <c r="M438" s="5" t="s">
        <v>42</v>
      </c>
      <c r="N438" s="4" t="s">
        <v>45</v>
      </c>
      <c r="O438" s="4" t="s">
        <v>46</v>
      </c>
      <c r="P438" s="4" t="s">
        <v>187</v>
      </c>
      <c r="Q438" s="4">
        <v>16451.0</v>
      </c>
      <c r="R438" s="5" t="s">
        <v>2627</v>
      </c>
      <c r="S438" s="8">
        <v>46183.0</v>
      </c>
      <c r="T438" s="9">
        <v>0.375</v>
      </c>
      <c r="U438" s="9">
        <v>0.9166666666666666</v>
      </c>
      <c r="V438" s="4" t="s">
        <v>49</v>
      </c>
      <c r="W438" s="5">
        <v>1.0</v>
      </c>
      <c r="X438" s="5" t="b">
        <v>1</v>
      </c>
      <c r="Y438" s="5" t="s">
        <v>189</v>
      </c>
      <c r="Z438" s="5" t="b">
        <v>0</v>
      </c>
      <c r="AA438" s="10"/>
      <c r="AB438" s="4">
        <v>1.0</v>
      </c>
      <c r="AC438" s="11" t="s">
        <v>2628</v>
      </c>
      <c r="AD438" s="5">
        <v>0.0</v>
      </c>
      <c r="AE438" s="5">
        <v>1.0</v>
      </c>
      <c r="AF438" s="8">
        <v>46183.0</v>
      </c>
      <c r="AG438" s="9">
        <v>0.375</v>
      </c>
      <c r="AH438" s="9">
        <v>0.9166666666666666</v>
      </c>
      <c r="AI438" s="4" t="s">
        <v>49</v>
      </c>
      <c r="AJ438" s="5" t="s">
        <v>2629</v>
      </c>
      <c r="AK438" s="12"/>
      <c r="AL438" s="12">
        <v>46182.0</v>
      </c>
      <c r="AM438" s="12"/>
      <c r="AN438" s="12"/>
      <c r="AO438" s="12"/>
      <c r="AP438" s="12"/>
      <c r="AQ438" s="12"/>
    </row>
    <row r="439">
      <c r="A439" s="5" t="s">
        <v>2630</v>
      </c>
      <c r="B439" s="5">
        <v>1.1398423E7</v>
      </c>
      <c r="C439" s="5" t="s">
        <v>37</v>
      </c>
      <c r="D439" s="5" t="s">
        <v>2631</v>
      </c>
      <c r="E439" s="5" t="s">
        <v>39</v>
      </c>
      <c r="F439" s="5" t="s">
        <v>2632</v>
      </c>
      <c r="G439" s="15">
        <v>6.28121E17</v>
      </c>
      <c r="H439" s="5" t="s">
        <v>2633</v>
      </c>
      <c r="I439" s="5" t="s">
        <v>42</v>
      </c>
      <c r="J439" s="5" t="s">
        <v>43</v>
      </c>
      <c r="K439" s="5">
        <v>8.7733785699E10</v>
      </c>
      <c r="L439" s="4" t="s">
        <v>44</v>
      </c>
      <c r="M439" s="5" t="s">
        <v>42</v>
      </c>
      <c r="N439" s="4" t="s">
        <v>45</v>
      </c>
      <c r="O439" s="4" t="s">
        <v>46</v>
      </c>
      <c r="P439" s="4" t="s">
        <v>187</v>
      </c>
      <c r="Q439" s="4">
        <v>16451.0</v>
      </c>
      <c r="R439" s="5" t="s">
        <v>2634</v>
      </c>
      <c r="S439" s="8">
        <v>46183.0</v>
      </c>
      <c r="T439" s="9">
        <v>0.375</v>
      </c>
      <c r="U439" s="9">
        <v>0.9166666666666666</v>
      </c>
      <c r="V439" s="4" t="s">
        <v>49</v>
      </c>
      <c r="W439" s="5">
        <v>1.0</v>
      </c>
      <c r="X439" s="5" t="b">
        <v>1</v>
      </c>
      <c r="Y439" s="5" t="s">
        <v>189</v>
      </c>
      <c r="Z439" s="5" t="b">
        <v>0</v>
      </c>
      <c r="AA439" s="10"/>
      <c r="AB439" s="4">
        <v>1.0</v>
      </c>
      <c r="AC439" s="11" t="s">
        <v>2635</v>
      </c>
      <c r="AD439" s="5">
        <v>0.0</v>
      </c>
      <c r="AE439" s="5">
        <v>1.0</v>
      </c>
      <c r="AF439" s="8">
        <v>46183.0</v>
      </c>
      <c r="AG439" s="9">
        <v>0.375</v>
      </c>
      <c r="AH439" s="9">
        <v>0.9166666666666666</v>
      </c>
      <c r="AI439" s="4" t="s">
        <v>49</v>
      </c>
      <c r="AJ439" s="5" t="s">
        <v>2636</v>
      </c>
      <c r="AK439" s="12"/>
      <c r="AL439" s="12">
        <v>46182.0</v>
      </c>
      <c r="AM439" s="12"/>
      <c r="AN439" s="12"/>
      <c r="AO439" s="12"/>
      <c r="AP439" s="12"/>
      <c r="AQ439" s="12"/>
    </row>
    <row r="440">
      <c r="A440" s="5" t="s">
        <v>2637</v>
      </c>
      <c r="B440" s="5">
        <v>1.1398423E7</v>
      </c>
      <c r="C440" s="5" t="s">
        <v>37</v>
      </c>
      <c r="D440" s="5" t="s">
        <v>2638</v>
      </c>
      <c r="E440" s="5" t="s">
        <v>39</v>
      </c>
      <c r="F440" s="5" t="s">
        <v>2639</v>
      </c>
      <c r="G440" s="15">
        <v>6.2851E16</v>
      </c>
      <c r="H440" s="5" t="s">
        <v>2640</v>
      </c>
      <c r="I440" s="5" t="s">
        <v>42</v>
      </c>
      <c r="J440" s="5" t="s">
        <v>43</v>
      </c>
      <c r="K440" s="5">
        <v>8.7733785699E10</v>
      </c>
      <c r="L440" s="4" t="s">
        <v>44</v>
      </c>
      <c r="M440" s="5" t="s">
        <v>42</v>
      </c>
      <c r="N440" s="4" t="s">
        <v>45</v>
      </c>
      <c r="O440" s="4" t="s">
        <v>46</v>
      </c>
      <c r="P440" s="4" t="s">
        <v>187</v>
      </c>
      <c r="Q440" s="4">
        <v>16451.0</v>
      </c>
      <c r="R440" s="5" t="s">
        <v>2641</v>
      </c>
      <c r="S440" s="8">
        <v>46183.0</v>
      </c>
      <c r="T440" s="9">
        <v>0.375</v>
      </c>
      <c r="U440" s="9">
        <v>0.9166666666666666</v>
      </c>
      <c r="V440" s="4" t="s">
        <v>49</v>
      </c>
      <c r="W440" s="5">
        <v>1.0</v>
      </c>
      <c r="X440" s="5" t="b">
        <v>1</v>
      </c>
      <c r="Y440" s="5" t="s">
        <v>189</v>
      </c>
      <c r="Z440" s="5" t="b">
        <v>0</v>
      </c>
      <c r="AA440" s="10"/>
      <c r="AB440" s="4">
        <v>1.0</v>
      </c>
      <c r="AC440" s="11" t="s">
        <v>2642</v>
      </c>
      <c r="AD440" s="5">
        <v>0.0</v>
      </c>
      <c r="AE440" s="5">
        <v>1.0</v>
      </c>
      <c r="AF440" s="8">
        <v>46183.0</v>
      </c>
      <c r="AG440" s="9">
        <v>0.375</v>
      </c>
      <c r="AH440" s="9">
        <v>0.9166666666666666</v>
      </c>
      <c r="AI440" s="4" t="s">
        <v>49</v>
      </c>
      <c r="AJ440" s="5" t="s">
        <v>2643</v>
      </c>
      <c r="AK440" s="12"/>
      <c r="AL440" s="12">
        <v>46182.0</v>
      </c>
      <c r="AM440" s="12"/>
      <c r="AN440" s="12"/>
      <c r="AO440" s="12"/>
      <c r="AP440" s="12"/>
      <c r="AQ440" s="12"/>
    </row>
    <row r="441">
      <c r="A441" s="5" t="s">
        <v>2644</v>
      </c>
      <c r="B441" s="5">
        <v>1.1398423E7</v>
      </c>
      <c r="C441" s="5" t="s">
        <v>37</v>
      </c>
      <c r="D441" s="5" t="s">
        <v>2645</v>
      </c>
      <c r="E441" s="5" t="s">
        <v>39</v>
      </c>
      <c r="F441" s="5" t="s">
        <v>2646</v>
      </c>
      <c r="G441" s="15">
        <v>6.28775E17</v>
      </c>
      <c r="H441" s="5" t="s">
        <v>2647</v>
      </c>
      <c r="I441" s="5" t="s">
        <v>42</v>
      </c>
      <c r="J441" s="5" t="s">
        <v>43</v>
      </c>
      <c r="K441" s="5">
        <v>8.7733785699E10</v>
      </c>
      <c r="L441" s="4" t="s">
        <v>44</v>
      </c>
      <c r="M441" s="5" t="s">
        <v>42</v>
      </c>
      <c r="N441" s="4" t="s">
        <v>45</v>
      </c>
      <c r="O441" s="4" t="s">
        <v>46</v>
      </c>
      <c r="P441" s="4" t="s">
        <v>187</v>
      </c>
      <c r="Q441" s="4">
        <v>16451.0</v>
      </c>
      <c r="R441" s="5" t="s">
        <v>2648</v>
      </c>
      <c r="S441" s="8">
        <v>46183.0</v>
      </c>
      <c r="T441" s="9">
        <v>0.375</v>
      </c>
      <c r="U441" s="9">
        <v>0.9166666666666666</v>
      </c>
      <c r="V441" s="4" t="s">
        <v>49</v>
      </c>
      <c r="W441" s="5">
        <v>1.0</v>
      </c>
      <c r="X441" s="5" t="b">
        <v>1</v>
      </c>
      <c r="Y441" s="5" t="s">
        <v>189</v>
      </c>
      <c r="Z441" s="5" t="b">
        <v>0</v>
      </c>
      <c r="AA441" s="10"/>
      <c r="AB441" s="4">
        <v>1.0</v>
      </c>
      <c r="AC441" s="11" t="s">
        <v>2649</v>
      </c>
      <c r="AD441" s="5">
        <v>0.0</v>
      </c>
      <c r="AE441" s="5">
        <v>1.0</v>
      </c>
      <c r="AF441" s="8">
        <v>46183.0</v>
      </c>
      <c r="AG441" s="9">
        <v>0.375</v>
      </c>
      <c r="AH441" s="9">
        <v>0.9166666666666666</v>
      </c>
      <c r="AI441" s="4" t="s">
        <v>49</v>
      </c>
      <c r="AJ441" s="5" t="s">
        <v>2650</v>
      </c>
      <c r="AK441" s="12"/>
      <c r="AL441" s="12">
        <v>46182.0</v>
      </c>
      <c r="AM441" s="12"/>
      <c r="AN441" s="12"/>
      <c r="AO441" s="12"/>
      <c r="AP441" s="12"/>
      <c r="AQ441" s="12"/>
    </row>
    <row r="442">
      <c r="A442" s="5" t="s">
        <v>2651</v>
      </c>
      <c r="B442" s="5">
        <v>1.1398423E7</v>
      </c>
      <c r="C442" s="5" t="s">
        <v>37</v>
      </c>
      <c r="D442" s="5" t="s">
        <v>2199</v>
      </c>
      <c r="E442" s="5" t="s">
        <v>39</v>
      </c>
      <c r="F442" s="5" t="s">
        <v>2646</v>
      </c>
      <c r="G442" s="15">
        <v>6.28775E17</v>
      </c>
      <c r="H442" s="5" t="s">
        <v>2647</v>
      </c>
      <c r="I442" s="5" t="s">
        <v>42</v>
      </c>
      <c r="J442" s="5" t="s">
        <v>43</v>
      </c>
      <c r="K442" s="5">
        <v>8.7733785699E10</v>
      </c>
      <c r="L442" s="4" t="s">
        <v>44</v>
      </c>
      <c r="M442" s="5" t="s">
        <v>42</v>
      </c>
      <c r="N442" s="4" t="s">
        <v>45</v>
      </c>
      <c r="O442" s="4" t="s">
        <v>46</v>
      </c>
      <c r="P442" s="4" t="s">
        <v>187</v>
      </c>
      <c r="Q442" s="4">
        <v>16451.0</v>
      </c>
      <c r="R442" s="5" t="s">
        <v>2652</v>
      </c>
      <c r="S442" s="8">
        <v>46183.0</v>
      </c>
      <c r="T442" s="9">
        <v>0.375</v>
      </c>
      <c r="U442" s="9">
        <v>0.9166666666666666</v>
      </c>
      <c r="V442" s="4" t="s">
        <v>49</v>
      </c>
      <c r="W442" s="5">
        <v>1.0</v>
      </c>
      <c r="X442" s="5" t="b">
        <v>1</v>
      </c>
      <c r="Y442" s="5" t="s">
        <v>189</v>
      </c>
      <c r="Z442" s="5" t="b">
        <v>0</v>
      </c>
      <c r="AA442" s="10"/>
      <c r="AB442" s="4">
        <v>1.0</v>
      </c>
      <c r="AC442" s="11" t="s">
        <v>2653</v>
      </c>
      <c r="AD442" s="5">
        <v>0.0</v>
      </c>
      <c r="AE442" s="5">
        <v>1.0</v>
      </c>
      <c r="AF442" s="8">
        <v>46183.0</v>
      </c>
      <c r="AG442" s="9">
        <v>0.375</v>
      </c>
      <c r="AH442" s="9">
        <v>0.9166666666666666</v>
      </c>
      <c r="AI442" s="4" t="s">
        <v>49</v>
      </c>
      <c r="AJ442" s="5" t="s">
        <v>2654</v>
      </c>
      <c r="AK442" s="12"/>
      <c r="AL442" s="12">
        <v>46182.0</v>
      </c>
      <c r="AM442" s="12"/>
      <c r="AN442" s="12"/>
      <c r="AO442" s="12"/>
      <c r="AP442" s="12"/>
      <c r="AQ442" s="12"/>
    </row>
    <row r="443">
      <c r="A443" s="5" t="s">
        <v>2655</v>
      </c>
      <c r="B443" s="5">
        <v>1.1398423E7</v>
      </c>
      <c r="C443" s="5" t="s">
        <v>37</v>
      </c>
      <c r="D443" s="5" t="s">
        <v>2656</v>
      </c>
      <c r="E443" s="5" t="s">
        <v>39</v>
      </c>
      <c r="F443" s="5" t="s">
        <v>2657</v>
      </c>
      <c r="G443" s="15">
        <v>6.28123E16</v>
      </c>
      <c r="H443" s="5" t="s">
        <v>2658</v>
      </c>
      <c r="I443" s="5" t="s">
        <v>42</v>
      </c>
      <c r="J443" s="5" t="s">
        <v>43</v>
      </c>
      <c r="K443" s="5">
        <v>8.7733785699E10</v>
      </c>
      <c r="L443" s="4" t="s">
        <v>44</v>
      </c>
      <c r="M443" s="5" t="s">
        <v>42</v>
      </c>
      <c r="N443" s="4" t="s">
        <v>45</v>
      </c>
      <c r="O443" s="4" t="s">
        <v>46</v>
      </c>
      <c r="P443" s="4" t="s">
        <v>187</v>
      </c>
      <c r="Q443" s="4">
        <v>16451.0</v>
      </c>
      <c r="R443" s="5" t="s">
        <v>2659</v>
      </c>
      <c r="S443" s="8">
        <v>46183.0</v>
      </c>
      <c r="T443" s="9">
        <v>0.375</v>
      </c>
      <c r="U443" s="9">
        <v>0.9166666666666666</v>
      </c>
      <c r="V443" s="4" t="s">
        <v>49</v>
      </c>
      <c r="W443" s="5">
        <v>1.0</v>
      </c>
      <c r="X443" s="5" t="b">
        <v>1</v>
      </c>
      <c r="Y443" s="5" t="s">
        <v>189</v>
      </c>
      <c r="Z443" s="5" t="b">
        <v>0</v>
      </c>
      <c r="AA443" s="10"/>
      <c r="AB443" s="4">
        <v>1.0</v>
      </c>
      <c r="AC443" s="11" t="s">
        <v>2660</v>
      </c>
      <c r="AD443" s="5">
        <v>0.0</v>
      </c>
      <c r="AE443" s="5">
        <v>1.0</v>
      </c>
      <c r="AF443" s="8">
        <v>46183.0</v>
      </c>
      <c r="AG443" s="9">
        <v>0.375</v>
      </c>
      <c r="AH443" s="9">
        <v>0.9166666666666666</v>
      </c>
      <c r="AI443" s="4" t="s">
        <v>49</v>
      </c>
      <c r="AJ443" s="5" t="s">
        <v>2661</v>
      </c>
      <c r="AK443" s="12"/>
      <c r="AL443" s="12">
        <v>46182.0</v>
      </c>
      <c r="AM443" s="12"/>
      <c r="AN443" s="12"/>
      <c r="AO443" s="12"/>
      <c r="AP443" s="12"/>
      <c r="AQ443" s="12"/>
    </row>
    <row r="444">
      <c r="A444" s="5" t="s">
        <v>2662</v>
      </c>
      <c r="B444" s="5">
        <v>1.1398423E7</v>
      </c>
      <c r="C444" s="5" t="s">
        <v>37</v>
      </c>
      <c r="D444" s="5" t="s">
        <v>2663</v>
      </c>
      <c r="E444" s="5" t="s">
        <v>39</v>
      </c>
      <c r="F444" s="5" t="s">
        <v>2664</v>
      </c>
      <c r="G444" s="15">
        <v>6.28151E17</v>
      </c>
      <c r="H444" s="5" t="s">
        <v>2665</v>
      </c>
      <c r="I444" s="5" t="s">
        <v>42</v>
      </c>
      <c r="J444" s="5" t="s">
        <v>43</v>
      </c>
      <c r="K444" s="5">
        <v>8.7733785699E10</v>
      </c>
      <c r="L444" s="4" t="s">
        <v>44</v>
      </c>
      <c r="M444" s="5" t="s">
        <v>42</v>
      </c>
      <c r="N444" s="4" t="s">
        <v>45</v>
      </c>
      <c r="O444" s="4" t="s">
        <v>46</v>
      </c>
      <c r="P444" s="4" t="s">
        <v>187</v>
      </c>
      <c r="Q444" s="4">
        <v>16451.0</v>
      </c>
      <c r="R444" s="5" t="s">
        <v>2666</v>
      </c>
      <c r="S444" s="8">
        <v>46183.0</v>
      </c>
      <c r="T444" s="9">
        <v>0.375</v>
      </c>
      <c r="U444" s="9">
        <v>0.9166666666666666</v>
      </c>
      <c r="V444" s="4" t="s">
        <v>49</v>
      </c>
      <c r="W444" s="5">
        <v>1.0</v>
      </c>
      <c r="X444" s="5" t="b">
        <v>1</v>
      </c>
      <c r="Y444" s="5" t="s">
        <v>189</v>
      </c>
      <c r="Z444" s="5" t="b">
        <v>0</v>
      </c>
      <c r="AA444" s="10"/>
      <c r="AB444" s="4">
        <v>1.0</v>
      </c>
      <c r="AC444" s="11" t="s">
        <v>2667</v>
      </c>
      <c r="AD444" s="5">
        <v>0.0</v>
      </c>
      <c r="AE444" s="5">
        <v>1.0</v>
      </c>
      <c r="AF444" s="8">
        <v>46183.0</v>
      </c>
      <c r="AG444" s="9">
        <v>0.375</v>
      </c>
      <c r="AH444" s="9">
        <v>0.9166666666666666</v>
      </c>
      <c r="AI444" s="4" t="s">
        <v>49</v>
      </c>
      <c r="AJ444" s="5" t="s">
        <v>2668</v>
      </c>
      <c r="AK444" s="12"/>
      <c r="AL444" s="12">
        <v>46182.0</v>
      </c>
      <c r="AM444" s="12"/>
      <c r="AN444" s="12"/>
      <c r="AO444" s="12"/>
      <c r="AP444" s="12"/>
      <c r="AQ444" s="12"/>
    </row>
    <row r="445">
      <c r="A445" s="5" t="s">
        <v>2669</v>
      </c>
      <c r="B445" s="5">
        <v>1.1398423E7</v>
      </c>
      <c r="C445" s="5" t="s">
        <v>37</v>
      </c>
      <c r="D445" s="5" t="s">
        <v>2670</v>
      </c>
      <c r="E445" s="5" t="s">
        <v>39</v>
      </c>
      <c r="F445" s="5" t="s">
        <v>2671</v>
      </c>
      <c r="G445" s="15">
        <v>6.28822E17</v>
      </c>
      <c r="H445" s="5" t="s">
        <v>2672</v>
      </c>
      <c r="I445" s="5" t="s">
        <v>42</v>
      </c>
      <c r="J445" s="5" t="s">
        <v>43</v>
      </c>
      <c r="K445" s="5">
        <v>8.7733785699E10</v>
      </c>
      <c r="L445" s="4" t="s">
        <v>44</v>
      </c>
      <c r="M445" s="5" t="s">
        <v>42</v>
      </c>
      <c r="N445" s="4" t="s">
        <v>45</v>
      </c>
      <c r="O445" s="4" t="s">
        <v>46</v>
      </c>
      <c r="P445" s="4" t="s">
        <v>187</v>
      </c>
      <c r="Q445" s="4">
        <v>16451.0</v>
      </c>
      <c r="R445" s="5" t="s">
        <v>2673</v>
      </c>
      <c r="S445" s="8">
        <v>46183.0</v>
      </c>
      <c r="T445" s="9">
        <v>0.375</v>
      </c>
      <c r="U445" s="9">
        <v>0.9166666666666666</v>
      </c>
      <c r="V445" s="4" t="s">
        <v>49</v>
      </c>
      <c r="W445" s="5">
        <v>1.0</v>
      </c>
      <c r="X445" s="5" t="b">
        <v>1</v>
      </c>
      <c r="Y445" s="5" t="s">
        <v>189</v>
      </c>
      <c r="Z445" s="5" t="b">
        <v>0</v>
      </c>
      <c r="AA445" s="10"/>
      <c r="AB445" s="4">
        <v>1.0</v>
      </c>
      <c r="AC445" s="11" t="s">
        <v>2674</v>
      </c>
      <c r="AD445" s="5">
        <v>0.0</v>
      </c>
      <c r="AE445" s="5">
        <v>1.0</v>
      </c>
      <c r="AF445" s="8">
        <v>46183.0</v>
      </c>
      <c r="AG445" s="9">
        <v>0.375</v>
      </c>
      <c r="AH445" s="9">
        <v>0.9166666666666666</v>
      </c>
      <c r="AI445" s="4" t="s">
        <v>49</v>
      </c>
      <c r="AJ445" s="5" t="s">
        <v>2675</v>
      </c>
      <c r="AK445" s="12"/>
      <c r="AL445" s="12">
        <v>46182.0</v>
      </c>
      <c r="AM445" s="12"/>
      <c r="AN445" s="12"/>
      <c r="AO445" s="12"/>
      <c r="AP445" s="12"/>
      <c r="AQ445" s="12"/>
    </row>
    <row r="446">
      <c r="A446" s="5" t="s">
        <v>2676</v>
      </c>
      <c r="B446" s="5">
        <v>1.1398423E7</v>
      </c>
      <c r="C446" s="5" t="s">
        <v>37</v>
      </c>
      <c r="D446" s="5" t="s">
        <v>2677</v>
      </c>
      <c r="E446" s="5" t="s">
        <v>39</v>
      </c>
      <c r="F446" s="5" t="s">
        <v>2678</v>
      </c>
      <c r="G446" s="15">
        <v>6.28221E17</v>
      </c>
      <c r="H446" s="5" t="s">
        <v>2679</v>
      </c>
      <c r="I446" s="5" t="s">
        <v>42</v>
      </c>
      <c r="J446" s="5" t="s">
        <v>43</v>
      </c>
      <c r="K446" s="5">
        <v>8.7733785699E10</v>
      </c>
      <c r="L446" s="4" t="s">
        <v>44</v>
      </c>
      <c r="M446" s="5" t="s">
        <v>42</v>
      </c>
      <c r="N446" s="4" t="s">
        <v>45</v>
      </c>
      <c r="O446" s="4" t="s">
        <v>46</v>
      </c>
      <c r="P446" s="4" t="s">
        <v>187</v>
      </c>
      <c r="Q446" s="4">
        <v>16451.0</v>
      </c>
      <c r="R446" s="5" t="s">
        <v>2680</v>
      </c>
      <c r="S446" s="8">
        <v>46183.0</v>
      </c>
      <c r="T446" s="9">
        <v>0.375</v>
      </c>
      <c r="U446" s="9">
        <v>0.9166666666666666</v>
      </c>
      <c r="V446" s="4" t="s">
        <v>49</v>
      </c>
      <c r="W446" s="5">
        <v>1.0</v>
      </c>
      <c r="X446" s="5" t="b">
        <v>1</v>
      </c>
      <c r="Y446" s="5" t="s">
        <v>189</v>
      </c>
      <c r="Z446" s="5" t="b">
        <v>0</v>
      </c>
      <c r="AA446" s="10"/>
      <c r="AB446" s="4">
        <v>1.0</v>
      </c>
      <c r="AC446" s="11" t="s">
        <v>2681</v>
      </c>
      <c r="AD446" s="5">
        <v>0.0</v>
      </c>
      <c r="AE446" s="5">
        <v>1.0</v>
      </c>
      <c r="AF446" s="8">
        <v>46183.0</v>
      </c>
      <c r="AG446" s="9">
        <v>0.375</v>
      </c>
      <c r="AH446" s="9">
        <v>0.9166666666666666</v>
      </c>
      <c r="AI446" s="4" t="s">
        <v>49</v>
      </c>
      <c r="AJ446" s="5" t="s">
        <v>2682</v>
      </c>
      <c r="AK446" s="12"/>
      <c r="AL446" s="12">
        <v>46182.0</v>
      </c>
      <c r="AM446" s="12"/>
      <c r="AN446" s="12"/>
      <c r="AO446" s="12"/>
      <c r="AP446" s="12"/>
      <c r="AQ446" s="12"/>
    </row>
    <row r="447">
      <c r="A447" s="5" t="s">
        <v>2683</v>
      </c>
      <c r="B447" s="5">
        <v>1.1398423E7</v>
      </c>
      <c r="C447" s="5" t="s">
        <v>37</v>
      </c>
      <c r="D447" s="5" t="s">
        <v>2684</v>
      </c>
      <c r="E447" s="5" t="s">
        <v>39</v>
      </c>
      <c r="F447" s="5" t="s">
        <v>2685</v>
      </c>
      <c r="G447" s="15">
        <v>6.28911E16</v>
      </c>
      <c r="H447" s="5" t="s">
        <v>2686</v>
      </c>
      <c r="I447" s="5" t="s">
        <v>42</v>
      </c>
      <c r="J447" s="5" t="s">
        <v>43</v>
      </c>
      <c r="K447" s="5">
        <v>8.7733785699E10</v>
      </c>
      <c r="L447" s="4" t="s">
        <v>44</v>
      </c>
      <c r="M447" s="5" t="s">
        <v>42</v>
      </c>
      <c r="N447" s="4" t="s">
        <v>45</v>
      </c>
      <c r="O447" s="4" t="s">
        <v>46</v>
      </c>
      <c r="P447" s="4" t="s">
        <v>187</v>
      </c>
      <c r="Q447" s="4">
        <v>16451.0</v>
      </c>
      <c r="R447" s="5" t="s">
        <v>2687</v>
      </c>
      <c r="S447" s="8">
        <v>46183.0</v>
      </c>
      <c r="T447" s="9">
        <v>0.375</v>
      </c>
      <c r="U447" s="9">
        <v>0.9166666666666666</v>
      </c>
      <c r="V447" s="4" t="s">
        <v>49</v>
      </c>
      <c r="W447" s="5">
        <v>1.0</v>
      </c>
      <c r="X447" s="5" t="b">
        <v>1</v>
      </c>
      <c r="Y447" s="5" t="s">
        <v>189</v>
      </c>
      <c r="Z447" s="5" t="b">
        <v>0</v>
      </c>
      <c r="AA447" s="10"/>
      <c r="AB447" s="4">
        <v>1.0</v>
      </c>
      <c r="AC447" s="11" t="s">
        <v>2688</v>
      </c>
      <c r="AD447" s="5">
        <v>0.0</v>
      </c>
      <c r="AE447" s="5">
        <v>1.0</v>
      </c>
      <c r="AF447" s="8">
        <v>46183.0</v>
      </c>
      <c r="AG447" s="9">
        <v>0.375</v>
      </c>
      <c r="AH447" s="9">
        <v>0.9166666666666666</v>
      </c>
      <c r="AI447" s="4" t="s">
        <v>49</v>
      </c>
      <c r="AJ447" s="5" t="s">
        <v>2689</v>
      </c>
      <c r="AK447" s="12"/>
      <c r="AL447" s="12">
        <v>46182.0</v>
      </c>
      <c r="AM447" s="12"/>
      <c r="AN447" s="12"/>
      <c r="AO447" s="12"/>
      <c r="AP447" s="12"/>
      <c r="AQ447" s="12"/>
    </row>
    <row r="448">
      <c r="A448" s="5" t="s">
        <v>2690</v>
      </c>
      <c r="B448" s="5">
        <v>1.1398423E7</v>
      </c>
      <c r="C448" s="5" t="s">
        <v>37</v>
      </c>
      <c r="D448" s="5" t="s">
        <v>2691</v>
      </c>
      <c r="E448" s="5" t="s">
        <v>39</v>
      </c>
      <c r="F448" s="5" t="s">
        <v>2692</v>
      </c>
      <c r="G448" s="15">
        <v>6.28136E17</v>
      </c>
      <c r="H448" s="5" t="s">
        <v>2693</v>
      </c>
      <c r="I448" s="5" t="s">
        <v>42</v>
      </c>
      <c r="J448" s="5" t="s">
        <v>43</v>
      </c>
      <c r="K448" s="5">
        <v>8.7733785699E10</v>
      </c>
      <c r="L448" s="4" t="s">
        <v>44</v>
      </c>
      <c r="M448" s="5" t="s">
        <v>42</v>
      </c>
      <c r="N448" s="4" t="s">
        <v>45</v>
      </c>
      <c r="O448" s="4" t="s">
        <v>46</v>
      </c>
      <c r="P448" s="4" t="s">
        <v>187</v>
      </c>
      <c r="Q448" s="4">
        <v>16451.0</v>
      </c>
      <c r="R448" s="5" t="s">
        <v>2694</v>
      </c>
      <c r="S448" s="8">
        <v>46183.0</v>
      </c>
      <c r="T448" s="9">
        <v>0.375</v>
      </c>
      <c r="U448" s="9">
        <v>0.9166666666666666</v>
      </c>
      <c r="V448" s="4" t="s">
        <v>49</v>
      </c>
      <c r="W448" s="5">
        <v>1.0</v>
      </c>
      <c r="X448" s="5" t="b">
        <v>1</v>
      </c>
      <c r="Y448" s="5" t="s">
        <v>189</v>
      </c>
      <c r="Z448" s="5" t="b">
        <v>0</v>
      </c>
      <c r="AA448" s="10"/>
      <c r="AB448" s="4">
        <v>1.0</v>
      </c>
      <c r="AC448" s="11" t="s">
        <v>2695</v>
      </c>
      <c r="AD448" s="5">
        <v>0.0</v>
      </c>
      <c r="AE448" s="5">
        <v>1.0</v>
      </c>
      <c r="AF448" s="8">
        <v>46183.0</v>
      </c>
      <c r="AG448" s="9">
        <v>0.375</v>
      </c>
      <c r="AH448" s="9">
        <v>0.9166666666666666</v>
      </c>
      <c r="AI448" s="4" t="s">
        <v>49</v>
      </c>
      <c r="AJ448" s="5" t="s">
        <v>2696</v>
      </c>
      <c r="AK448" s="12"/>
      <c r="AL448" s="12">
        <v>46182.0</v>
      </c>
      <c r="AM448" s="12"/>
      <c r="AN448" s="12"/>
      <c r="AO448" s="12"/>
      <c r="AP448" s="12"/>
      <c r="AQ448" s="12"/>
    </row>
    <row r="449">
      <c r="A449" s="5" t="s">
        <v>2697</v>
      </c>
      <c r="B449" s="5">
        <v>1.1398423E7</v>
      </c>
      <c r="C449" s="5" t="s">
        <v>37</v>
      </c>
      <c r="D449" s="5" t="s">
        <v>2698</v>
      </c>
      <c r="E449" s="5" t="s">
        <v>39</v>
      </c>
      <c r="F449" s="5" t="s">
        <v>2699</v>
      </c>
      <c r="G449" s="15">
        <v>6.28596E17</v>
      </c>
      <c r="H449" s="5" t="s">
        <v>2700</v>
      </c>
      <c r="I449" s="5" t="s">
        <v>42</v>
      </c>
      <c r="J449" s="5" t="s">
        <v>43</v>
      </c>
      <c r="K449" s="5">
        <v>8.7733785699E10</v>
      </c>
      <c r="L449" s="4" t="s">
        <v>44</v>
      </c>
      <c r="M449" s="5" t="s">
        <v>42</v>
      </c>
      <c r="N449" s="4" t="s">
        <v>45</v>
      </c>
      <c r="O449" s="4" t="s">
        <v>46</v>
      </c>
      <c r="P449" s="4" t="s">
        <v>187</v>
      </c>
      <c r="Q449" s="4">
        <v>16451.0</v>
      </c>
      <c r="R449" s="5" t="s">
        <v>2701</v>
      </c>
      <c r="S449" s="8">
        <v>46183.0</v>
      </c>
      <c r="T449" s="9">
        <v>0.375</v>
      </c>
      <c r="U449" s="9">
        <v>0.9166666666666666</v>
      </c>
      <c r="V449" s="4" t="s">
        <v>49</v>
      </c>
      <c r="W449" s="5">
        <v>1.0</v>
      </c>
      <c r="X449" s="5" t="b">
        <v>1</v>
      </c>
      <c r="Y449" s="5" t="s">
        <v>189</v>
      </c>
      <c r="Z449" s="5" t="b">
        <v>0</v>
      </c>
      <c r="AA449" s="10"/>
      <c r="AB449" s="4">
        <v>1.0</v>
      </c>
      <c r="AC449" s="11" t="s">
        <v>2702</v>
      </c>
      <c r="AD449" s="5">
        <v>0.0</v>
      </c>
      <c r="AE449" s="5">
        <v>1.0</v>
      </c>
      <c r="AF449" s="8">
        <v>46183.0</v>
      </c>
      <c r="AG449" s="9">
        <v>0.375</v>
      </c>
      <c r="AH449" s="9">
        <v>0.9166666666666666</v>
      </c>
      <c r="AI449" s="4" t="s">
        <v>49</v>
      </c>
      <c r="AJ449" s="5" t="s">
        <v>2703</v>
      </c>
      <c r="AK449" s="12"/>
      <c r="AL449" s="12">
        <v>46182.0</v>
      </c>
      <c r="AM449" s="12"/>
      <c r="AN449" s="12"/>
      <c r="AO449" s="12"/>
      <c r="AP449" s="12"/>
      <c r="AQ449" s="12"/>
    </row>
    <row r="450">
      <c r="A450" s="5" t="s">
        <v>2704</v>
      </c>
      <c r="B450" s="5">
        <v>1.1398423E7</v>
      </c>
      <c r="C450" s="5" t="s">
        <v>37</v>
      </c>
      <c r="D450" s="5" t="s">
        <v>2705</v>
      </c>
      <c r="E450" s="5" t="s">
        <v>39</v>
      </c>
      <c r="F450" s="5" t="s">
        <v>2706</v>
      </c>
      <c r="G450" s="15">
        <v>6.28133E17</v>
      </c>
      <c r="H450" s="5" t="s">
        <v>2707</v>
      </c>
      <c r="I450" s="5" t="s">
        <v>42</v>
      </c>
      <c r="J450" s="5" t="s">
        <v>43</v>
      </c>
      <c r="K450" s="5">
        <v>8.7733785699E10</v>
      </c>
      <c r="L450" s="4" t="s">
        <v>44</v>
      </c>
      <c r="M450" s="5" t="s">
        <v>42</v>
      </c>
      <c r="N450" s="4" t="s">
        <v>45</v>
      </c>
      <c r="O450" s="4" t="s">
        <v>46</v>
      </c>
      <c r="P450" s="4" t="s">
        <v>187</v>
      </c>
      <c r="Q450" s="4">
        <v>16451.0</v>
      </c>
      <c r="R450" s="5" t="s">
        <v>2708</v>
      </c>
      <c r="S450" s="8">
        <v>46183.0</v>
      </c>
      <c r="T450" s="9">
        <v>0.375</v>
      </c>
      <c r="U450" s="9">
        <v>0.9166666666666666</v>
      </c>
      <c r="V450" s="4" t="s">
        <v>49</v>
      </c>
      <c r="W450" s="5">
        <v>1.0</v>
      </c>
      <c r="X450" s="5" t="b">
        <v>1</v>
      </c>
      <c r="Y450" s="5" t="s">
        <v>189</v>
      </c>
      <c r="Z450" s="5" t="b">
        <v>0</v>
      </c>
      <c r="AA450" s="10"/>
      <c r="AB450" s="4">
        <v>1.0</v>
      </c>
      <c r="AC450" s="11" t="s">
        <v>2709</v>
      </c>
      <c r="AD450" s="5">
        <v>0.0</v>
      </c>
      <c r="AE450" s="5">
        <v>1.0</v>
      </c>
      <c r="AF450" s="8">
        <v>46183.0</v>
      </c>
      <c r="AG450" s="9">
        <v>0.375</v>
      </c>
      <c r="AH450" s="9">
        <v>0.9166666666666666</v>
      </c>
      <c r="AI450" s="4" t="s">
        <v>49</v>
      </c>
      <c r="AJ450" s="5" t="s">
        <v>2710</v>
      </c>
      <c r="AK450" s="12"/>
      <c r="AL450" s="12">
        <v>46182.0</v>
      </c>
      <c r="AM450" s="12"/>
      <c r="AN450" s="12"/>
      <c r="AO450" s="12"/>
      <c r="AP450" s="12"/>
      <c r="AQ450" s="12"/>
    </row>
    <row r="451">
      <c r="A451" s="5" t="s">
        <v>2711</v>
      </c>
      <c r="B451" s="5">
        <v>1.1398423E7</v>
      </c>
      <c r="C451" s="5" t="s">
        <v>37</v>
      </c>
      <c r="D451" s="5" t="s">
        <v>2712</v>
      </c>
      <c r="E451" s="5" t="s">
        <v>39</v>
      </c>
      <c r="F451" s="5" t="s">
        <v>2713</v>
      </c>
      <c r="G451" s="15">
        <v>6.28786E17</v>
      </c>
      <c r="H451" s="5" t="s">
        <v>2714</v>
      </c>
      <c r="I451" s="5" t="s">
        <v>42</v>
      </c>
      <c r="J451" s="5" t="s">
        <v>43</v>
      </c>
      <c r="K451" s="5">
        <v>8.7733785699E10</v>
      </c>
      <c r="L451" s="4" t="s">
        <v>44</v>
      </c>
      <c r="M451" s="5" t="s">
        <v>42</v>
      </c>
      <c r="N451" s="4" t="s">
        <v>45</v>
      </c>
      <c r="O451" s="4" t="s">
        <v>46</v>
      </c>
      <c r="P451" s="4" t="s">
        <v>187</v>
      </c>
      <c r="Q451" s="4">
        <v>16451.0</v>
      </c>
      <c r="R451" s="5" t="s">
        <v>2715</v>
      </c>
      <c r="S451" s="8">
        <v>46183.0</v>
      </c>
      <c r="T451" s="9">
        <v>0.375</v>
      </c>
      <c r="U451" s="9">
        <v>0.9166666666666666</v>
      </c>
      <c r="V451" s="4" t="s">
        <v>49</v>
      </c>
      <c r="W451" s="5">
        <v>1.0</v>
      </c>
      <c r="X451" s="5" t="b">
        <v>1</v>
      </c>
      <c r="Y451" s="5" t="s">
        <v>189</v>
      </c>
      <c r="Z451" s="5" t="b">
        <v>0</v>
      </c>
      <c r="AA451" s="10"/>
      <c r="AB451" s="4">
        <v>1.0</v>
      </c>
      <c r="AC451" s="11" t="s">
        <v>2716</v>
      </c>
      <c r="AD451" s="5">
        <v>0.0</v>
      </c>
      <c r="AE451" s="5">
        <v>1.0</v>
      </c>
      <c r="AF451" s="8">
        <v>46183.0</v>
      </c>
      <c r="AG451" s="9">
        <v>0.375</v>
      </c>
      <c r="AH451" s="9">
        <v>0.9166666666666666</v>
      </c>
      <c r="AI451" s="4" t="s">
        <v>49</v>
      </c>
      <c r="AJ451" s="5" t="s">
        <v>2717</v>
      </c>
      <c r="AK451" s="12"/>
      <c r="AL451" s="12">
        <v>46182.0</v>
      </c>
      <c r="AM451" s="12"/>
      <c r="AN451" s="12"/>
      <c r="AO451" s="12"/>
      <c r="AP451" s="12"/>
      <c r="AQ451" s="12"/>
    </row>
    <row r="452">
      <c r="A452" s="5" t="s">
        <v>2718</v>
      </c>
      <c r="B452" s="5">
        <v>1.1398423E7</v>
      </c>
      <c r="C452" s="5" t="s">
        <v>37</v>
      </c>
      <c r="D452" s="5" t="s">
        <v>2719</v>
      </c>
      <c r="E452" s="5" t="s">
        <v>39</v>
      </c>
      <c r="F452" s="5" t="s">
        <v>2720</v>
      </c>
      <c r="G452" s="15">
        <v>6.28124E17</v>
      </c>
      <c r="H452" s="5" t="s">
        <v>2721</v>
      </c>
      <c r="I452" s="5" t="s">
        <v>42</v>
      </c>
      <c r="J452" s="5" t="s">
        <v>43</v>
      </c>
      <c r="K452" s="5">
        <v>8.7733785699E10</v>
      </c>
      <c r="L452" s="4" t="s">
        <v>44</v>
      </c>
      <c r="M452" s="5" t="s">
        <v>42</v>
      </c>
      <c r="N452" s="4" t="s">
        <v>45</v>
      </c>
      <c r="O452" s="4" t="s">
        <v>46</v>
      </c>
      <c r="P452" s="4" t="s">
        <v>187</v>
      </c>
      <c r="Q452" s="4">
        <v>16451.0</v>
      </c>
      <c r="R452" s="5" t="s">
        <v>2722</v>
      </c>
      <c r="S452" s="8">
        <v>46183.0</v>
      </c>
      <c r="T452" s="9">
        <v>0.375</v>
      </c>
      <c r="U452" s="9">
        <v>0.9166666666666666</v>
      </c>
      <c r="V452" s="4" t="s">
        <v>49</v>
      </c>
      <c r="W452" s="5">
        <v>1.0</v>
      </c>
      <c r="X452" s="5" t="b">
        <v>1</v>
      </c>
      <c r="Y452" s="5" t="s">
        <v>189</v>
      </c>
      <c r="Z452" s="5" t="b">
        <v>0</v>
      </c>
      <c r="AA452" s="10"/>
      <c r="AB452" s="4">
        <v>1.0</v>
      </c>
      <c r="AC452" s="11" t="s">
        <v>2723</v>
      </c>
      <c r="AD452" s="5">
        <v>0.0</v>
      </c>
      <c r="AE452" s="5">
        <v>1.0</v>
      </c>
      <c r="AF452" s="8">
        <v>46183.0</v>
      </c>
      <c r="AG452" s="9">
        <v>0.375</v>
      </c>
      <c r="AH452" s="9">
        <v>0.9166666666666666</v>
      </c>
      <c r="AI452" s="4" t="s">
        <v>49</v>
      </c>
      <c r="AJ452" s="5" t="s">
        <v>2724</v>
      </c>
      <c r="AK452" s="12"/>
      <c r="AL452" s="12">
        <v>46182.0</v>
      </c>
      <c r="AM452" s="12"/>
      <c r="AN452" s="12"/>
      <c r="AO452" s="12"/>
      <c r="AP452" s="12"/>
      <c r="AQ452" s="12"/>
    </row>
    <row r="453">
      <c r="A453" s="5" t="s">
        <v>2725</v>
      </c>
      <c r="B453" s="5">
        <v>1.1398423E7</v>
      </c>
      <c r="C453" s="5" t="s">
        <v>37</v>
      </c>
      <c r="D453" s="5" t="s">
        <v>2726</v>
      </c>
      <c r="E453" s="5" t="s">
        <v>39</v>
      </c>
      <c r="F453" s="5" t="s">
        <v>2727</v>
      </c>
      <c r="G453" s="15">
        <v>6.28222E17</v>
      </c>
      <c r="H453" s="5" t="s">
        <v>2728</v>
      </c>
      <c r="I453" s="5" t="s">
        <v>42</v>
      </c>
      <c r="J453" s="5" t="s">
        <v>43</v>
      </c>
      <c r="K453" s="5">
        <v>8.7733785699E10</v>
      </c>
      <c r="L453" s="4" t="s">
        <v>44</v>
      </c>
      <c r="M453" s="5" t="s">
        <v>42</v>
      </c>
      <c r="N453" s="4" t="s">
        <v>45</v>
      </c>
      <c r="O453" s="4" t="s">
        <v>46</v>
      </c>
      <c r="P453" s="4" t="s">
        <v>187</v>
      </c>
      <c r="Q453" s="4">
        <v>16451.0</v>
      </c>
      <c r="R453" s="5" t="s">
        <v>2729</v>
      </c>
      <c r="S453" s="8">
        <v>46183.0</v>
      </c>
      <c r="T453" s="9">
        <v>0.375</v>
      </c>
      <c r="U453" s="9">
        <v>0.9166666666666666</v>
      </c>
      <c r="V453" s="4" t="s">
        <v>49</v>
      </c>
      <c r="W453" s="5">
        <v>1.0</v>
      </c>
      <c r="X453" s="5" t="b">
        <v>1</v>
      </c>
      <c r="Y453" s="5" t="s">
        <v>189</v>
      </c>
      <c r="Z453" s="5" t="b">
        <v>0</v>
      </c>
      <c r="AA453" s="10"/>
      <c r="AB453" s="4">
        <v>1.0</v>
      </c>
      <c r="AC453" s="11" t="s">
        <v>2730</v>
      </c>
      <c r="AD453" s="5">
        <v>0.0</v>
      </c>
      <c r="AE453" s="5">
        <v>1.0</v>
      </c>
      <c r="AF453" s="8">
        <v>46183.0</v>
      </c>
      <c r="AG453" s="9">
        <v>0.375</v>
      </c>
      <c r="AH453" s="9">
        <v>0.9166666666666666</v>
      </c>
      <c r="AI453" s="4" t="s">
        <v>49</v>
      </c>
      <c r="AJ453" s="5" t="s">
        <v>2731</v>
      </c>
      <c r="AK453" s="12"/>
      <c r="AL453" s="12">
        <v>46182.0</v>
      </c>
      <c r="AM453" s="12"/>
      <c r="AN453" s="12"/>
      <c r="AO453" s="12"/>
      <c r="AP453" s="12"/>
      <c r="AQ453" s="12"/>
    </row>
    <row r="454">
      <c r="A454" s="5" t="s">
        <v>2732</v>
      </c>
      <c r="B454" s="5">
        <v>1.1398423E7</v>
      </c>
      <c r="C454" s="5" t="s">
        <v>37</v>
      </c>
      <c r="D454" s="5" t="s">
        <v>2199</v>
      </c>
      <c r="E454" s="5" t="s">
        <v>39</v>
      </c>
      <c r="F454" s="5" t="s">
        <v>2733</v>
      </c>
      <c r="G454" s="15">
        <v>6.28133E17</v>
      </c>
      <c r="H454" s="5" t="s">
        <v>2734</v>
      </c>
      <c r="I454" s="5" t="s">
        <v>42</v>
      </c>
      <c r="J454" s="5" t="s">
        <v>43</v>
      </c>
      <c r="K454" s="5">
        <v>8.7733785699E10</v>
      </c>
      <c r="L454" s="4" t="s">
        <v>44</v>
      </c>
      <c r="M454" s="5" t="s">
        <v>42</v>
      </c>
      <c r="N454" s="4" t="s">
        <v>45</v>
      </c>
      <c r="O454" s="4" t="s">
        <v>46</v>
      </c>
      <c r="P454" s="4" t="s">
        <v>187</v>
      </c>
      <c r="Q454" s="4">
        <v>16451.0</v>
      </c>
      <c r="R454" s="5" t="s">
        <v>2735</v>
      </c>
      <c r="S454" s="8">
        <v>46183.0</v>
      </c>
      <c r="T454" s="9">
        <v>0.375</v>
      </c>
      <c r="U454" s="9">
        <v>0.9166666666666666</v>
      </c>
      <c r="V454" s="4" t="s">
        <v>49</v>
      </c>
      <c r="W454" s="5">
        <v>1.0</v>
      </c>
      <c r="X454" s="5" t="b">
        <v>1</v>
      </c>
      <c r="Y454" s="5" t="s">
        <v>189</v>
      </c>
      <c r="Z454" s="5" t="b">
        <v>0</v>
      </c>
      <c r="AA454" s="10"/>
      <c r="AB454" s="4">
        <v>1.0</v>
      </c>
      <c r="AC454" s="11" t="s">
        <v>2736</v>
      </c>
      <c r="AD454" s="5">
        <v>0.0</v>
      </c>
      <c r="AE454" s="5">
        <v>1.0</v>
      </c>
      <c r="AF454" s="8">
        <v>46183.0</v>
      </c>
      <c r="AG454" s="9">
        <v>0.375</v>
      </c>
      <c r="AH454" s="9">
        <v>0.9166666666666666</v>
      </c>
      <c r="AI454" s="4" t="s">
        <v>49</v>
      </c>
      <c r="AJ454" s="5" t="s">
        <v>2737</v>
      </c>
      <c r="AK454" s="12"/>
      <c r="AL454" s="12">
        <v>46182.0</v>
      </c>
      <c r="AM454" s="12"/>
      <c r="AN454" s="12"/>
      <c r="AO454" s="12"/>
      <c r="AP454" s="12"/>
      <c r="AQ454" s="12"/>
    </row>
    <row r="455">
      <c r="A455" s="5" t="s">
        <v>2738</v>
      </c>
      <c r="B455" s="5">
        <v>1.1398423E7</v>
      </c>
      <c r="C455" s="5" t="s">
        <v>37</v>
      </c>
      <c r="D455" s="5" t="s">
        <v>2739</v>
      </c>
      <c r="E455" s="5" t="s">
        <v>39</v>
      </c>
      <c r="F455" s="5" t="s">
        <v>2740</v>
      </c>
      <c r="G455" s="15">
        <v>6.28787E17</v>
      </c>
      <c r="H455" s="5" t="s">
        <v>2741</v>
      </c>
      <c r="I455" s="5" t="s">
        <v>42</v>
      </c>
      <c r="J455" s="5" t="s">
        <v>43</v>
      </c>
      <c r="K455" s="5">
        <v>8.7733785699E10</v>
      </c>
      <c r="L455" s="4" t="s">
        <v>44</v>
      </c>
      <c r="M455" s="5" t="s">
        <v>42</v>
      </c>
      <c r="N455" s="4" t="s">
        <v>45</v>
      </c>
      <c r="O455" s="4" t="s">
        <v>46</v>
      </c>
      <c r="P455" s="4" t="s">
        <v>187</v>
      </c>
      <c r="Q455" s="4">
        <v>16451.0</v>
      </c>
      <c r="R455" s="5" t="s">
        <v>2742</v>
      </c>
      <c r="S455" s="8">
        <v>46183.0</v>
      </c>
      <c r="T455" s="9">
        <v>0.375</v>
      </c>
      <c r="U455" s="9">
        <v>0.9166666666666666</v>
      </c>
      <c r="V455" s="4" t="s">
        <v>49</v>
      </c>
      <c r="W455" s="5">
        <v>1.0</v>
      </c>
      <c r="X455" s="5" t="b">
        <v>1</v>
      </c>
      <c r="Y455" s="5" t="s">
        <v>189</v>
      </c>
      <c r="Z455" s="5" t="b">
        <v>0</v>
      </c>
      <c r="AA455" s="10"/>
      <c r="AB455" s="4">
        <v>1.0</v>
      </c>
      <c r="AC455" s="11" t="s">
        <v>2743</v>
      </c>
      <c r="AD455" s="5">
        <v>0.0</v>
      </c>
      <c r="AE455" s="5">
        <v>1.0</v>
      </c>
      <c r="AF455" s="8">
        <v>46183.0</v>
      </c>
      <c r="AG455" s="9">
        <v>0.375</v>
      </c>
      <c r="AH455" s="9">
        <v>0.9166666666666666</v>
      </c>
      <c r="AI455" s="4" t="s">
        <v>49</v>
      </c>
      <c r="AJ455" s="5" t="s">
        <v>2744</v>
      </c>
      <c r="AK455" s="12"/>
      <c r="AL455" s="12">
        <v>46182.0</v>
      </c>
      <c r="AM455" s="12"/>
      <c r="AN455" s="12"/>
      <c r="AO455" s="12"/>
      <c r="AP455" s="12"/>
      <c r="AQ455" s="12"/>
    </row>
    <row r="456">
      <c r="A456" s="5" t="s">
        <v>2745</v>
      </c>
      <c r="B456" s="5">
        <v>1.1398423E7</v>
      </c>
      <c r="C456" s="5" t="s">
        <v>37</v>
      </c>
      <c r="D456" s="5" t="s">
        <v>2746</v>
      </c>
      <c r="E456" s="5" t="s">
        <v>39</v>
      </c>
      <c r="F456" s="5" t="s">
        <v>2747</v>
      </c>
      <c r="G456" s="15">
        <v>6.28122E18</v>
      </c>
      <c r="H456" s="5" t="s">
        <v>2748</v>
      </c>
      <c r="I456" s="5" t="s">
        <v>42</v>
      </c>
      <c r="J456" s="5" t="s">
        <v>43</v>
      </c>
      <c r="K456" s="5">
        <v>8.7733785699E10</v>
      </c>
      <c r="L456" s="4" t="s">
        <v>44</v>
      </c>
      <c r="M456" s="5" t="s">
        <v>42</v>
      </c>
      <c r="N456" s="4" t="s">
        <v>45</v>
      </c>
      <c r="O456" s="4" t="s">
        <v>46</v>
      </c>
      <c r="P456" s="4" t="s">
        <v>187</v>
      </c>
      <c r="Q456" s="4">
        <v>16451.0</v>
      </c>
      <c r="R456" s="5" t="s">
        <v>2749</v>
      </c>
      <c r="S456" s="8">
        <v>46183.0</v>
      </c>
      <c r="T456" s="9">
        <v>0.375</v>
      </c>
      <c r="U456" s="9">
        <v>0.9166666666666666</v>
      </c>
      <c r="V456" s="4" t="s">
        <v>49</v>
      </c>
      <c r="W456" s="5">
        <v>1.0</v>
      </c>
      <c r="X456" s="5" t="b">
        <v>1</v>
      </c>
      <c r="Y456" s="5" t="s">
        <v>189</v>
      </c>
      <c r="Z456" s="5" t="b">
        <v>0</v>
      </c>
      <c r="AA456" s="10"/>
      <c r="AB456" s="4">
        <v>1.0</v>
      </c>
      <c r="AC456" s="11" t="s">
        <v>2750</v>
      </c>
      <c r="AD456" s="5">
        <v>0.0</v>
      </c>
      <c r="AE456" s="5">
        <v>1.0</v>
      </c>
      <c r="AF456" s="8">
        <v>46183.0</v>
      </c>
      <c r="AG456" s="9">
        <v>0.375</v>
      </c>
      <c r="AH456" s="9">
        <v>0.9166666666666666</v>
      </c>
      <c r="AI456" s="4" t="s">
        <v>49</v>
      </c>
      <c r="AJ456" s="5" t="s">
        <v>2751</v>
      </c>
      <c r="AK456" s="12"/>
      <c r="AL456" s="12">
        <v>46182.0</v>
      </c>
      <c r="AM456" s="12"/>
      <c r="AN456" s="12"/>
      <c r="AO456" s="12"/>
      <c r="AP456" s="12"/>
      <c r="AQ456" s="12"/>
    </row>
    <row r="457">
      <c r="A457" s="5" t="s">
        <v>2752</v>
      </c>
      <c r="B457" s="5">
        <v>1.1398423E7</v>
      </c>
      <c r="C457" s="5" t="s">
        <v>37</v>
      </c>
      <c r="D457" s="5" t="s">
        <v>2753</v>
      </c>
      <c r="E457" s="5" t="s">
        <v>39</v>
      </c>
      <c r="F457" s="5" t="s">
        <v>2754</v>
      </c>
      <c r="G457" s="15">
        <v>6.28993E16</v>
      </c>
      <c r="H457" s="5" t="s">
        <v>2755</v>
      </c>
      <c r="I457" s="5" t="s">
        <v>42</v>
      </c>
      <c r="J457" s="5" t="s">
        <v>43</v>
      </c>
      <c r="K457" s="5">
        <v>8.7733785699E10</v>
      </c>
      <c r="L457" s="4" t="s">
        <v>44</v>
      </c>
      <c r="M457" s="5" t="s">
        <v>42</v>
      </c>
      <c r="N457" s="4" t="s">
        <v>45</v>
      </c>
      <c r="O457" s="4" t="s">
        <v>46</v>
      </c>
      <c r="P457" s="4" t="s">
        <v>187</v>
      </c>
      <c r="Q457" s="4">
        <v>16451.0</v>
      </c>
      <c r="R457" s="5" t="s">
        <v>2756</v>
      </c>
      <c r="S457" s="8">
        <v>46183.0</v>
      </c>
      <c r="T457" s="9">
        <v>0.375</v>
      </c>
      <c r="U457" s="9">
        <v>0.9166666666666666</v>
      </c>
      <c r="V457" s="4" t="s">
        <v>49</v>
      </c>
      <c r="W457" s="5">
        <v>1.0</v>
      </c>
      <c r="X457" s="5" t="b">
        <v>1</v>
      </c>
      <c r="Y457" s="5" t="s">
        <v>189</v>
      </c>
      <c r="Z457" s="5" t="b">
        <v>0</v>
      </c>
      <c r="AA457" s="10"/>
      <c r="AB457" s="4">
        <v>1.0</v>
      </c>
      <c r="AC457" s="11" t="s">
        <v>2757</v>
      </c>
      <c r="AD457" s="5">
        <v>0.0</v>
      </c>
      <c r="AE457" s="5">
        <v>1.0</v>
      </c>
      <c r="AF457" s="8">
        <v>46183.0</v>
      </c>
      <c r="AG457" s="9">
        <v>0.375</v>
      </c>
      <c r="AH457" s="9">
        <v>0.9166666666666666</v>
      </c>
      <c r="AI457" s="4" t="s">
        <v>49</v>
      </c>
      <c r="AJ457" s="5" t="s">
        <v>2758</v>
      </c>
      <c r="AK457" s="12"/>
      <c r="AL457" s="12">
        <v>46182.0</v>
      </c>
      <c r="AM457" s="12"/>
      <c r="AN457" s="12"/>
      <c r="AO457" s="12"/>
      <c r="AP457" s="12"/>
      <c r="AQ457" s="12"/>
    </row>
    <row r="458">
      <c r="A458" s="5" t="s">
        <v>2759</v>
      </c>
      <c r="B458" s="5">
        <v>1.1398423E7</v>
      </c>
      <c r="C458" s="5" t="s">
        <v>37</v>
      </c>
      <c r="D458" s="5" t="s">
        <v>2199</v>
      </c>
      <c r="E458" s="5" t="s">
        <v>39</v>
      </c>
      <c r="F458" s="5" t="s">
        <v>2760</v>
      </c>
      <c r="G458" s="15">
        <v>6.28786E17</v>
      </c>
      <c r="H458" s="5" t="s">
        <v>2761</v>
      </c>
      <c r="I458" s="5" t="s">
        <v>42</v>
      </c>
      <c r="J458" s="5" t="s">
        <v>43</v>
      </c>
      <c r="K458" s="5">
        <v>8.7733785699E10</v>
      </c>
      <c r="L458" s="4" t="s">
        <v>44</v>
      </c>
      <c r="M458" s="5" t="s">
        <v>42</v>
      </c>
      <c r="N458" s="4" t="s">
        <v>45</v>
      </c>
      <c r="O458" s="4" t="s">
        <v>46</v>
      </c>
      <c r="P458" s="4" t="s">
        <v>187</v>
      </c>
      <c r="Q458" s="4">
        <v>16451.0</v>
      </c>
      <c r="R458" s="5" t="s">
        <v>2762</v>
      </c>
      <c r="S458" s="8">
        <v>46183.0</v>
      </c>
      <c r="T458" s="9">
        <v>0.375</v>
      </c>
      <c r="U458" s="9">
        <v>0.9166666666666666</v>
      </c>
      <c r="V458" s="4" t="s">
        <v>49</v>
      </c>
      <c r="W458" s="5">
        <v>1.0</v>
      </c>
      <c r="X458" s="5" t="b">
        <v>1</v>
      </c>
      <c r="Y458" s="5" t="s">
        <v>189</v>
      </c>
      <c r="Z458" s="5" t="b">
        <v>0</v>
      </c>
      <c r="AA458" s="10"/>
      <c r="AB458" s="4">
        <v>1.0</v>
      </c>
      <c r="AC458" s="11" t="s">
        <v>2763</v>
      </c>
      <c r="AD458" s="5">
        <v>0.0</v>
      </c>
      <c r="AE458" s="5">
        <v>1.0</v>
      </c>
      <c r="AF458" s="8">
        <v>46183.0</v>
      </c>
      <c r="AG458" s="9">
        <v>0.375</v>
      </c>
      <c r="AH458" s="9">
        <v>0.9166666666666666</v>
      </c>
      <c r="AI458" s="4" t="s">
        <v>49</v>
      </c>
      <c r="AJ458" s="5" t="s">
        <v>2764</v>
      </c>
      <c r="AK458" s="12"/>
      <c r="AL458" s="12">
        <v>46182.0</v>
      </c>
      <c r="AM458" s="12"/>
      <c r="AN458" s="12"/>
      <c r="AO458" s="12"/>
      <c r="AP458" s="12"/>
      <c r="AQ458" s="12"/>
    </row>
    <row r="459">
      <c r="A459" s="5" t="s">
        <v>2765</v>
      </c>
      <c r="B459" s="5">
        <v>1.1398423E7</v>
      </c>
      <c r="C459" s="5" t="s">
        <v>37</v>
      </c>
      <c r="D459" s="5" t="s">
        <v>2766</v>
      </c>
      <c r="E459" s="5" t="s">
        <v>39</v>
      </c>
      <c r="F459" s="5" t="s">
        <v>2767</v>
      </c>
      <c r="G459" s="15">
        <v>6.28194E17</v>
      </c>
      <c r="H459" s="5" t="s">
        <v>2768</v>
      </c>
      <c r="I459" s="5" t="s">
        <v>42</v>
      </c>
      <c r="J459" s="5" t="s">
        <v>43</v>
      </c>
      <c r="K459" s="5">
        <v>8.7733785699E10</v>
      </c>
      <c r="L459" s="4" t="s">
        <v>44</v>
      </c>
      <c r="M459" s="5" t="s">
        <v>42</v>
      </c>
      <c r="N459" s="4" t="s">
        <v>45</v>
      </c>
      <c r="O459" s="4" t="s">
        <v>46</v>
      </c>
      <c r="P459" s="4" t="s">
        <v>187</v>
      </c>
      <c r="Q459" s="4">
        <v>16451.0</v>
      </c>
      <c r="R459" s="5" t="s">
        <v>2769</v>
      </c>
      <c r="S459" s="8">
        <v>46183.0</v>
      </c>
      <c r="T459" s="9">
        <v>0.375</v>
      </c>
      <c r="U459" s="9">
        <v>0.9166666666666666</v>
      </c>
      <c r="V459" s="4" t="s">
        <v>49</v>
      </c>
      <c r="W459" s="5">
        <v>1.0</v>
      </c>
      <c r="X459" s="5" t="b">
        <v>1</v>
      </c>
      <c r="Y459" s="5" t="s">
        <v>189</v>
      </c>
      <c r="Z459" s="5" t="b">
        <v>0</v>
      </c>
      <c r="AA459" s="10"/>
      <c r="AB459" s="4">
        <v>1.0</v>
      </c>
      <c r="AC459" s="11" t="s">
        <v>2770</v>
      </c>
      <c r="AD459" s="5">
        <v>0.0</v>
      </c>
      <c r="AE459" s="5">
        <v>1.0</v>
      </c>
      <c r="AF459" s="8">
        <v>46183.0</v>
      </c>
      <c r="AG459" s="9">
        <v>0.375</v>
      </c>
      <c r="AH459" s="9">
        <v>0.9166666666666666</v>
      </c>
      <c r="AI459" s="4" t="s">
        <v>49</v>
      </c>
      <c r="AJ459" s="5" t="s">
        <v>2771</v>
      </c>
      <c r="AK459" s="12"/>
      <c r="AL459" s="12">
        <v>46182.0</v>
      </c>
      <c r="AM459" s="12"/>
      <c r="AN459" s="12"/>
      <c r="AO459" s="12"/>
      <c r="AP459" s="12"/>
      <c r="AQ459" s="12"/>
    </row>
    <row r="460">
      <c r="A460" s="5" t="s">
        <v>2772</v>
      </c>
      <c r="B460" s="5">
        <v>1.1398423E7</v>
      </c>
      <c r="C460" s="5" t="s">
        <v>37</v>
      </c>
      <c r="D460" s="5" t="s">
        <v>2773</v>
      </c>
      <c r="E460" s="5" t="s">
        <v>39</v>
      </c>
      <c r="F460" s="5" t="s">
        <v>2774</v>
      </c>
      <c r="G460" s="15">
        <v>6.28124E17</v>
      </c>
      <c r="H460" s="5" t="s">
        <v>2775</v>
      </c>
      <c r="I460" s="5" t="s">
        <v>42</v>
      </c>
      <c r="J460" s="5" t="s">
        <v>43</v>
      </c>
      <c r="K460" s="5">
        <v>8.7733785699E10</v>
      </c>
      <c r="L460" s="4" t="s">
        <v>44</v>
      </c>
      <c r="M460" s="5" t="s">
        <v>42</v>
      </c>
      <c r="N460" s="4" t="s">
        <v>45</v>
      </c>
      <c r="O460" s="4" t="s">
        <v>46</v>
      </c>
      <c r="P460" s="4" t="s">
        <v>187</v>
      </c>
      <c r="Q460" s="4">
        <v>16451.0</v>
      </c>
      <c r="R460" s="5" t="s">
        <v>2776</v>
      </c>
      <c r="S460" s="8">
        <v>46183.0</v>
      </c>
      <c r="T460" s="9">
        <v>0.375</v>
      </c>
      <c r="U460" s="9">
        <v>0.9166666666666666</v>
      </c>
      <c r="V460" s="4" t="s">
        <v>49</v>
      </c>
      <c r="W460" s="5">
        <v>1.0</v>
      </c>
      <c r="X460" s="5" t="b">
        <v>1</v>
      </c>
      <c r="Y460" s="5" t="s">
        <v>189</v>
      </c>
      <c r="Z460" s="5" t="b">
        <v>0</v>
      </c>
      <c r="AA460" s="10"/>
      <c r="AB460" s="4">
        <v>1.0</v>
      </c>
      <c r="AC460" s="11" t="s">
        <v>2777</v>
      </c>
      <c r="AD460" s="5">
        <v>0.0</v>
      </c>
      <c r="AE460" s="5">
        <v>1.0</v>
      </c>
      <c r="AF460" s="8">
        <v>46183.0</v>
      </c>
      <c r="AG460" s="9">
        <v>0.375</v>
      </c>
      <c r="AH460" s="9">
        <v>0.9166666666666666</v>
      </c>
      <c r="AI460" s="4" t="s">
        <v>49</v>
      </c>
      <c r="AJ460" s="5" t="s">
        <v>2778</v>
      </c>
      <c r="AK460" s="12"/>
      <c r="AL460" s="12">
        <v>46182.0</v>
      </c>
      <c r="AM460" s="12"/>
      <c r="AN460" s="12"/>
      <c r="AO460" s="12"/>
      <c r="AP460" s="12"/>
      <c r="AQ460" s="12"/>
    </row>
    <row r="461">
      <c r="A461" s="5" t="s">
        <v>2779</v>
      </c>
      <c r="B461" s="5">
        <v>1.1398423E7</v>
      </c>
      <c r="C461" s="5" t="s">
        <v>37</v>
      </c>
      <c r="D461" s="5" t="s">
        <v>2780</v>
      </c>
      <c r="E461" s="5" t="s">
        <v>39</v>
      </c>
      <c r="F461" s="5" t="s">
        <v>2781</v>
      </c>
      <c r="G461" s="15">
        <v>6.28233E17</v>
      </c>
      <c r="H461" s="5" t="s">
        <v>2782</v>
      </c>
      <c r="I461" s="5" t="s">
        <v>42</v>
      </c>
      <c r="J461" s="5" t="s">
        <v>43</v>
      </c>
      <c r="K461" s="5">
        <v>8.7733785699E10</v>
      </c>
      <c r="L461" s="4" t="s">
        <v>44</v>
      </c>
      <c r="M461" s="5" t="s">
        <v>42</v>
      </c>
      <c r="N461" s="4" t="s">
        <v>45</v>
      </c>
      <c r="O461" s="4" t="s">
        <v>46</v>
      </c>
      <c r="P461" s="4" t="s">
        <v>187</v>
      </c>
      <c r="Q461" s="4">
        <v>16451.0</v>
      </c>
      <c r="R461" s="5" t="s">
        <v>2783</v>
      </c>
      <c r="S461" s="8">
        <v>46183.0</v>
      </c>
      <c r="T461" s="9">
        <v>0.375</v>
      </c>
      <c r="U461" s="9">
        <v>0.9166666666666666</v>
      </c>
      <c r="V461" s="4" t="s">
        <v>49</v>
      </c>
      <c r="W461" s="5">
        <v>1.0</v>
      </c>
      <c r="X461" s="5" t="b">
        <v>1</v>
      </c>
      <c r="Y461" s="5" t="s">
        <v>189</v>
      </c>
      <c r="Z461" s="5" t="b">
        <v>0</v>
      </c>
      <c r="AA461" s="10"/>
      <c r="AB461" s="4">
        <v>1.0</v>
      </c>
      <c r="AC461" s="11" t="s">
        <v>2784</v>
      </c>
      <c r="AD461" s="5">
        <v>0.0</v>
      </c>
      <c r="AE461" s="5">
        <v>1.0</v>
      </c>
      <c r="AF461" s="8">
        <v>46183.0</v>
      </c>
      <c r="AG461" s="9">
        <v>0.375</v>
      </c>
      <c r="AH461" s="9">
        <v>0.9166666666666666</v>
      </c>
      <c r="AI461" s="4" t="s">
        <v>49</v>
      </c>
      <c r="AJ461" s="5" t="s">
        <v>2785</v>
      </c>
      <c r="AK461" s="12"/>
      <c r="AL461" s="12">
        <v>46182.0</v>
      </c>
      <c r="AM461" s="12"/>
      <c r="AN461" s="12"/>
      <c r="AO461" s="12"/>
      <c r="AP461" s="12"/>
      <c r="AQ461" s="12"/>
    </row>
    <row r="462">
      <c r="A462" s="5" t="s">
        <v>2786</v>
      </c>
      <c r="B462" s="5">
        <v>1.1398423E7</v>
      </c>
      <c r="C462" s="5" t="s">
        <v>37</v>
      </c>
      <c r="D462" s="5" t="s">
        <v>2787</v>
      </c>
      <c r="E462" s="5" t="s">
        <v>39</v>
      </c>
      <c r="F462" s="5" t="s">
        <v>2788</v>
      </c>
      <c r="G462" s="15">
        <v>6.28128E17</v>
      </c>
      <c r="H462" s="5" t="s">
        <v>2789</v>
      </c>
      <c r="I462" s="5" t="s">
        <v>42</v>
      </c>
      <c r="J462" s="5" t="s">
        <v>43</v>
      </c>
      <c r="K462" s="5">
        <v>8.7733785699E10</v>
      </c>
      <c r="L462" s="4" t="s">
        <v>44</v>
      </c>
      <c r="M462" s="5" t="s">
        <v>42</v>
      </c>
      <c r="N462" s="4" t="s">
        <v>45</v>
      </c>
      <c r="O462" s="4" t="s">
        <v>46</v>
      </c>
      <c r="P462" s="4" t="s">
        <v>187</v>
      </c>
      <c r="Q462" s="4">
        <v>16451.0</v>
      </c>
      <c r="R462" s="5" t="s">
        <v>2790</v>
      </c>
      <c r="S462" s="8">
        <v>46183.0</v>
      </c>
      <c r="T462" s="9">
        <v>0.375</v>
      </c>
      <c r="U462" s="9">
        <v>0.9166666666666666</v>
      </c>
      <c r="V462" s="4" t="s">
        <v>49</v>
      </c>
      <c r="W462" s="5">
        <v>1.0</v>
      </c>
      <c r="X462" s="5" t="b">
        <v>1</v>
      </c>
      <c r="Y462" s="5" t="s">
        <v>189</v>
      </c>
      <c r="Z462" s="5" t="b">
        <v>0</v>
      </c>
      <c r="AA462" s="10"/>
      <c r="AB462" s="4">
        <v>1.0</v>
      </c>
      <c r="AC462" s="11" t="s">
        <v>2791</v>
      </c>
      <c r="AD462" s="5">
        <v>0.0</v>
      </c>
      <c r="AE462" s="5">
        <v>1.0</v>
      </c>
      <c r="AF462" s="8">
        <v>46183.0</v>
      </c>
      <c r="AG462" s="9">
        <v>0.375</v>
      </c>
      <c r="AH462" s="9">
        <v>0.9166666666666666</v>
      </c>
      <c r="AI462" s="4" t="s">
        <v>49</v>
      </c>
      <c r="AJ462" s="5" t="s">
        <v>2792</v>
      </c>
      <c r="AK462" s="12"/>
      <c r="AL462" s="12">
        <v>46182.0</v>
      </c>
      <c r="AM462" s="12"/>
      <c r="AN462" s="12"/>
      <c r="AO462" s="12"/>
      <c r="AP462" s="12"/>
      <c r="AQ462" s="12"/>
    </row>
    <row r="463">
      <c r="A463" s="5" t="s">
        <v>2793</v>
      </c>
      <c r="B463" s="5">
        <v>1.1398423E7</v>
      </c>
      <c r="C463" s="5" t="s">
        <v>37</v>
      </c>
      <c r="D463" s="5" t="s">
        <v>2787</v>
      </c>
      <c r="E463" s="5" t="s">
        <v>39</v>
      </c>
      <c r="F463" s="5" t="s">
        <v>2788</v>
      </c>
      <c r="G463" s="15">
        <v>6.28128E17</v>
      </c>
      <c r="H463" s="5" t="s">
        <v>2789</v>
      </c>
      <c r="I463" s="5" t="s">
        <v>42</v>
      </c>
      <c r="J463" s="5" t="s">
        <v>43</v>
      </c>
      <c r="K463" s="5">
        <v>8.7733785699E10</v>
      </c>
      <c r="L463" s="4" t="s">
        <v>44</v>
      </c>
      <c r="M463" s="5" t="s">
        <v>42</v>
      </c>
      <c r="N463" s="4" t="s">
        <v>45</v>
      </c>
      <c r="O463" s="4" t="s">
        <v>46</v>
      </c>
      <c r="P463" s="4" t="s">
        <v>187</v>
      </c>
      <c r="Q463" s="4">
        <v>16451.0</v>
      </c>
      <c r="R463" s="5" t="s">
        <v>2790</v>
      </c>
      <c r="S463" s="8">
        <v>46183.0</v>
      </c>
      <c r="T463" s="9">
        <v>0.375</v>
      </c>
      <c r="U463" s="9">
        <v>0.9166666666666666</v>
      </c>
      <c r="V463" s="4" t="s">
        <v>49</v>
      </c>
      <c r="W463" s="5">
        <v>1.0</v>
      </c>
      <c r="X463" s="5" t="b">
        <v>1</v>
      </c>
      <c r="Y463" s="5" t="s">
        <v>189</v>
      </c>
      <c r="Z463" s="5" t="b">
        <v>0</v>
      </c>
      <c r="AA463" s="10"/>
      <c r="AB463" s="4">
        <v>1.0</v>
      </c>
      <c r="AC463" s="11" t="s">
        <v>2794</v>
      </c>
      <c r="AD463" s="5">
        <v>0.0</v>
      </c>
      <c r="AE463" s="5">
        <v>1.0</v>
      </c>
      <c r="AF463" s="8">
        <v>46183.0</v>
      </c>
      <c r="AG463" s="9">
        <v>0.375</v>
      </c>
      <c r="AH463" s="9">
        <v>0.9166666666666666</v>
      </c>
      <c r="AI463" s="4" t="s">
        <v>49</v>
      </c>
      <c r="AJ463" s="5" t="s">
        <v>2792</v>
      </c>
      <c r="AK463" s="12"/>
      <c r="AL463" s="12">
        <v>46182.0</v>
      </c>
      <c r="AM463" s="12"/>
      <c r="AN463" s="12"/>
      <c r="AO463" s="12"/>
      <c r="AP463" s="12"/>
      <c r="AQ463" s="12"/>
    </row>
    <row r="464">
      <c r="A464" s="5" t="s">
        <v>2795</v>
      </c>
      <c r="B464" s="5">
        <v>1.1398423E7</v>
      </c>
      <c r="C464" s="5" t="s">
        <v>37</v>
      </c>
      <c r="D464" s="5" t="s">
        <v>2796</v>
      </c>
      <c r="E464" s="5" t="s">
        <v>39</v>
      </c>
      <c r="F464" s="5" t="s">
        <v>2788</v>
      </c>
      <c r="G464" s="15">
        <v>6.28128E17</v>
      </c>
      <c r="H464" s="5" t="s">
        <v>2789</v>
      </c>
      <c r="I464" s="5" t="s">
        <v>42</v>
      </c>
      <c r="J464" s="5" t="s">
        <v>43</v>
      </c>
      <c r="K464" s="5">
        <v>8.7733785699E10</v>
      </c>
      <c r="L464" s="4" t="s">
        <v>44</v>
      </c>
      <c r="M464" s="5" t="s">
        <v>42</v>
      </c>
      <c r="N464" s="4" t="s">
        <v>45</v>
      </c>
      <c r="O464" s="4" t="s">
        <v>46</v>
      </c>
      <c r="P464" s="4" t="s">
        <v>187</v>
      </c>
      <c r="Q464" s="4">
        <v>16451.0</v>
      </c>
      <c r="R464" s="5" t="s">
        <v>2797</v>
      </c>
      <c r="S464" s="8">
        <v>46183.0</v>
      </c>
      <c r="T464" s="9">
        <v>0.375</v>
      </c>
      <c r="U464" s="9">
        <v>0.9166666666666666</v>
      </c>
      <c r="V464" s="4" t="s">
        <v>49</v>
      </c>
      <c r="W464" s="5">
        <v>1.0</v>
      </c>
      <c r="X464" s="5" t="b">
        <v>1</v>
      </c>
      <c r="Y464" s="5" t="s">
        <v>189</v>
      </c>
      <c r="Z464" s="5" t="b">
        <v>0</v>
      </c>
      <c r="AA464" s="10"/>
      <c r="AB464" s="4">
        <v>1.0</v>
      </c>
      <c r="AC464" s="11" t="s">
        <v>2798</v>
      </c>
      <c r="AD464" s="5">
        <v>0.0</v>
      </c>
      <c r="AE464" s="5">
        <v>1.0</v>
      </c>
      <c r="AF464" s="8">
        <v>46183.0</v>
      </c>
      <c r="AG464" s="9">
        <v>0.375</v>
      </c>
      <c r="AH464" s="9">
        <v>0.9166666666666666</v>
      </c>
      <c r="AI464" s="4" t="s">
        <v>49</v>
      </c>
      <c r="AJ464" s="5" t="s">
        <v>2799</v>
      </c>
      <c r="AK464" s="12"/>
      <c r="AL464" s="12">
        <v>46182.0</v>
      </c>
      <c r="AM464" s="12"/>
      <c r="AN464" s="12"/>
      <c r="AO464" s="12"/>
      <c r="AP464" s="12"/>
      <c r="AQ464" s="12"/>
    </row>
    <row r="465">
      <c r="A465" s="5" t="s">
        <v>2800</v>
      </c>
      <c r="B465" s="5">
        <v>1.1398423E7</v>
      </c>
      <c r="C465" s="5" t="s">
        <v>37</v>
      </c>
      <c r="D465" s="5" t="s">
        <v>2801</v>
      </c>
      <c r="E465" s="5" t="s">
        <v>39</v>
      </c>
      <c r="F465" s="5" t="s">
        <v>2802</v>
      </c>
      <c r="G465" s="15">
        <v>6.28214E17</v>
      </c>
      <c r="H465" s="5" t="s">
        <v>2803</v>
      </c>
      <c r="I465" s="5" t="s">
        <v>42</v>
      </c>
      <c r="J465" s="5" t="s">
        <v>43</v>
      </c>
      <c r="K465" s="5">
        <v>8.7733785699E10</v>
      </c>
      <c r="L465" s="4" t="s">
        <v>44</v>
      </c>
      <c r="M465" s="5" t="s">
        <v>42</v>
      </c>
      <c r="N465" s="4" t="s">
        <v>45</v>
      </c>
      <c r="O465" s="4" t="s">
        <v>46</v>
      </c>
      <c r="P465" s="4" t="s">
        <v>187</v>
      </c>
      <c r="Q465" s="4">
        <v>16451.0</v>
      </c>
      <c r="R465" s="5" t="s">
        <v>2804</v>
      </c>
      <c r="S465" s="8">
        <v>46183.0</v>
      </c>
      <c r="T465" s="9">
        <v>0.375</v>
      </c>
      <c r="U465" s="9">
        <v>0.9166666666666666</v>
      </c>
      <c r="V465" s="4" t="s">
        <v>49</v>
      </c>
      <c r="W465" s="5">
        <v>1.0</v>
      </c>
      <c r="X465" s="5" t="b">
        <v>1</v>
      </c>
      <c r="Y465" s="5" t="s">
        <v>189</v>
      </c>
      <c r="Z465" s="5" t="b">
        <v>0</v>
      </c>
      <c r="AA465" s="10"/>
      <c r="AB465" s="4">
        <v>1.0</v>
      </c>
      <c r="AC465" s="11" t="s">
        <v>2805</v>
      </c>
      <c r="AD465" s="5">
        <v>0.0</v>
      </c>
      <c r="AE465" s="5">
        <v>1.0</v>
      </c>
      <c r="AF465" s="8">
        <v>46183.0</v>
      </c>
      <c r="AG465" s="9">
        <v>0.375</v>
      </c>
      <c r="AH465" s="9">
        <v>0.9166666666666666</v>
      </c>
      <c r="AI465" s="4" t="s">
        <v>49</v>
      </c>
      <c r="AJ465" s="5" t="s">
        <v>2806</v>
      </c>
      <c r="AK465" s="12"/>
      <c r="AL465" s="12">
        <v>46182.0</v>
      </c>
      <c r="AM465" s="12"/>
      <c r="AN465" s="12"/>
      <c r="AO465" s="12"/>
      <c r="AP465" s="12"/>
      <c r="AQ465" s="12"/>
    </row>
    <row r="466">
      <c r="A466" s="5" t="s">
        <v>2807</v>
      </c>
      <c r="B466" s="5">
        <v>1.1398423E7</v>
      </c>
      <c r="C466" s="5" t="s">
        <v>37</v>
      </c>
      <c r="D466" s="5" t="s">
        <v>2808</v>
      </c>
      <c r="E466" s="5" t="s">
        <v>39</v>
      </c>
      <c r="F466" s="5" t="s">
        <v>2809</v>
      </c>
      <c r="G466" s="15">
        <v>6.28134E17</v>
      </c>
      <c r="H466" s="5" t="s">
        <v>2810</v>
      </c>
      <c r="I466" s="5" t="s">
        <v>42</v>
      </c>
      <c r="J466" s="5" t="s">
        <v>43</v>
      </c>
      <c r="K466" s="5">
        <v>8.7733785699E10</v>
      </c>
      <c r="L466" s="4" t="s">
        <v>44</v>
      </c>
      <c r="M466" s="5" t="s">
        <v>42</v>
      </c>
      <c r="N466" s="4" t="s">
        <v>45</v>
      </c>
      <c r="O466" s="4" t="s">
        <v>46</v>
      </c>
      <c r="P466" s="4" t="s">
        <v>187</v>
      </c>
      <c r="Q466" s="4">
        <v>16451.0</v>
      </c>
      <c r="R466" s="5" t="s">
        <v>2811</v>
      </c>
      <c r="S466" s="8">
        <v>46183.0</v>
      </c>
      <c r="T466" s="9">
        <v>0.375</v>
      </c>
      <c r="U466" s="9">
        <v>0.9166666666666666</v>
      </c>
      <c r="V466" s="4" t="s">
        <v>49</v>
      </c>
      <c r="W466" s="5">
        <v>1.0</v>
      </c>
      <c r="X466" s="5" t="b">
        <v>1</v>
      </c>
      <c r="Y466" s="5" t="s">
        <v>189</v>
      </c>
      <c r="Z466" s="5" t="b">
        <v>0</v>
      </c>
      <c r="AA466" s="10"/>
      <c r="AB466" s="4">
        <v>1.0</v>
      </c>
      <c r="AC466" s="11" t="s">
        <v>2812</v>
      </c>
      <c r="AD466" s="5">
        <v>0.0</v>
      </c>
      <c r="AE466" s="5">
        <v>1.0</v>
      </c>
      <c r="AF466" s="8">
        <v>46183.0</v>
      </c>
      <c r="AG466" s="9">
        <v>0.375</v>
      </c>
      <c r="AH466" s="9">
        <v>0.9166666666666666</v>
      </c>
      <c r="AI466" s="4" t="s">
        <v>49</v>
      </c>
      <c r="AJ466" s="5" t="s">
        <v>2813</v>
      </c>
      <c r="AK466" s="12"/>
      <c r="AL466" s="12">
        <v>46182.0</v>
      </c>
      <c r="AM466" s="12"/>
      <c r="AN466" s="12"/>
      <c r="AO466" s="12"/>
      <c r="AP466" s="12"/>
      <c r="AQ466" s="12"/>
    </row>
    <row r="467">
      <c r="A467" s="5" t="s">
        <v>2814</v>
      </c>
      <c r="B467" s="5">
        <v>1.1398423E7</v>
      </c>
      <c r="C467" s="5" t="s">
        <v>37</v>
      </c>
      <c r="D467" s="5" t="s">
        <v>2815</v>
      </c>
      <c r="E467" s="5" t="s">
        <v>39</v>
      </c>
      <c r="F467" s="5" t="s">
        <v>2816</v>
      </c>
      <c r="G467" s="15">
        <v>6.28523E17</v>
      </c>
      <c r="H467" s="5" t="s">
        <v>2817</v>
      </c>
      <c r="I467" s="5" t="s">
        <v>42</v>
      </c>
      <c r="J467" s="5" t="s">
        <v>43</v>
      </c>
      <c r="K467" s="5">
        <v>8.7733785699E10</v>
      </c>
      <c r="L467" s="4" t="s">
        <v>44</v>
      </c>
      <c r="M467" s="5" t="s">
        <v>42</v>
      </c>
      <c r="N467" s="4" t="s">
        <v>45</v>
      </c>
      <c r="O467" s="4" t="s">
        <v>46</v>
      </c>
      <c r="P467" s="4" t="s">
        <v>187</v>
      </c>
      <c r="Q467" s="4">
        <v>16451.0</v>
      </c>
      <c r="R467" s="5" t="s">
        <v>2818</v>
      </c>
      <c r="S467" s="8">
        <v>46183.0</v>
      </c>
      <c r="T467" s="9">
        <v>0.375</v>
      </c>
      <c r="U467" s="9">
        <v>0.9166666666666666</v>
      </c>
      <c r="V467" s="4" t="s">
        <v>49</v>
      </c>
      <c r="W467" s="5">
        <v>1.0</v>
      </c>
      <c r="X467" s="5" t="b">
        <v>1</v>
      </c>
      <c r="Y467" s="5" t="s">
        <v>189</v>
      </c>
      <c r="Z467" s="5" t="b">
        <v>0</v>
      </c>
      <c r="AA467" s="10"/>
      <c r="AB467" s="4">
        <v>1.0</v>
      </c>
      <c r="AC467" s="11" t="s">
        <v>2819</v>
      </c>
      <c r="AD467" s="5">
        <v>0.0</v>
      </c>
      <c r="AE467" s="5">
        <v>1.0</v>
      </c>
      <c r="AF467" s="8">
        <v>46183.0</v>
      </c>
      <c r="AG467" s="9">
        <v>0.375</v>
      </c>
      <c r="AH467" s="9">
        <v>0.9166666666666666</v>
      </c>
      <c r="AI467" s="4" t="s">
        <v>49</v>
      </c>
      <c r="AJ467" s="5" t="s">
        <v>2820</v>
      </c>
      <c r="AK467" s="12"/>
      <c r="AL467" s="12">
        <v>46182.0</v>
      </c>
      <c r="AM467" s="12"/>
      <c r="AN467" s="12"/>
      <c r="AO467" s="12"/>
      <c r="AP467" s="12"/>
      <c r="AQ467" s="12"/>
    </row>
    <row r="468">
      <c r="A468" s="5" t="s">
        <v>2821</v>
      </c>
      <c r="B468" s="5">
        <v>1.1398423E7</v>
      </c>
      <c r="C468" s="5" t="s">
        <v>37</v>
      </c>
      <c r="D468" s="5" t="s">
        <v>2822</v>
      </c>
      <c r="E468" s="5" t="s">
        <v>39</v>
      </c>
      <c r="F468" s="5" t="s">
        <v>2823</v>
      </c>
      <c r="G468" s="15">
        <v>6.28223E17</v>
      </c>
      <c r="H468" s="5" t="s">
        <v>2824</v>
      </c>
      <c r="I468" s="5" t="s">
        <v>42</v>
      </c>
      <c r="J468" s="5" t="s">
        <v>43</v>
      </c>
      <c r="K468" s="5">
        <v>8.7733785699E10</v>
      </c>
      <c r="L468" s="4" t="s">
        <v>44</v>
      </c>
      <c r="M468" s="5" t="s">
        <v>42</v>
      </c>
      <c r="N468" s="4" t="s">
        <v>45</v>
      </c>
      <c r="O468" s="4" t="s">
        <v>46</v>
      </c>
      <c r="P468" s="4" t="s">
        <v>187</v>
      </c>
      <c r="Q468" s="4">
        <v>16451.0</v>
      </c>
      <c r="R468" s="5" t="s">
        <v>2825</v>
      </c>
      <c r="S468" s="8">
        <v>46183.0</v>
      </c>
      <c r="T468" s="9">
        <v>0.375</v>
      </c>
      <c r="U468" s="9">
        <v>0.9166666666666666</v>
      </c>
      <c r="V468" s="4" t="s">
        <v>49</v>
      </c>
      <c r="W468" s="5">
        <v>1.0</v>
      </c>
      <c r="X468" s="5" t="b">
        <v>1</v>
      </c>
      <c r="Y468" s="5" t="s">
        <v>189</v>
      </c>
      <c r="Z468" s="5" t="b">
        <v>0</v>
      </c>
      <c r="AA468" s="10"/>
      <c r="AB468" s="4">
        <v>1.0</v>
      </c>
      <c r="AC468" s="11" t="s">
        <v>2826</v>
      </c>
      <c r="AD468" s="5">
        <v>0.0</v>
      </c>
      <c r="AE468" s="5">
        <v>1.0</v>
      </c>
      <c r="AF468" s="8">
        <v>46183.0</v>
      </c>
      <c r="AG468" s="9">
        <v>0.375</v>
      </c>
      <c r="AH468" s="9">
        <v>0.9166666666666666</v>
      </c>
      <c r="AI468" s="4" t="s">
        <v>49</v>
      </c>
      <c r="AJ468" s="5" t="s">
        <v>2827</v>
      </c>
      <c r="AK468" s="12"/>
      <c r="AL468" s="12">
        <v>46182.0</v>
      </c>
      <c r="AM468" s="12"/>
      <c r="AN468" s="12"/>
      <c r="AO468" s="12"/>
      <c r="AP468" s="12"/>
      <c r="AQ468" s="12"/>
    </row>
    <row r="469">
      <c r="A469" s="5" t="s">
        <v>2828</v>
      </c>
      <c r="B469" s="5">
        <v>1.1398423E7</v>
      </c>
      <c r="C469" s="5" t="s">
        <v>37</v>
      </c>
      <c r="D469" s="5" t="s">
        <v>2829</v>
      </c>
      <c r="E469" s="5" t="s">
        <v>39</v>
      </c>
      <c r="F469" s="5" t="s">
        <v>2823</v>
      </c>
      <c r="G469" s="15">
        <v>6.28223E17</v>
      </c>
      <c r="H469" s="5" t="s">
        <v>2824</v>
      </c>
      <c r="I469" s="5" t="s">
        <v>42</v>
      </c>
      <c r="J469" s="5" t="s">
        <v>43</v>
      </c>
      <c r="K469" s="5">
        <v>8.7733785699E10</v>
      </c>
      <c r="L469" s="4" t="s">
        <v>44</v>
      </c>
      <c r="M469" s="5" t="s">
        <v>42</v>
      </c>
      <c r="N469" s="4" t="s">
        <v>45</v>
      </c>
      <c r="O469" s="4" t="s">
        <v>46</v>
      </c>
      <c r="P469" s="4" t="s">
        <v>187</v>
      </c>
      <c r="Q469" s="4">
        <v>16451.0</v>
      </c>
      <c r="R469" s="5" t="s">
        <v>2830</v>
      </c>
      <c r="S469" s="8">
        <v>46183.0</v>
      </c>
      <c r="T469" s="9">
        <v>0.375</v>
      </c>
      <c r="U469" s="9">
        <v>0.9166666666666666</v>
      </c>
      <c r="V469" s="4" t="s">
        <v>49</v>
      </c>
      <c r="W469" s="5">
        <v>1.0</v>
      </c>
      <c r="X469" s="5" t="b">
        <v>1</v>
      </c>
      <c r="Y469" s="5" t="s">
        <v>189</v>
      </c>
      <c r="Z469" s="5" t="b">
        <v>0</v>
      </c>
      <c r="AA469" s="10"/>
      <c r="AB469" s="4">
        <v>1.0</v>
      </c>
      <c r="AC469" s="11" t="s">
        <v>2831</v>
      </c>
      <c r="AD469" s="5">
        <v>0.0</v>
      </c>
      <c r="AE469" s="5">
        <v>1.0</v>
      </c>
      <c r="AF469" s="8">
        <v>46183.0</v>
      </c>
      <c r="AG469" s="9">
        <v>0.375</v>
      </c>
      <c r="AH469" s="9">
        <v>0.9166666666666666</v>
      </c>
      <c r="AI469" s="4" t="s">
        <v>49</v>
      </c>
      <c r="AJ469" s="5" t="s">
        <v>2832</v>
      </c>
      <c r="AK469" s="12"/>
      <c r="AL469" s="12">
        <v>46182.0</v>
      </c>
      <c r="AM469" s="12"/>
      <c r="AN469" s="12"/>
      <c r="AO469" s="12"/>
      <c r="AP469" s="12"/>
      <c r="AQ469" s="12"/>
    </row>
    <row r="470">
      <c r="A470" s="5" t="s">
        <v>2833</v>
      </c>
      <c r="B470" s="5">
        <v>1.1398423E7</v>
      </c>
      <c r="C470" s="5" t="s">
        <v>37</v>
      </c>
      <c r="D470" s="5" t="s">
        <v>2834</v>
      </c>
      <c r="E470" s="5" t="s">
        <v>39</v>
      </c>
      <c r="F470" s="5" t="s">
        <v>2835</v>
      </c>
      <c r="G470" s="15">
        <v>6.2881E17</v>
      </c>
      <c r="H470" s="5" t="s">
        <v>2836</v>
      </c>
      <c r="I470" s="5" t="s">
        <v>42</v>
      </c>
      <c r="J470" s="5" t="s">
        <v>43</v>
      </c>
      <c r="K470" s="5">
        <v>8.7733785699E10</v>
      </c>
      <c r="L470" s="4" t="s">
        <v>44</v>
      </c>
      <c r="M470" s="5" t="s">
        <v>42</v>
      </c>
      <c r="N470" s="4" t="s">
        <v>45</v>
      </c>
      <c r="O470" s="4" t="s">
        <v>46</v>
      </c>
      <c r="P470" s="4" t="s">
        <v>187</v>
      </c>
      <c r="Q470" s="4">
        <v>16451.0</v>
      </c>
      <c r="R470" s="5" t="s">
        <v>2837</v>
      </c>
      <c r="S470" s="8">
        <v>46183.0</v>
      </c>
      <c r="T470" s="9">
        <v>0.375</v>
      </c>
      <c r="U470" s="9">
        <v>0.9166666666666666</v>
      </c>
      <c r="V470" s="4" t="s">
        <v>49</v>
      </c>
      <c r="W470" s="5">
        <v>1.0</v>
      </c>
      <c r="X470" s="5" t="b">
        <v>1</v>
      </c>
      <c r="Y470" s="5" t="s">
        <v>189</v>
      </c>
      <c r="Z470" s="5" t="b">
        <v>0</v>
      </c>
      <c r="AA470" s="10"/>
      <c r="AB470" s="4">
        <v>1.0</v>
      </c>
      <c r="AC470" s="11" t="s">
        <v>2838</v>
      </c>
      <c r="AD470" s="5">
        <v>0.0</v>
      </c>
      <c r="AE470" s="5">
        <v>1.0</v>
      </c>
      <c r="AF470" s="8">
        <v>46183.0</v>
      </c>
      <c r="AG470" s="9">
        <v>0.375</v>
      </c>
      <c r="AH470" s="9">
        <v>0.9166666666666666</v>
      </c>
      <c r="AI470" s="4" t="s">
        <v>49</v>
      </c>
      <c r="AJ470" s="5" t="s">
        <v>2839</v>
      </c>
      <c r="AK470" s="12" t="s">
        <v>52</v>
      </c>
      <c r="AL470" s="12">
        <v>46182.0</v>
      </c>
      <c r="AM470" s="12"/>
      <c r="AN470" s="12"/>
      <c r="AO470" s="12"/>
      <c r="AP470" s="12"/>
      <c r="AQ470" s="12"/>
    </row>
    <row r="471">
      <c r="A471" s="5" t="s">
        <v>2840</v>
      </c>
      <c r="B471" s="5">
        <v>1.1398423E7</v>
      </c>
      <c r="C471" s="5" t="s">
        <v>37</v>
      </c>
      <c r="D471" s="5" t="s">
        <v>2206</v>
      </c>
      <c r="E471" s="5" t="s">
        <v>39</v>
      </c>
      <c r="F471" s="5" t="s">
        <v>2207</v>
      </c>
      <c r="G471" s="15">
        <v>8.1388854434E10</v>
      </c>
      <c r="H471" s="5" t="s">
        <v>2208</v>
      </c>
      <c r="I471" s="5" t="s">
        <v>42</v>
      </c>
      <c r="J471" s="5" t="s">
        <v>43</v>
      </c>
      <c r="K471" s="5">
        <v>8.7733785699E10</v>
      </c>
      <c r="L471" s="4" t="s">
        <v>44</v>
      </c>
      <c r="M471" s="5" t="s">
        <v>42</v>
      </c>
      <c r="N471" s="4" t="s">
        <v>45</v>
      </c>
      <c r="O471" s="4" t="s">
        <v>46</v>
      </c>
      <c r="P471" s="4" t="s">
        <v>187</v>
      </c>
      <c r="Q471" s="4">
        <v>16451.0</v>
      </c>
      <c r="R471" s="5" t="s">
        <v>2841</v>
      </c>
      <c r="S471" s="8">
        <v>46183.0</v>
      </c>
      <c r="T471" s="9">
        <v>0.375</v>
      </c>
      <c r="U471" s="9">
        <v>0.9166666666666666</v>
      </c>
      <c r="V471" s="4" t="s">
        <v>49</v>
      </c>
      <c r="W471" s="5">
        <v>1.0</v>
      </c>
      <c r="X471" s="5" t="b">
        <v>1</v>
      </c>
      <c r="Y471" s="5" t="s">
        <v>189</v>
      </c>
      <c r="Z471" s="5" t="b">
        <v>0</v>
      </c>
      <c r="AA471" s="10"/>
      <c r="AB471" s="4">
        <v>1.0</v>
      </c>
      <c r="AC471" s="11" t="s">
        <v>2842</v>
      </c>
      <c r="AD471" s="5">
        <v>0.0</v>
      </c>
      <c r="AE471" s="5">
        <v>1.0</v>
      </c>
      <c r="AF471" s="8">
        <v>46183.0</v>
      </c>
      <c r="AG471" s="9">
        <v>0.375</v>
      </c>
      <c r="AH471" s="9">
        <v>0.9166666666666666</v>
      </c>
      <c r="AI471" s="4" t="s">
        <v>49</v>
      </c>
      <c r="AJ471" s="5" t="s">
        <v>2843</v>
      </c>
      <c r="AK471" s="12"/>
      <c r="AL471" s="12">
        <v>46182.0</v>
      </c>
      <c r="AM471" s="12"/>
      <c r="AN471" s="12"/>
      <c r="AO471" s="12"/>
      <c r="AP471" s="12"/>
      <c r="AQ471" s="12"/>
    </row>
    <row r="472">
      <c r="A472" s="5" t="s">
        <v>2844</v>
      </c>
      <c r="B472" s="5">
        <v>1.1398423E7</v>
      </c>
      <c r="C472" s="5" t="s">
        <v>37</v>
      </c>
      <c r="D472" s="5" t="s">
        <v>2845</v>
      </c>
      <c r="E472" s="5" t="s">
        <v>39</v>
      </c>
      <c r="F472" s="5" t="s">
        <v>1233</v>
      </c>
      <c r="G472" s="15">
        <v>6.28521E17</v>
      </c>
      <c r="H472" s="5" t="s">
        <v>1234</v>
      </c>
      <c r="I472" s="5" t="s">
        <v>42</v>
      </c>
      <c r="J472" s="5" t="s">
        <v>43</v>
      </c>
      <c r="K472" s="5">
        <v>8.7733785699E10</v>
      </c>
      <c r="L472" s="4" t="s">
        <v>44</v>
      </c>
      <c r="M472" s="5" t="s">
        <v>42</v>
      </c>
      <c r="N472" s="4" t="s">
        <v>45</v>
      </c>
      <c r="O472" s="4" t="s">
        <v>46</v>
      </c>
      <c r="P472" s="4" t="s">
        <v>187</v>
      </c>
      <c r="Q472" s="4">
        <v>16451.0</v>
      </c>
      <c r="R472" s="5" t="s">
        <v>2846</v>
      </c>
      <c r="S472" s="8">
        <v>46183.0</v>
      </c>
      <c r="T472" s="9">
        <v>0.375</v>
      </c>
      <c r="U472" s="9">
        <v>0.9166666666666666</v>
      </c>
      <c r="V472" s="4" t="s">
        <v>49</v>
      </c>
      <c r="W472" s="5">
        <v>1.0</v>
      </c>
      <c r="X472" s="5" t="b">
        <v>1</v>
      </c>
      <c r="Y472" s="5" t="s">
        <v>189</v>
      </c>
      <c r="Z472" s="5" t="b">
        <v>0</v>
      </c>
      <c r="AA472" s="10"/>
      <c r="AB472" s="4">
        <v>1.0</v>
      </c>
      <c r="AC472" s="11" t="s">
        <v>2847</v>
      </c>
      <c r="AD472" s="5">
        <v>0.0</v>
      </c>
      <c r="AE472" s="5">
        <v>1.0</v>
      </c>
      <c r="AF472" s="8">
        <v>46183.0</v>
      </c>
      <c r="AG472" s="9">
        <v>0.375</v>
      </c>
      <c r="AH472" s="9">
        <v>0.9166666666666666</v>
      </c>
      <c r="AI472" s="4" t="s">
        <v>49</v>
      </c>
      <c r="AJ472" s="5" t="s">
        <v>2848</v>
      </c>
      <c r="AK472" s="12"/>
      <c r="AL472" s="12">
        <v>46182.0</v>
      </c>
      <c r="AM472" s="12"/>
      <c r="AN472" s="12"/>
      <c r="AO472" s="12"/>
      <c r="AP472" s="12"/>
      <c r="AQ472" s="12"/>
    </row>
    <row r="473">
      <c r="A473" s="5" t="s">
        <v>2849</v>
      </c>
      <c r="B473" s="5">
        <v>1.1398423E7</v>
      </c>
      <c r="C473" s="5" t="s">
        <v>37</v>
      </c>
      <c r="D473" s="5" t="s">
        <v>2850</v>
      </c>
      <c r="E473" s="5" t="s">
        <v>39</v>
      </c>
      <c r="F473" s="5" t="s">
        <v>2851</v>
      </c>
      <c r="G473" s="15">
        <v>8.1317174324E10</v>
      </c>
      <c r="H473" s="5" t="s">
        <v>2852</v>
      </c>
      <c r="I473" s="5" t="s">
        <v>42</v>
      </c>
      <c r="J473" s="5" t="s">
        <v>43</v>
      </c>
      <c r="K473" s="5">
        <v>8.7733785699E10</v>
      </c>
      <c r="L473" s="4" t="s">
        <v>44</v>
      </c>
      <c r="M473" s="5" t="s">
        <v>42</v>
      </c>
      <c r="N473" s="4" t="s">
        <v>45</v>
      </c>
      <c r="O473" s="4" t="s">
        <v>46</v>
      </c>
      <c r="P473" s="4" t="s">
        <v>187</v>
      </c>
      <c r="Q473" s="4">
        <v>16451.0</v>
      </c>
      <c r="R473" s="5" t="s">
        <v>2853</v>
      </c>
      <c r="S473" s="8">
        <v>46183.0</v>
      </c>
      <c r="T473" s="9">
        <v>0.375</v>
      </c>
      <c r="U473" s="9">
        <v>0.9166666666666666</v>
      </c>
      <c r="V473" s="4" t="s">
        <v>49</v>
      </c>
      <c r="W473" s="5">
        <v>1.0</v>
      </c>
      <c r="X473" s="5" t="b">
        <v>1</v>
      </c>
      <c r="Y473" s="5" t="s">
        <v>189</v>
      </c>
      <c r="Z473" s="5" t="b">
        <v>0</v>
      </c>
      <c r="AA473" s="10"/>
      <c r="AB473" s="4">
        <v>1.0</v>
      </c>
      <c r="AC473" s="11" t="s">
        <v>2854</v>
      </c>
      <c r="AD473" s="5">
        <v>0.0</v>
      </c>
      <c r="AE473" s="5">
        <v>1.0</v>
      </c>
      <c r="AF473" s="8">
        <v>46183.0</v>
      </c>
      <c r="AG473" s="9">
        <v>0.375</v>
      </c>
      <c r="AH473" s="9">
        <v>0.9166666666666666</v>
      </c>
      <c r="AI473" s="4" t="s">
        <v>49</v>
      </c>
      <c r="AJ473" s="5" t="s">
        <v>2855</v>
      </c>
      <c r="AK473" s="12"/>
      <c r="AL473" s="12">
        <v>46182.0</v>
      </c>
      <c r="AM473" s="12"/>
      <c r="AN473" s="12"/>
      <c r="AO473" s="12"/>
      <c r="AP473" s="12"/>
      <c r="AQ473" s="12"/>
    </row>
    <row r="474">
      <c r="A474" s="5" t="s">
        <v>2856</v>
      </c>
      <c r="B474" s="5">
        <v>1.1398423E7</v>
      </c>
      <c r="C474" s="5" t="s">
        <v>37</v>
      </c>
      <c r="D474" s="5" t="s">
        <v>2857</v>
      </c>
      <c r="E474" s="5" t="s">
        <v>39</v>
      </c>
      <c r="F474" s="5" t="s">
        <v>2858</v>
      </c>
      <c r="G474" s="15">
        <v>6.28226E17</v>
      </c>
      <c r="H474" s="5" t="s">
        <v>2859</v>
      </c>
      <c r="I474" s="5" t="s">
        <v>42</v>
      </c>
      <c r="J474" s="5" t="s">
        <v>43</v>
      </c>
      <c r="K474" s="5">
        <v>8.7733785699E10</v>
      </c>
      <c r="L474" s="4" t="s">
        <v>44</v>
      </c>
      <c r="M474" s="5" t="s">
        <v>42</v>
      </c>
      <c r="N474" s="4" t="s">
        <v>45</v>
      </c>
      <c r="O474" s="4" t="s">
        <v>46</v>
      </c>
      <c r="P474" s="4" t="s">
        <v>187</v>
      </c>
      <c r="Q474" s="4">
        <v>16451.0</v>
      </c>
      <c r="R474" s="5" t="s">
        <v>2860</v>
      </c>
      <c r="S474" s="8">
        <v>46183.0</v>
      </c>
      <c r="T474" s="9">
        <v>0.375</v>
      </c>
      <c r="U474" s="9">
        <v>0.9166666666666666</v>
      </c>
      <c r="V474" s="4" t="s">
        <v>49</v>
      </c>
      <c r="W474" s="5">
        <v>1.0</v>
      </c>
      <c r="X474" s="5" t="b">
        <v>1</v>
      </c>
      <c r="Y474" s="5" t="s">
        <v>189</v>
      </c>
      <c r="Z474" s="5" t="b">
        <v>0</v>
      </c>
      <c r="AA474" s="10"/>
      <c r="AB474" s="4">
        <v>1.0</v>
      </c>
      <c r="AC474" s="11" t="s">
        <v>2861</v>
      </c>
      <c r="AD474" s="5">
        <v>0.0</v>
      </c>
      <c r="AE474" s="5">
        <v>1.0</v>
      </c>
      <c r="AF474" s="8">
        <v>46183.0</v>
      </c>
      <c r="AG474" s="9">
        <v>0.375</v>
      </c>
      <c r="AH474" s="9">
        <v>0.9166666666666666</v>
      </c>
      <c r="AI474" s="4" t="s">
        <v>49</v>
      </c>
      <c r="AJ474" s="5" t="s">
        <v>2862</v>
      </c>
      <c r="AK474" s="12"/>
      <c r="AL474" s="12">
        <v>46182.0</v>
      </c>
      <c r="AM474" s="12"/>
      <c r="AN474" s="12"/>
      <c r="AO474" s="12"/>
      <c r="AP474" s="12"/>
      <c r="AQ474" s="12"/>
    </row>
    <row r="475">
      <c r="A475" s="5" t="s">
        <v>2863</v>
      </c>
      <c r="B475" s="5">
        <v>1.1398423E7</v>
      </c>
      <c r="C475" s="5" t="s">
        <v>37</v>
      </c>
      <c r="D475" s="5" t="s">
        <v>2864</v>
      </c>
      <c r="E475" s="5" t="s">
        <v>39</v>
      </c>
      <c r="F475" s="5" t="s">
        <v>2865</v>
      </c>
      <c r="G475" s="15">
        <v>6.28221E17</v>
      </c>
      <c r="H475" s="5" t="s">
        <v>2866</v>
      </c>
      <c r="I475" s="5" t="s">
        <v>42</v>
      </c>
      <c r="J475" s="5" t="s">
        <v>43</v>
      </c>
      <c r="K475" s="5">
        <v>8.7733785699E10</v>
      </c>
      <c r="L475" s="4" t="s">
        <v>44</v>
      </c>
      <c r="M475" s="5" t="s">
        <v>42</v>
      </c>
      <c r="N475" s="4" t="s">
        <v>45</v>
      </c>
      <c r="O475" s="4" t="s">
        <v>46</v>
      </c>
      <c r="P475" s="4" t="s">
        <v>187</v>
      </c>
      <c r="Q475" s="4">
        <v>16451.0</v>
      </c>
      <c r="R475" s="5" t="s">
        <v>2867</v>
      </c>
      <c r="S475" s="8">
        <v>46183.0</v>
      </c>
      <c r="T475" s="9">
        <v>0.375</v>
      </c>
      <c r="U475" s="9">
        <v>0.9166666666666666</v>
      </c>
      <c r="V475" s="4" t="s">
        <v>49</v>
      </c>
      <c r="W475" s="5">
        <v>1.0</v>
      </c>
      <c r="X475" s="5" t="b">
        <v>1</v>
      </c>
      <c r="Y475" s="5" t="s">
        <v>189</v>
      </c>
      <c r="Z475" s="5" t="b">
        <v>0</v>
      </c>
      <c r="AA475" s="10"/>
      <c r="AB475" s="4">
        <v>1.0</v>
      </c>
      <c r="AC475" s="11" t="s">
        <v>2868</v>
      </c>
      <c r="AD475" s="5">
        <v>0.0</v>
      </c>
      <c r="AE475" s="5">
        <v>1.0</v>
      </c>
      <c r="AF475" s="8">
        <v>46183.0</v>
      </c>
      <c r="AG475" s="9">
        <v>0.375</v>
      </c>
      <c r="AH475" s="9">
        <v>0.9166666666666666</v>
      </c>
      <c r="AI475" s="4" t="s">
        <v>49</v>
      </c>
      <c r="AJ475" s="5" t="s">
        <v>2869</v>
      </c>
      <c r="AK475" s="12"/>
      <c r="AL475" s="12">
        <v>46182.0</v>
      </c>
      <c r="AM475" s="12"/>
      <c r="AN475" s="12"/>
      <c r="AO475" s="12"/>
      <c r="AP475" s="12"/>
      <c r="AQ475" s="12"/>
    </row>
    <row r="476">
      <c r="A476" s="5" t="s">
        <v>2870</v>
      </c>
      <c r="B476" s="5">
        <v>1.1398423E7</v>
      </c>
      <c r="C476" s="5" t="s">
        <v>37</v>
      </c>
      <c r="D476" s="5" t="s">
        <v>2871</v>
      </c>
      <c r="E476" s="5" t="s">
        <v>39</v>
      </c>
      <c r="F476" s="5" t="s">
        <v>2872</v>
      </c>
      <c r="G476" s="15">
        <v>8.7774007271E10</v>
      </c>
      <c r="H476" s="5" t="s">
        <v>2873</v>
      </c>
      <c r="I476" s="5" t="s">
        <v>42</v>
      </c>
      <c r="J476" s="5" t="s">
        <v>43</v>
      </c>
      <c r="K476" s="5">
        <v>8.7733785699E10</v>
      </c>
      <c r="L476" s="4" t="s">
        <v>44</v>
      </c>
      <c r="M476" s="5" t="s">
        <v>42</v>
      </c>
      <c r="N476" s="4" t="s">
        <v>45</v>
      </c>
      <c r="O476" s="4" t="s">
        <v>46</v>
      </c>
      <c r="P476" s="4" t="s">
        <v>187</v>
      </c>
      <c r="Q476" s="4">
        <v>16451.0</v>
      </c>
      <c r="R476" s="5" t="s">
        <v>2874</v>
      </c>
      <c r="S476" s="8">
        <v>46183.0</v>
      </c>
      <c r="T476" s="9">
        <v>0.375</v>
      </c>
      <c r="U476" s="9">
        <v>0.9166666666666666</v>
      </c>
      <c r="V476" s="4" t="s">
        <v>49</v>
      </c>
      <c r="W476" s="5">
        <v>1.0</v>
      </c>
      <c r="X476" s="5" t="b">
        <v>1</v>
      </c>
      <c r="Y476" s="5" t="s">
        <v>189</v>
      </c>
      <c r="Z476" s="5" t="b">
        <v>0</v>
      </c>
      <c r="AA476" s="10"/>
      <c r="AB476" s="4">
        <v>1.0</v>
      </c>
      <c r="AC476" s="11" t="s">
        <v>2875</v>
      </c>
      <c r="AD476" s="5">
        <v>0.0</v>
      </c>
      <c r="AE476" s="5">
        <v>1.0</v>
      </c>
      <c r="AF476" s="8">
        <v>46183.0</v>
      </c>
      <c r="AG476" s="9">
        <v>0.375</v>
      </c>
      <c r="AH476" s="9">
        <v>0.9166666666666666</v>
      </c>
      <c r="AI476" s="4" t="s">
        <v>49</v>
      </c>
      <c r="AJ476" s="5" t="s">
        <v>2876</v>
      </c>
      <c r="AK476" s="12"/>
      <c r="AL476" s="12">
        <v>46182.0</v>
      </c>
      <c r="AM476" s="12"/>
      <c r="AN476" s="12"/>
      <c r="AO476" s="12"/>
      <c r="AP476" s="12"/>
      <c r="AQ476" s="12"/>
    </row>
    <row r="477">
      <c r="A477" s="5" t="s">
        <v>2877</v>
      </c>
      <c r="B477" s="5">
        <v>1.1398423E7</v>
      </c>
      <c r="C477" s="5" t="s">
        <v>37</v>
      </c>
      <c r="D477" s="5" t="s">
        <v>2878</v>
      </c>
      <c r="E477" s="5" t="s">
        <v>39</v>
      </c>
      <c r="F477" s="5" t="s">
        <v>2879</v>
      </c>
      <c r="G477" s="15">
        <v>6.28789E17</v>
      </c>
      <c r="H477" s="5" t="s">
        <v>2880</v>
      </c>
      <c r="I477" s="5" t="s">
        <v>42</v>
      </c>
      <c r="J477" s="5" t="s">
        <v>43</v>
      </c>
      <c r="K477" s="5">
        <v>8.7733785699E10</v>
      </c>
      <c r="L477" s="4" t="s">
        <v>44</v>
      </c>
      <c r="M477" s="5" t="s">
        <v>42</v>
      </c>
      <c r="N477" s="4" t="s">
        <v>45</v>
      </c>
      <c r="O477" s="4" t="s">
        <v>46</v>
      </c>
      <c r="P477" s="4" t="s">
        <v>187</v>
      </c>
      <c r="Q477" s="4">
        <v>16451.0</v>
      </c>
      <c r="R477" s="5" t="s">
        <v>2881</v>
      </c>
      <c r="S477" s="8">
        <v>46183.0</v>
      </c>
      <c r="T477" s="9">
        <v>0.375</v>
      </c>
      <c r="U477" s="9">
        <v>0.9166666666666666</v>
      </c>
      <c r="V477" s="4" t="s">
        <v>49</v>
      </c>
      <c r="W477" s="5">
        <v>1.0</v>
      </c>
      <c r="X477" s="5" t="b">
        <v>1</v>
      </c>
      <c r="Y477" s="5" t="s">
        <v>189</v>
      </c>
      <c r="Z477" s="5" t="b">
        <v>0</v>
      </c>
      <c r="AA477" s="10"/>
      <c r="AB477" s="4">
        <v>1.0</v>
      </c>
      <c r="AC477" s="11" t="s">
        <v>2882</v>
      </c>
      <c r="AD477" s="5">
        <v>0.0</v>
      </c>
      <c r="AE477" s="5">
        <v>1.0</v>
      </c>
      <c r="AF477" s="8">
        <v>46183.0</v>
      </c>
      <c r="AG477" s="9">
        <v>0.375</v>
      </c>
      <c r="AH477" s="9">
        <v>0.9166666666666666</v>
      </c>
      <c r="AI477" s="4" t="s">
        <v>49</v>
      </c>
      <c r="AJ477" s="5" t="s">
        <v>2883</v>
      </c>
      <c r="AK477" s="12"/>
      <c r="AL477" s="12">
        <v>46182.0</v>
      </c>
      <c r="AM477" s="12"/>
      <c r="AN477" s="12"/>
      <c r="AO477" s="12"/>
      <c r="AP477" s="12"/>
      <c r="AQ477" s="12"/>
    </row>
    <row r="478">
      <c r="A478" s="5" t="s">
        <v>2884</v>
      </c>
      <c r="B478" s="5">
        <v>1.1398423E7</v>
      </c>
      <c r="C478" s="5" t="s">
        <v>37</v>
      </c>
      <c r="D478" s="5" t="s">
        <v>2885</v>
      </c>
      <c r="E478" s="5" t="s">
        <v>39</v>
      </c>
      <c r="F478" s="5" t="s">
        <v>2886</v>
      </c>
      <c r="G478" s="15">
        <v>6.28789E17</v>
      </c>
      <c r="H478" s="5" t="s">
        <v>2887</v>
      </c>
      <c r="I478" s="5" t="s">
        <v>42</v>
      </c>
      <c r="J478" s="5" t="s">
        <v>43</v>
      </c>
      <c r="K478" s="5">
        <v>8.7733785699E10</v>
      </c>
      <c r="L478" s="4" t="s">
        <v>44</v>
      </c>
      <c r="M478" s="5" t="s">
        <v>42</v>
      </c>
      <c r="N478" s="4" t="s">
        <v>45</v>
      </c>
      <c r="O478" s="4" t="s">
        <v>46</v>
      </c>
      <c r="P478" s="4" t="s">
        <v>187</v>
      </c>
      <c r="Q478" s="4">
        <v>16451.0</v>
      </c>
      <c r="R478" s="5" t="s">
        <v>2888</v>
      </c>
      <c r="S478" s="8">
        <v>46183.0</v>
      </c>
      <c r="T478" s="9">
        <v>0.375</v>
      </c>
      <c r="U478" s="9">
        <v>0.9166666666666666</v>
      </c>
      <c r="V478" s="4" t="s">
        <v>49</v>
      </c>
      <c r="W478" s="5">
        <v>1.0</v>
      </c>
      <c r="X478" s="5" t="b">
        <v>1</v>
      </c>
      <c r="Y478" s="5" t="s">
        <v>189</v>
      </c>
      <c r="Z478" s="5" t="b">
        <v>0</v>
      </c>
      <c r="AA478" s="10"/>
      <c r="AB478" s="4">
        <v>1.0</v>
      </c>
      <c r="AC478" s="11" t="s">
        <v>2889</v>
      </c>
      <c r="AD478" s="5">
        <v>0.0</v>
      </c>
      <c r="AE478" s="5">
        <v>1.0</v>
      </c>
      <c r="AF478" s="8">
        <v>46183.0</v>
      </c>
      <c r="AG478" s="9">
        <v>0.375</v>
      </c>
      <c r="AH478" s="9">
        <v>0.9166666666666666</v>
      </c>
      <c r="AI478" s="4" t="s">
        <v>49</v>
      </c>
      <c r="AJ478" s="5" t="s">
        <v>2890</v>
      </c>
      <c r="AK478" s="12"/>
      <c r="AL478" s="12">
        <v>46182.0</v>
      </c>
      <c r="AM478" s="12"/>
      <c r="AN478" s="12"/>
      <c r="AO478" s="12"/>
      <c r="AP478" s="12"/>
      <c r="AQ478" s="12"/>
    </row>
    <row r="479">
      <c r="A479" s="5" t="s">
        <v>2891</v>
      </c>
      <c r="B479" s="5">
        <v>1.1398423E7</v>
      </c>
      <c r="C479" s="5" t="s">
        <v>37</v>
      </c>
      <c r="D479" s="5" t="s">
        <v>2892</v>
      </c>
      <c r="E479" s="5" t="s">
        <v>39</v>
      </c>
      <c r="F479" s="5" t="s">
        <v>2893</v>
      </c>
      <c r="G479" s="15">
        <v>8.211155987E10</v>
      </c>
      <c r="H479" s="5" t="s">
        <v>2894</v>
      </c>
      <c r="I479" s="5" t="s">
        <v>42</v>
      </c>
      <c r="J479" s="5" t="s">
        <v>43</v>
      </c>
      <c r="K479" s="5">
        <v>8.7733785699E10</v>
      </c>
      <c r="L479" s="4" t="s">
        <v>44</v>
      </c>
      <c r="M479" s="5" t="s">
        <v>42</v>
      </c>
      <c r="N479" s="4" t="s">
        <v>45</v>
      </c>
      <c r="O479" s="4" t="s">
        <v>46</v>
      </c>
      <c r="P479" s="4" t="s">
        <v>187</v>
      </c>
      <c r="Q479" s="4">
        <v>16451.0</v>
      </c>
      <c r="R479" s="5" t="s">
        <v>2895</v>
      </c>
      <c r="S479" s="8">
        <v>46183.0</v>
      </c>
      <c r="T479" s="9">
        <v>0.375</v>
      </c>
      <c r="U479" s="9">
        <v>0.9166666666666666</v>
      </c>
      <c r="V479" s="4" t="s">
        <v>49</v>
      </c>
      <c r="W479" s="5">
        <v>1.0</v>
      </c>
      <c r="X479" s="5" t="b">
        <v>1</v>
      </c>
      <c r="Y479" s="5" t="s">
        <v>189</v>
      </c>
      <c r="Z479" s="5" t="b">
        <v>0</v>
      </c>
      <c r="AA479" s="10"/>
      <c r="AB479" s="4">
        <v>1.0</v>
      </c>
      <c r="AC479" s="11" t="s">
        <v>2896</v>
      </c>
      <c r="AD479" s="5">
        <v>0.0</v>
      </c>
      <c r="AE479" s="5">
        <v>1.0</v>
      </c>
      <c r="AF479" s="8">
        <v>46183.0</v>
      </c>
      <c r="AG479" s="9">
        <v>0.375</v>
      </c>
      <c r="AH479" s="9">
        <v>0.9166666666666666</v>
      </c>
      <c r="AI479" s="4" t="s">
        <v>49</v>
      </c>
      <c r="AJ479" s="5" t="s">
        <v>2897</v>
      </c>
      <c r="AK479" s="12"/>
      <c r="AL479" s="12">
        <v>46182.0</v>
      </c>
      <c r="AM479" s="12"/>
      <c r="AN479" s="12"/>
      <c r="AO479" s="12"/>
      <c r="AP479" s="12"/>
      <c r="AQ479" s="12"/>
    </row>
    <row r="480">
      <c r="A480" s="5" t="s">
        <v>2898</v>
      </c>
      <c r="B480" s="5">
        <v>1.1398423E7</v>
      </c>
      <c r="C480" s="5" t="s">
        <v>37</v>
      </c>
      <c r="D480" s="5" t="s">
        <v>2899</v>
      </c>
      <c r="E480" s="5" t="s">
        <v>39</v>
      </c>
      <c r="F480" s="5" t="s">
        <v>2900</v>
      </c>
      <c r="G480" s="15">
        <v>8.1316511464E10</v>
      </c>
      <c r="H480" s="5" t="s">
        <v>2901</v>
      </c>
      <c r="I480" s="5" t="s">
        <v>42</v>
      </c>
      <c r="J480" s="5" t="s">
        <v>43</v>
      </c>
      <c r="K480" s="5">
        <v>8.7733785699E10</v>
      </c>
      <c r="L480" s="4" t="s">
        <v>44</v>
      </c>
      <c r="M480" s="5" t="s">
        <v>42</v>
      </c>
      <c r="N480" s="4" t="s">
        <v>45</v>
      </c>
      <c r="O480" s="4" t="s">
        <v>46</v>
      </c>
      <c r="P480" s="4" t="s">
        <v>187</v>
      </c>
      <c r="Q480" s="4">
        <v>16451.0</v>
      </c>
      <c r="R480" s="5" t="s">
        <v>2902</v>
      </c>
      <c r="S480" s="8">
        <v>46183.0</v>
      </c>
      <c r="T480" s="9">
        <v>0.375</v>
      </c>
      <c r="U480" s="9">
        <v>0.9166666666666666</v>
      </c>
      <c r="V480" s="4" t="s">
        <v>49</v>
      </c>
      <c r="W480" s="5">
        <v>1.0</v>
      </c>
      <c r="X480" s="5" t="b">
        <v>1</v>
      </c>
      <c r="Y480" s="5" t="s">
        <v>189</v>
      </c>
      <c r="Z480" s="5" t="b">
        <v>0</v>
      </c>
      <c r="AA480" s="10"/>
      <c r="AB480" s="4">
        <v>1.0</v>
      </c>
      <c r="AC480" s="11" t="s">
        <v>2903</v>
      </c>
      <c r="AD480" s="5">
        <v>0.0</v>
      </c>
      <c r="AE480" s="5">
        <v>1.0</v>
      </c>
      <c r="AF480" s="8">
        <v>46183.0</v>
      </c>
      <c r="AG480" s="9">
        <v>0.375</v>
      </c>
      <c r="AH480" s="9">
        <v>0.9166666666666666</v>
      </c>
      <c r="AI480" s="4" t="s">
        <v>49</v>
      </c>
      <c r="AJ480" s="5" t="s">
        <v>2904</v>
      </c>
      <c r="AK480" s="12"/>
      <c r="AL480" s="12">
        <v>46182.0</v>
      </c>
      <c r="AM480" s="12"/>
      <c r="AN480" s="12"/>
      <c r="AO480" s="12"/>
      <c r="AP480" s="12"/>
      <c r="AQ480" s="12"/>
    </row>
    <row r="481">
      <c r="A481" s="5" t="s">
        <v>2905</v>
      </c>
      <c r="B481" s="5">
        <v>1.1398423E7</v>
      </c>
      <c r="C481" s="5" t="s">
        <v>37</v>
      </c>
      <c r="D481" s="5" t="s">
        <v>2906</v>
      </c>
      <c r="E481" s="5" t="s">
        <v>39</v>
      </c>
      <c r="F481" s="5" t="s">
        <v>1005</v>
      </c>
      <c r="G481" s="15">
        <v>8.1354877771E10</v>
      </c>
      <c r="H481" s="5" t="s">
        <v>1006</v>
      </c>
      <c r="I481" s="5" t="s">
        <v>42</v>
      </c>
      <c r="J481" s="5" t="s">
        <v>43</v>
      </c>
      <c r="K481" s="5">
        <v>8.7733785699E10</v>
      </c>
      <c r="L481" s="4" t="s">
        <v>44</v>
      </c>
      <c r="M481" s="5" t="s">
        <v>42</v>
      </c>
      <c r="N481" s="4" t="s">
        <v>45</v>
      </c>
      <c r="O481" s="4" t="s">
        <v>46</v>
      </c>
      <c r="P481" s="4" t="s">
        <v>187</v>
      </c>
      <c r="Q481" s="4">
        <v>16451.0</v>
      </c>
      <c r="R481" s="5" t="s">
        <v>2907</v>
      </c>
      <c r="S481" s="8">
        <v>46183.0</v>
      </c>
      <c r="T481" s="9">
        <v>0.375</v>
      </c>
      <c r="U481" s="9">
        <v>0.9166666666666666</v>
      </c>
      <c r="V481" s="4" t="s">
        <v>49</v>
      </c>
      <c r="W481" s="5">
        <v>1.0</v>
      </c>
      <c r="X481" s="5" t="b">
        <v>1</v>
      </c>
      <c r="Y481" s="5" t="s">
        <v>189</v>
      </c>
      <c r="Z481" s="5" t="b">
        <v>0</v>
      </c>
      <c r="AA481" s="10"/>
      <c r="AB481" s="4">
        <v>1.0</v>
      </c>
      <c r="AC481" s="11" t="s">
        <v>2908</v>
      </c>
      <c r="AD481" s="5">
        <v>0.0</v>
      </c>
      <c r="AE481" s="5">
        <v>1.0</v>
      </c>
      <c r="AF481" s="8">
        <v>46183.0</v>
      </c>
      <c r="AG481" s="9">
        <v>0.375</v>
      </c>
      <c r="AH481" s="9">
        <v>0.9166666666666666</v>
      </c>
      <c r="AI481" s="4" t="s">
        <v>49</v>
      </c>
      <c r="AJ481" s="5" t="s">
        <v>2909</v>
      </c>
      <c r="AK481" s="12"/>
      <c r="AL481" s="12">
        <v>46182.0</v>
      </c>
      <c r="AM481" s="12"/>
      <c r="AN481" s="12"/>
      <c r="AO481" s="12"/>
      <c r="AP481" s="12"/>
      <c r="AQ481" s="12"/>
    </row>
    <row r="482">
      <c r="A482" s="5" t="s">
        <v>2910</v>
      </c>
      <c r="B482" s="5">
        <v>1.1398423E7</v>
      </c>
      <c r="C482" s="5" t="s">
        <v>37</v>
      </c>
      <c r="D482" s="5" t="s">
        <v>2911</v>
      </c>
      <c r="E482" s="5" t="s">
        <v>39</v>
      </c>
      <c r="F482" s="5" t="s">
        <v>2912</v>
      </c>
      <c r="G482" s="15">
        <v>6.28159E16</v>
      </c>
      <c r="H482" s="5" t="s">
        <v>2913</v>
      </c>
      <c r="I482" s="5" t="s">
        <v>42</v>
      </c>
      <c r="J482" s="5" t="s">
        <v>43</v>
      </c>
      <c r="K482" s="5">
        <v>8.7733785699E10</v>
      </c>
      <c r="L482" s="4" t="s">
        <v>44</v>
      </c>
      <c r="M482" s="5" t="s">
        <v>42</v>
      </c>
      <c r="N482" s="4" t="s">
        <v>45</v>
      </c>
      <c r="O482" s="4" t="s">
        <v>46</v>
      </c>
      <c r="P482" s="4" t="s">
        <v>187</v>
      </c>
      <c r="Q482" s="4">
        <v>16451.0</v>
      </c>
      <c r="R482" s="5" t="s">
        <v>2914</v>
      </c>
      <c r="S482" s="8">
        <v>46183.0</v>
      </c>
      <c r="T482" s="9">
        <v>0.375</v>
      </c>
      <c r="U482" s="9">
        <v>0.9166666666666666</v>
      </c>
      <c r="V482" s="4" t="s">
        <v>49</v>
      </c>
      <c r="W482" s="5">
        <v>1.0</v>
      </c>
      <c r="X482" s="5" t="b">
        <v>1</v>
      </c>
      <c r="Y482" s="5" t="s">
        <v>189</v>
      </c>
      <c r="Z482" s="5" t="b">
        <v>0</v>
      </c>
      <c r="AA482" s="10"/>
      <c r="AB482" s="4">
        <v>1.0</v>
      </c>
      <c r="AC482" s="11" t="s">
        <v>2915</v>
      </c>
      <c r="AD482" s="5">
        <v>0.0</v>
      </c>
      <c r="AE482" s="5">
        <v>1.0</v>
      </c>
      <c r="AF482" s="8">
        <v>46183.0</v>
      </c>
      <c r="AG482" s="9">
        <v>0.375</v>
      </c>
      <c r="AH482" s="9">
        <v>0.9166666666666666</v>
      </c>
      <c r="AI482" s="4" t="s">
        <v>49</v>
      </c>
      <c r="AJ482" s="5" t="s">
        <v>2916</v>
      </c>
      <c r="AK482" s="12"/>
      <c r="AL482" s="12">
        <v>46182.0</v>
      </c>
      <c r="AM482" s="12"/>
      <c r="AN482" s="12"/>
      <c r="AO482" s="12"/>
      <c r="AP482" s="12"/>
      <c r="AQ482" s="12"/>
    </row>
    <row r="483">
      <c r="A483" s="5" t="s">
        <v>2917</v>
      </c>
      <c r="B483" s="5">
        <v>1.1398423E7</v>
      </c>
      <c r="C483" s="5" t="s">
        <v>37</v>
      </c>
      <c r="D483" s="5" t="s">
        <v>2918</v>
      </c>
      <c r="E483" s="5" t="s">
        <v>39</v>
      </c>
      <c r="F483" s="5" t="s">
        <v>2919</v>
      </c>
      <c r="G483" s="15">
        <v>2.129323456E9</v>
      </c>
      <c r="H483" s="5" t="s">
        <v>2920</v>
      </c>
      <c r="I483" s="5" t="s">
        <v>42</v>
      </c>
      <c r="J483" s="5" t="s">
        <v>43</v>
      </c>
      <c r="K483" s="5">
        <v>8.7733785699E10</v>
      </c>
      <c r="L483" s="4" t="s">
        <v>44</v>
      </c>
      <c r="M483" s="5" t="s">
        <v>42</v>
      </c>
      <c r="N483" s="4" t="s">
        <v>45</v>
      </c>
      <c r="O483" s="4" t="s">
        <v>46</v>
      </c>
      <c r="P483" s="4" t="s">
        <v>187</v>
      </c>
      <c r="Q483" s="4">
        <v>16451.0</v>
      </c>
      <c r="R483" s="5" t="s">
        <v>2921</v>
      </c>
      <c r="S483" s="8">
        <v>46183.0</v>
      </c>
      <c r="T483" s="9">
        <v>0.375</v>
      </c>
      <c r="U483" s="9">
        <v>0.9166666666666666</v>
      </c>
      <c r="V483" s="4" t="s">
        <v>49</v>
      </c>
      <c r="W483" s="5">
        <v>1.0</v>
      </c>
      <c r="X483" s="5" t="b">
        <v>1</v>
      </c>
      <c r="Y483" s="5" t="s">
        <v>189</v>
      </c>
      <c r="Z483" s="5" t="b">
        <v>0</v>
      </c>
      <c r="AA483" s="10"/>
      <c r="AB483" s="4">
        <v>1.0</v>
      </c>
      <c r="AC483" s="11" t="s">
        <v>2922</v>
      </c>
      <c r="AD483" s="5">
        <v>0.0</v>
      </c>
      <c r="AE483" s="5">
        <v>1.0</v>
      </c>
      <c r="AF483" s="8">
        <v>46183.0</v>
      </c>
      <c r="AG483" s="9">
        <v>0.375</v>
      </c>
      <c r="AH483" s="9">
        <v>0.9166666666666666</v>
      </c>
      <c r="AI483" s="4" t="s">
        <v>49</v>
      </c>
      <c r="AJ483" s="5" t="s">
        <v>2923</v>
      </c>
      <c r="AK483" s="12"/>
      <c r="AL483" s="12">
        <v>46182.0</v>
      </c>
      <c r="AM483" s="12"/>
      <c r="AN483" s="12"/>
      <c r="AO483" s="12"/>
      <c r="AP483" s="12"/>
      <c r="AQ483" s="12"/>
    </row>
    <row r="484">
      <c r="A484" s="5" t="s">
        <v>2924</v>
      </c>
      <c r="B484" s="5">
        <v>1.1398423E7</v>
      </c>
      <c r="C484" s="5" t="s">
        <v>37</v>
      </c>
      <c r="D484" s="5" t="s">
        <v>2925</v>
      </c>
      <c r="E484" s="5" t="s">
        <v>39</v>
      </c>
      <c r="F484" s="5" t="s">
        <v>2926</v>
      </c>
      <c r="G484" s="15">
        <v>8.1585857777E10</v>
      </c>
      <c r="H484" s="5" t="s">
        <v>2927</v>
      </c>
      <c r="I484" s="5" t="s">
        <v>42</v>
      </c>
      <c r="J484" s="5" t="s">
        <v>43</v>
      </c>
      <c r="K484" s="5">
        <v>8.7733785699E10</v>
      </c>
      <c r="L484" s="4" t="s">
        <v>44</v>
      </c>
      <c r="M484" s="5" t="s">
        <v>42</v>
      </c>
      <c r="N484" s="4" t="s">
        <v>45</v>
      </c>
      <c r="O484" s="4" t="s">
        <v>46</v>
      </c>
      <c r="P484" s="4" t="s">
        <v>187</v>
      </c>
      <c r="Q484" s="4">
        <v>16451.0</v>
      </c>
      <c r="R484" s="5" t="s">
        <v>2928</v>
      </c>
      <c r="S484" s="8">
        <v>46183.0</v>
      </c>
      <c r="T484" s="9">
        <v>0.375</v>
      </c>
      <c r="U484" s="9">
        <v>0.9166666666666666</v>
      </c>
      <c r="V484" s="4" t="s">
        <v>49</v>
      </c>
      <c r="W484" s="5">
        <v>1.0</v>
      </c>
      <c r="X484" s="5" t="b">
        <v>1</v>
      </c>
      <c r="Y484" s="5" t="s">
        <v>189</v>
      </c>
      <c r="Z484" s="5" t="b">
        <v>0</v>
      </c>
      <c r="AA484" s="10"/>
      <c r="AB484" s="4">
        <v>1.0</v>
      </c>
      <c r="AC484" s="11" t="s">
        <v>2929</v>
      </c>
      <c r="AD484" s="5">
        <v>0.0</v>
      </c>
      <c r="AE484" s="5">
        <v>1.0</v>
      </c>
      <c r="AF484" s="8">
        <v>46183.0</v>
      </c>
      <c r="AG484" s="9">
        <v>0.375</v>
      </c>
      <c r="AH484" s="9">
        <v>0.9166666666666666</v>
      </c>
      <c r="AI484" s="4" t="s">
        <v>49</v>
      </c>
      <c r="AJ484" s="5" t="s">
        <v>2930</v>
      </c>
      <c r="AK484" s="12"/>
      <c r="AL484" s="12">
        <v>46182.0</v>
      </c>
      <c r="AM484" s="12"/>
      <c r="AN484" s="12"/>
      <c r="AO484" s="12"/>
      <c r="AP484" s="12"/>
      <c r="AQ484" s="12"/>
    </row>
    <row r="485">
      <c r="A485" s="5" t="s">
        <v>2931</v>
      </c>
      <c r="B485" s="5">
        <v>1.1398423E7</v>
      </c>
      <c r="C485" s="5" t="s">
        <v>37</v>
      </c>
      <c r="D485" s="5" t="s">
        <v>2932</v>
      </c>
      <c r="E485" s="5" t="s">
        <v>39</v>
      </c>
      <c r="F485" s="5" t="s">
        <v>2933</v>
      </c>
      <c r="G485" s="15">
        <v>8.1617575708E10</v>
      </c>
      <c r="H485" s="5" t="s">
        <v>2934</v>
      </c>
      <c r="I485" s="5" t="s">
        <v>42</v>
      </c>
      <c r="J485" s="5" t="s">
        <v>43</v>
      </c>
      <c r="K485" s="5">
        <v>8.7733785699E10</v>
      </c>
      <c r="L485" s="4" t="s">
        <v>44</v>
      </c>
      <c r="M485" s="5" t="s">
        <v>42</v>
      </c>
      <c r="N485" s="4" t="s">
        <v>45</v>
      </c>
      <c r="O485" s="4" t="s">
        <v>46</v>
      </c>
      <c r="P485" s="4" t="s">
        <v>187</v>
      </c>
      <c r="Q485" s="4">
        <v>16451.0</v>
      </c>
      <c r="R485" s="5" t="s">
        <v>2935</v>
      </c>
      <c r="S485" s="8">
        <v>46183.0</v>
      </c>
      <c r="T485" s="9">
        <v>0.375</v>
      </c>
      <c r="U485" s="9">
        <v>0.9166666666666666</v>
      </c>
      <c r="V485" s="4" t="s">
        <v>49</v>
      </c>
      <c r="W485" s="5">
        <v>1.0</v>
      </c>
      <c r="X485" s="5" t="b">
        <v>1</v>
      </c>
      <c r="Y485" s="5" t="s">
        <v>189</v>
      </c>
      <c r="Z485" s="5" t="b">
        <v>0</v>
      </c>
      <c r="AA485" s="10"/>
      <c r="AB485" s="4">
        <v>1.0</v>
      </c>
      <c r="AC485" s="11" t="s">
        <v>2936</v>
      </c>
      <c r="AD485" s="5">
        <v>0.0</v>
      </c>
      <c r="AE485" s="5">
        <v>1.0</v>
      </c>
      <c r="AF485" s="8">
        <v>46183.0</v>
      </c>
      <c r="AG485" s="9">
        <v>0.375</v>
      </c>
      <c r="AH485" s="9">
        <v>0.9166666666666666</v>
      </c>
      <c r="AI485" s="4" t="s">
        <v>49</v>
      </c>
      <c r="AJ485" s="5" t="s">
        <v>2937</v>
      </c>
      <c r="AK485" s="12"/>
      <c r="AL485" s="12">
        <v>46182.0</v>
      </c>
      <c r="AM485" s="12"/>
      <c r="AN485" s="12"/>
      <c r="AO485" s="12"/>
      <c r="AP485" s="12"/>
      <c r="AQ485" s="12"/>
    </row>
    <row r="486">
      <c r="A486" s="5" t="s">
        <v>2938</v>
      </c>
      <c r="B486" s="5">
        <v>1.1398423E7</v>
      </c>
      <c r="C486" s="5" t="s">
        <v>37</v>
      </c>
      <c r="D486" s="5" t="s">
        <v>2939</v>
      </c>
      <c r="E486" s="5" t="s">
        <v>39</v>
      </c>
      <c r="F486" s="5" t="s">
        <v>1105</v>
      </c>
      <c r="G486" s="15">
        <v>6.2859E16</v>
      </c>
      <c r="H486" s="5" t="s">
        <v>1106</v>
      </c>
      <c r="I486" s="5" t="s">
        <v>42</v>
      </c>
      <c r="J486" s="5" t="s">
        <v>43</v>
      </c>
      <c r="K486" s="5">
        <v>8.7733785699E10</v>
      </c>
      <c r="L486" s="4" t="s">
        <v>44</v>
      </c>
      <c r="M486" s="5" t="s">
        <v>42</v>
      </c>
      <c r="N486" s="4" t="s">
        <v>45</v>
      </c>
      <c r="O486" s="4" t="s">
        <v>46</v>
      </c>
      <c r="P486" s="4" t="s">
        <v>187</v>
      </c>
      <c r="Q486" s="4">
        <v>16451.0</v>
      </c>
      <c r="R486" s="5" t="s">
        <v>2940</v>
      </c>
      <c r="S486" s="8">
        <v>46183.0</v>
      </c>
      <c r="T486" s="9">
        <v>0.375</v>
      </c>
      <c r="U486" s="9">
        <v>0.9166666666666666</v>
      </c>
      <c r="V486" s="4" t="s">
        <v>49</v>
      </c>
      <c r="W486" s="5">
        <v>1.0</v>
      </c>
      <c r="X486" s="5" t="b">
        <v>1</v>
      </c>
      <c r="Y486" s="5" t="s">
        <v>189</v>
      </c>
      <c r="Z486" s="5" t="b">
        <v>0</v>
      </c>
      <c r="AA486" s="10"/>
      <c r="AB486" s="4">
        <v>1.0</v>
      </c>
      <c r="AC486" s="11" t="s">
        <v>2941</v>
      </c>
      <c r="AD486" s="5">
        <v>0.0</v>
      </c>
      <c r="AE486" s="5">
        <v>1.0</v>
      </c>
      <c r="AF486" s="8">
        <v>46183.0</v>
      </c>
      <c r="AG486" s="9">
        <v>0.375</v>
      </c>
      <c r="AH486" s="9">
        <v>0.9166666666666666</v>
      </c>
      <c r="AI486" s="4" t="s">
        <v>49</v>
      </c>
      <c r="AJ486" s="5" t="s">
        <v>2942</v>
      </c>
      <c r="AK486" s="12"/>
      <c r="AL486" s="12">
        <v>46182.0</v>
      </c>
      <c r="AM486" s="12"/>
      <c r="AN486" s="12"/>
      <c r="AO486" s="12"/>
      <c r="AP486" s="12"/>
      <c r="AQ486" s="12"/>
    </row>
    <row r="487">
      <c r="A487" s="5" t="s">
        <v>2943</v>
      </c>
      <c r="B487" s="5">
        <v>1.1398423E7</v>
      </c>
      <c r="C487" s="5" t="s">
        <v>37</v>
      </c>
      <c r="D487" s="5" t="s">
        <v>2944</v>
      </c>
      <c r="E487" s="5" t="s">
        <v>39</v>
      </c>
      <c r="F487" s="5" t="s">
        <v>2945</v>
      </c>
      <c r="G487" s="15">
        <v>6.28121E17</v>
      </c>
      <c r="H487" s="5" t="s">
        <v>2946</v>
      </c>
      <c r="I487" s="5" t="s">
        <v>42</v>
      </c>
      <c r="J487" s="5" t="s">
        <v>43</v>
      </c>
      <c r="K487" s="5">
        <v>8.7733785699E10</v>
      </c>
      <c r="L487" s="4" t="s">
        <v>44</v>
      </c>
      <c r="M487" s="5" t="s">
        <v>42</v>
      </c>
      <c r="N487" s="4" t="s">
        <v>45</v>
      </c>
      <c r="O487" s="4" t="s">
        <v>46</v>
      </c>
      <c r="P487" s="4" t="s">
        <v>187</v>
      </c>
      <c r="Q487" s="4">
        <v>16451.0</v>
      </c>
      <c r="R487" s="5" t="s">
        <v>2947</v>
      </c>
      <c r="S487" s="8">
        <v>46183.0</v>
      </c>
      <c r="T487" s="9">
        <v>0.375</v>
      </c>
      <c r="U487" s="9">
        <v>0.9166666666666666</v>
      </c>
      <c r="V487" s="4" t="s">
        <v>49</v>
      </c>
      <c r="W487" s="5">
        <v>1.0</v>
      </c>
      <c r="X487" s="5" t="b">
        <v>1</v>
      </c>
      <c r="Y487" s="5" t="s">
        <v>189</v>
      </c>
      <c r="Z487" s="5" t="b">
        <v>0</v>
      </c>
      <c r="AA487" s="10"/>
      <c r="AB487" s="4">
        <v>1.0</v>
      </c>
      <c r="AC487" s="11" t="s">
        <v>2948</v>
      </c>
      <c r="AD487" s="5">
        <v>0.0</v>
      </c>
      <c r="AE487" s="5">
        <v>1.0</v>
      </c>
      <c r="AF487" s="8">
        <v>46183.0</v>
      </c>
      <c r="AG487" s="9">
        <v>0.375</v>
      </c>
      <c r="AH487" s="9">
        <v>0.9166666666666666</v>
      </c>
      <c r="AI487" s="4" t="s">
        <v>49</v>
      </c>
      <c r="AJ487" s="5" t="s">
        <v>2949</v>
      </c>
      <c r="AK487" s="12"/>
      <c r="AL487" s="12">
        <v>46182.0</v>
      </c>
      <c r="AM487" s="12"/>
      <c r="AN487" s="12"/>
      <c r="AO487" s="12"/>
      <c r="AP487" s="12"/>
      <c r="AQ487" s="12"/>
    </row>
    <row r="488">
      <c r="A488" s="5" t="s">
        <v>2950</v>
      </c>
      <c r="B488" s="5">
        <v>1.1398423E7</v>
      </c>
      <c r="C488" s="5" t="s">
        <v>37</v>
      </c>
      <c r="D488" s="5" t="s">
        <v>2951</v>
      </c>
      <c r="E488" s="5" t="s">
        <v>39</v>
      </c>
      <c r="F488" s="5" t="s">
        <v>1145</v>
      </c>
      <c r="G488" s="15">
        <v>8.2217371661E10</v>
      </c>
      <c r="H488" s="5" t="s">
        <v>1146</v>
      </c>
      <c r="I488" s="5" t="s">
        <v>42</v>
      </c>
      <c r="J488" s="5" t="s">
        <v>43</v>
      </c>
      <c r="K488" s="5">
        <v>8.7733785699E10</v>
      </c>
      <c r="L488" s="4" t="s">
        <v>44</v>
      </c>
      <c r="M488" s="5" t="s">
        <v>42</v>
      </c>
      <c r="N488" s="4" t="s">
        <v>45</v>
      </c>
      <c r="O488" s="4" t="s">
        <v>46</v>
      </c>
      <c r="P488" s="4" t="s">
        <v>187</v>
      </c>
      <c r="Q488" s="4">
        <v>16451.0</v>
      </c>
      <c r="R488" s="5" t="s">
        <v>2952</v>
      </c>
      <c r="S488" s="8">
        <v>46183.0</v>
      </c>
      <c r="T488" s="9">
        <v>0.375</v>
      </c>
      <c r="U488" s="9">
        <v>0.9166666666666666</v>
      </c>
      <c r="V488" s="4" t="s">
        <v>49</v>
      </c>
      <c r="W488" s="5">
        <v>1.0</v>
      </c>
      <c r="X488" s="5" t="b">
        <v>1</v>
      </c>
      <c r="Y488" s="5" t="s">
        <v>189</v>
      </c>
      <c r="Z488" s="5" t="b">
        <v>0</v>
      </c>
      <c r="AA488" s="10"/>
      <c r="AB488" s="4">
        <v>1.0</v>
      </c>
      <c r="AC488" s="11" t="s">
        <v>2953</v>
      </c>
      <c r="AD488" s="5">
        <v>0.0</v>
      </c>
      <c r="AE488" s="5">
        <v>1.0</v>
      </c>
      <c r="AF488" s="8">
        <v>46183.0</v>
      </c>
      <c r="AG488" s="9">
        <v>0.375</v>
      </c>
      <c r="AH488" s="9">
        <v>0.9166666666666666</v>
      </c>
      <c r="AI488" s="4" t="s">
        <v>49</v>
      </c>
      <c r="AJ488" s="5" t="s">
        <v>2954</v>
      </c>
      <c r="AK488" s="12"/>
      <c r="AL488" s="12">
        <v>46182.0</v>
      </c>
      <c r="AM488" s="12"/>
      <c r="AN488" s="12"/>
      <c r="AO488" s="12"/>
      <c r="AP488" s="12"/>
      <c r="AQ488" s="12"/>
    </row>
    <row r="489">
      <c r="A489" s="5" t="s">
        <v>2955</v>
      </c>
      <c r="B489" s="5">
        <v>1.1398423E7</v>
      </c>
      <c r="C489" s="5" t="s">
        <v>37</v>
      </c>
      <c r="D489" s="5" t="s">
        <v>2956</v>
      </c>
      <c r="E489" s="5" t="s">
        <v>39</v>
      </c>
      <c r="F489" s="5" t="s">
        <v>2957</v>
      </c>
      <c r="G489" s="15">
        <v>6.2823E16</v>
      </c>
      <c r="H489" s="5" t="s">
        <v>2958</v>
      </c>
      <c r="I489" s="5" t="s">
        <v>42</v>
      </c>
      <c r="J489" s="5" t="s">
        <v>43</v>
      </c>
      <c r="K489" s="5">
        <v>8.7733785699E10</v>
      </c>
      <c r="L489" s="4" t="s">
        <v>44</v>
      </c>
      <c r="M489" s="5" t="s">
        <v>42</v>
      </c>
      <c r="N489" s="4" t="s">
        <v>45</v>
      </c>
      <c r="O489" s="4" t="s">
        <v>46</v>
      </c>
      <c r="P489" s="4" t="s">
        <v>187</v>
      </c>
      <c r="Q489" s="4">
        <v>16451.0</v>
      </c>
      <c r="R489" s="5" t="s">
        <v>2959</v>
      </c>
      <c r="S489" s="8">
        <v>46183.0</v>
      </c>
      <c r="T489" s="9">
        <v>0.375</v>
      </c>
      <c r="U489" s="9">
        <v>0.9166666666666666</v>
      </c>
      <c r="V489" s="4" t="s">
        <v>49</v>
      </c>
      <c r="W489" s="5">
        <v>1.0</v>
      </c>
      <c r="X489" s="5" t="b">
        <v>1</v>
      </c>
      <c r="Y489" s="5" t="s">
        <v>189</v>
      </c>
      <c r="Z489" s="5" t="b">
        <v>0</v>
      </c>
      <c r="AA489" s="10"/>
      <c r="AB489" s="4">
        <v>1.0</v>
      </c>
      <c r="AC489" s="11" t="s">
        <v>2960</v>
      </c>
      <c r="AD489" s="5">
        <v>0.0</v>
      </c>
      <c r="AE489" s="5">
        <v>1.0</v>
      </c>
      <c r="AF489" s="8">
        <v>46183.0</v>
      </c>
      <c r="AG489" s="9">
        <v>0.375</v>
      </c>
      <c r="AH489" s="9">
        <v>0.9166666666666666</v>
      </c>
      <c r="AI489" s="4" t="s">
        <v>49</v>
      </c>
      <c r="AJ489" s="5" t="s">
        <v>2961</v>
      </c>
      <c r="AK489" s="12"/>
      <c r="AL489" s="12">
        <v>46182.0</v>
      </c>
      <c r="AM489" s="12"/>
      <c r="AN489" s="12"/>
      <c r="AO489" s="12"/>
      <c r="AP489" s="12"/>
      <c r="AQ489" s="12"/>
    </row>
    <row r="490">
      <c r="A490" s="5" t="s">
        <v>2962</v>
      </c>
      <c r="B490" s="5">
        <v>1.1398423E7</v>
      </c>
      <c r="C490" s="5" t="s">
        <v>37</v>
      </c>
      <c r="D490" s="5" t="s">
        <v>2963</v>
      </c>
      <c r="E490" s="5" t="s">
        <v>39</v>
      </c>
      <c r="F490" s="5" t="s">
        <v>2964</v>
      </c>
      <c r="G490" s="15">
        <v>6.28581E17</v>
      </c>
      <c r="H490" s="5" t="s">
        <v>2965</v>
      </c>
      <c r="I490" s="5" t="s">
        <v>42</v>
      </c>
      <c r="J490" s="5" t="s">
        <v>43</v>
      </c>
      <c r="K490" s="5">
        <v>8.7733785699E10</v>
      </c>
      <c r="L490" s="4" t="s">
        <v>44</v>
      </c>
      <c r="M490" s="5" t="s">
        <v>42</v>
      </c>
      <c r="N490" s="4" t="s">
        <v>45</v>
      </c>
      <c r="O490" s="4" t="s">
        <v>46</v>
      </c>
      <c r="P490" s="4" t="s">
        <v>187</v>
      </c>
      <c r="Q490" s="4">
        <v>16451.0</v>
      </c>
      <c r="R490" s="5" t="s">
        <v>2966</v>
      </c>
      <c r="S490" s="8">
        <v>46183.0</v>
      </c>
      <c r="T490" s="9">
        <v>0.375</v>
      </c>
      <c r="U490" s="9">
        <v>0.9166666666666666</v>
      </c>
      <c r="V490" s="4" t="s">
        <v>49</v>
      </c>
      <c r="W490" s="5">
        <v>1.0</v>
      </c>
      <c r="X490" s="5" t="b">
        <v>1</v>
      </c>
      <c r="Y490" s="5" t="s">
        <v>189</v>
      </c>
      <c r="Z490" s="5" t="b">
        <v>0</v>
      </c>
      <c r="AA490" s="10"/>
      <c r="AB490" s="4">
        <v>1.0</v>
      </c>
      <c r="AC490" s="11" t="s">
        <v>2967</v>
      </c>
      <c r="AD490" s="5">
        <v>0.0</v>
      </c>
      <c r="AE490" s="5">
        <v>1.0</v>
      </c>
      <c r="AF490" s="8">
        <v>46183.0</v>
      </c>
      <c r="AG490" s="9">
        <v>0.375</v>
      </c>
      <c r="AH490" s="9">
        <v>0.9166666666666666</v>
      </c>
      <c r="AI490" s="4" t="s">
        <v>49</v>
      </c>
      <c r="AJ490" s="5" t="s">
        <v>2968</v>
      </c>
      <c r="AK490" s="12"/>
      <c r="AL490" s="12">
        <v>46182.0</v>
      </c>
      <c r="AM490" s="12"/>
      <c r="AN490" s="12"/>
      <c r="AO490" s="12"/>
      <c r="AP490" s="12"/>
      <c r="AQ490" s="12"/>
    </row>
    <row r="491">
      <c r="A491" s="5" t="s">
        <v>2969</v>
      </c>
      <c r="B491" s="5">
        <v>1.1398423E7</v>
      </c>
      <c r="C491" s="5" t="s">
        <v>37</v>
      </c>
      <c r="D491" s="5" t="s">
        <v>2970</v>
      </c>
      <c r="E491" s="5" t="s">
        <v>39</v>
      </c>
      <c r="F491" s="5" t="s">
        <v>2971</v>
      </c>
      <c r="G491" s="15">
        <v>8.5880687416E10</v>
      </c>
      <c r="H491" s="5" t="s">
        <v>2972</v>
      </c>
      <c r="I491" s="5" t="s">
        <v>42</v>
      </c>
      <c r="J491" s="5" t="s">
        <v>43</v>
      </c>
      <c r="K491" s="5">
        <v>8.7733785699E10</v>
      </c>
      <c r="L491" s="4" t="s">
        <v>44</v>
      </c>
      <c r="M491" s="5" t="s">
        <v>42</v>
      </c>
      <c r="N491" s="4" t="s">
        <v>45</v>
      </c>
      <c r="O491" s="4" t="s">
        <v>46</v>
      </c>
      <c r="P491" s="4" t="s">
        <v>187</v>
      </c>
      <c r="Q491" s="4">
        <v>16451.0</v>
      </c>
      <c r="R491" s="5" t="s">
        <v>2973</v>
      </c>
      <c r="S491" s="8">
        <v>46183.0</v>
      </c>
      <c r="T491" s="9">
        <v>0.375</v>
      </c>
      <c r="U491" s="9">
        <v>0.9166666666666666</v>
      </c>
      <c r="V491" s="4" t="s">
        <v>49</v>
      </c>
      <c r="W491" s="5">
        <v>1.0</v>
      </c>
      <c r="X491" s="5" t="b">
        <v>1</v>
      </c>
      <c r="Y491" s="5" t="s">
        <v>189</v>
      </c>
      <c r="Z491" s="5" t="b">
        <v>0</v>
      </c>
      <c r="AA491" s="10"/>
      <c r="AB491" s="4">
        <v>1.0</v>
      </c>
      <c r="AC491" s="11" t="s">
        <v>2974</v>
      </c>
      <c r="AD491" s="5">
        <v>0.0</v>
      </c>
      <c r="AE491" s="5">
        <v>1.0</v>
      </c>
      <c r="AF491" s="8">
        <v>46183.0</v>
      </c>
      <c r="AG491" s="9">
        <v>0.375</v>
      </c>
      <c r="AH491" s="9">
        <v>0.9166666666666666</v>
      </c>
      <c r="AI491" s="4" t="s">
        <v>49</v>
      </c>
      <c r="AJ491" s="5" t="s">
        <v>2975</v>
      </c>
      <c r="AK491" s="12"/>
      <c r="AL491" s="12">
        <v>46182.0</v>
      </c>
      <c r="AM491" s="12"/>
      <c r="AN491" s="12"/>
      <c r="AO491" s="12"/>
      <c r="AP491" s="12"/>
      <c r="AQ491" s="12"/>
    </row>
    <row r="492">
      <c r="A492" s="5" t="s">
        <v>2976</v>
      </c>
      <c r="B492" s="5">
        <v>1.1398423E7</v>
      </c>
      <c r="C492" s="5" t="s">
        <v>37</v>
      </c>
      <c r="D492" s="5" t="s">
        <v>2977</v>
      </c>
      <c r="E492" s="5" t="s">
        <v>39</v>
      </c>
      <c r="F492" s="5" t="s">
        <v>2978</v>
      </c>
      <c r="G492" s="15">
        <v>8.16806328E8</v>
      </c>
      <c r="H492" s="5" t="s">
        <v>2979</v>
      </c>
      <c r="I492" s="5" t="s">
        <v>42</v>
      </c>
      <c r="J492" s="5" t="s">
        <v>43</v>
      </c>
      <c r="K492" s="5">
        <v>8.7733785699E10</v>
      </c>
      <c r="L492" s="4" t="s">
        <v>44</v>
      </c>
      <c r="M492" s="5" t="s">
        <v>42</v>
      </c>
      <c r="N492" s="4" t="s">
        <v>45</v>
      </c>
      <c r="O492" s="4" t="s">
        <v>46</v>
      </c>
      <c r="P492" s="4" t="s">
        <v>187</v>
      </c>
      <c r="Q492" s="4">
        <v>16451.0</v>
      </c>
      <c r="R492" s="5" t="s">
        <v>2980</v>
      </c>
      <c r="S492" s="8">
        <v>46183.0</v>
      </c>
      <c r="T492" s="9">
        <v>0.375</v>
      </c>
      <c r="U492" s="9">
        <v>0.9166666666666666</v>
      </c>
      <c r="V492" s="4" t="s">
        <v>49</v>
      </c>
      <c r="W492" s="5">
        <v>1.0</v>
      </c>
      <c r="X492" s="5" t="b">
        <v>1</v>
      </c>
      <c r="Y492" s="5" t="s">
        <v>189</v>
      </c>
      <c r="Z492" s="5" t="b">
        <v>0</v>
      </c>
      <c r="AA492" s="10"/>
      <c r="AB492" s="4">
        <v>1.0</v>
      </c>
      <c r="AC492" s="11" t="s">
        <v>2981</v>
      </c>
      <c r="AD492" s="5">
        <v>0.0</v>
      </c>
      <c r="AE492" s="5">
        <v>1.0</v>
      </c>
      <c r="AF492" s="8">
        <v>46183.0</v>
      </c>
      <c r="AG492" s="9">
        <v>0.375</v>
      </c>
      <c r="AH492" s="9">
        <v>0.9166666666666666</v>
      </c>
      <c r="AI492" s="4" t="s">
        <v>49</v>
      </c>
      <c r="AJ492" s="5" t="s">
        <v>2982</v>
      </c>
      <c r="AK492" s="12"/>
      <c r="AL492" s="12">
        <v>46182.0</v>
      </c>
      <c r="AM492" s="12"/>
      <c r="AN492" s="12"/>
      <c r="AO492" s="12"/>
      <c r="AP492" s="12"/>
      <c r="AQ492" s="12"/>
    </row>
    <row r="493">
      <c r="A493" s="5" t="s">
        <v>2983</v>
      </c>
      <c r="B493" s="5">
        <v>1.1398423E7</v>
      </c>
      <c r="C493" s="5" t="s">
        <v>37</v>
      </c>
      <c r="D493" s="5" t="s">
        <v>2984</v>
      </c>
      <c r="E493" s="5" t="s">
        <v>39</v>
      </c>
      <c r="F493" s="5" t="s">
        <v>1484</v>
      </c>
      <c r="G493" s="15">
        <v>6.28132E17</v>
      </c>
      <c r="H493" s="5" t="s">
        <v>1485</v>
      </c>
      <c r="I493" s="5" t="s">
        <v>42</v>
      </c>
      <c r="J493" s="5" t="s">
        <v>43</v>
      </c>
      <c r="K493" s="5">
        <v>8.7733785699E10</v>
      </c>
      <c r="L493" s="4" t="s">
        <v>44</v>
      </c>
      <c r="M493" s="5" t="s">
        <v>42</v>
      </c>
      <c r="N493" s="4" t="s">
        <v>45</v>
      </c>
      <c r="O493" s="4" t="s">
        <v>46</v>
      </c>
      <c r="P493" s="4" t="s">
        <v>187</v>
      </c>
      <c r="Q493" s="4">
        <v>16451.0</v>
      </c>
      <c r="R493" s="5" t="s">
        <v>2985</v>
      </c>
      <c r="S493" s="8">
        <v>46183.0</v>
      </c>
      <c r="T493" s="9">
        <v>0.375</v>
      </c>
      <c r="U493" s="9">
        <v>0.9166666666666666</v>
      </c>
      <c r="V493" s="4" t="s">
        <v>49</v>
      </c>
      <c r="W493" s="5">
        <v>1.0</v>
      </c>
      <c r="X493" s="5" t="b">
        <v>1</v>
      </c>
      <c r="Y493" s="5" t="s">
        <v>189</v>
      </c>
      <c r="Z493" s="5" t="b">
        <v>0</v>
      </c>
      <c r="AA493" s="10"/>
      <c r="AB493" s="4">
        <v>1.0</v>
      </c>
      <c r="AC493" s="11" t="s">
        <v>2986</v>
      </c>
      <c r="AD493" s="5">
        <v>0.0</v>
      </c>
      <c r="AE493" s="5">
        <v>1.0</v>
      </c>
      <c r="AF493" s="8">
        <v>46183.0</v>
      </c>
      <c r="AG493" s="9">
        <v>0.375</v>
      </c>
      <c r="AH493" s="9">
        <v>0.9166666666666666</v>
      </c>
      <c r="AI493" s="4" t="s">
        <v>49</v>
      </c>
      <c r="AJ493" s="5" t="s">
        <v>2987</v>
      </c>
      <c r="AK493" s="12"/>
      <c r="AL493" s="12">
        <v>46182.0</v>
      </c>
      <c r="AM493" s="12"/>
      <c r="AN493" s="12"/>
      <c r="AO493" s="12"/>
      <c r="AP493" s="12"/>
      <c r="AQ493" s="12"/>
    </row>
    <row r="494">
      <c r="A494" s="5" t="s">
        <v>2988</v>
      </c>
      <c r="B494" s="5">
        <v>1.1398423E7</v>
      </c>
      <c r="C494" s="5" t="s">
        <v>37</v>
      </c>
      <c r="D494" s="5" t="s">
        <v>2989</v>
      </c>
      <c r="E494" s="5" t="s">
        <v>39</v>
      </c>
      <c r="F494" s="5" t="s">
        <v>2990</v>
      </c>
      <c r="G494" s="15">
        <v>2.17363846E8</v>
      </c>
      <c r="H494" s="5" t="s">
        <v>2991</v>
      </c>
      <c r="I494" s="5" t="s">
        <v>42</v>
      </c>
      <c r="J494" s="5" t="s">
        <v>43</v>
      </c>
      <c r="K494" s="5">
        <v>8.7733785699E10</v>
      </c>
      <c r="L494" s="4" t="s">
        <v>44</v>
      </c>
      <c r="M494" s="5" t="s">
        <v>42</v>
      </c>
      <c r="N494" s="4" t="s">
        <v>45</v>
      </c>
      <c r="O494" s="4" t="s">
        <v>46</v>
      </c>
      <c r="P494" s="4" t="s">
        <v>187</v>
      </c>
      <c r="Q494" s="4">
        <v>16451.0</v>
      </c>
      <c r="R494" s="5" t="s">
        <v>2992</v>
      </c>
      <c r="S494" s="8">
        <v>46183.0</v>
      </c>
      <c r="T494" s="9">
        <v>0.375</v>
      </c>
      <c r="U494" s="9">
        <v>0.9166666666666666</v>
      </c>
      <c r="V494" s="4" t="s">
        <v>49</v>
      </c>
      <c r="W494" s="5">
        <v>1.0</v>
      </c>
      <c r="X494" s="5" t="b">
        <v>1</v>
      </c>
      <c r="Y494" s="5" t="s">
        <v>189</v>
      </c>
      <c r="Z494" s="5" t="b">
        <v>0</v>
      </c>
      <c r="AA494" s="10"/>
      <c r="AB494" s="4">
        <v>1.0</v>
      </c>
      <c r="AC494" s="11" t="s">
        <v>2993</v>
      </c>
      <c r="AD494" s="5">
        <v>0.0</v>
      </c>
      <c r="AE494" s="5">
        <v>1.0</v>
      </c>
      <c r="AF494" s="8">
        <v>46183.0</v>
      </c>
      <c r="AG494" s="9">
        <v>0.375</v>
      </c>
      <c r="AH494" s="9">
        <v>0.9166666666666666</v>
      </c>
      <c r="AI494" s="4" t="s">
        <v>49</v>
      </c>
      <c r="AJ494" s="5" t="s">
        <v>2994</v>
      </c>
      <c r="AK494" s="12"/>
      <c r="AL494" s="12">
        <v>46182.0</v>
      </c>
      <c r="AM494" s="12"/>
      <c r="AN494" s="12"/>
      <c r="AO494" s="12"/>
      <c r="AP494" s="12"/>
      <c r="AQ494" s="12"/>
    </row>
    <row r="495">
      <c r="A495" s="5" t="s">
        <v>2995</v>
      </c>
      <c r="B495" s="5">
        <v>1.1398423E7</v>
      </c>
      <c r="C495" s="5" t="s">
        <v>37</v>
      </c>
      <c r="D495" s="5" t="s">
        <v>2996</v>
      </c>
      <c r="E495" s="5" t="s">
        <v>39</v>
      </c>
      <c r="F495" s="5" t="s">
        <v>2997</v>
      </c>
      <c r="G495" s="15">
        <v>6.28138E17</v>
      </c>
      <c r="H495" s="5" t="s">
        <v>2998</v>
      </c>
      <c r="I495" s="5" t="s">
        <v>42</v>
      </c>
      <c r="J495" s="5" t="s">
        <v>43</v>
      </c>
      <c r="K495" s="5">
        <v>8.7733785699E10</v>
      </c>
      <c r="L495" s="4" t="s">
        <v>44</v>
      </c>
      <c r="M495" s="5" t="s">
        <v>42</v>
      </c>
      <c r="N495" s="4" t="s">
        <v>45</v>
      </c>
      <c r="O495" s="4" t="s">
        <v>46</v>
      </c>
      <c r="P495" s="4" t="s">
        <v>187</v>
      </c>
      <c r="Q495" s="4">
        <v>16451.0</v>
      </c>
      <c r="R495" s="5" t="s">
        <v>2999</v>
      </c>
      <c r="S495" s="8">
        <v>46183.0</v>
      </c>
      <c r="T495" s="9">
        <v>0.375</v>
      </c>
      <c r="U495" s="9">
        <v>0.9166666666666666</v>
      </c>
      <c r="V495" s="4" t="s">
        <v>49</v>
      </c>
      <c r="W495" s="5">
        <v>1.0</v>
      </c>
      <c r="X495" s="5" t="b">
        <v>1</v>
      </c>
      <c r="Y495" s="5" t="s">
        <v>189</v>
      </c>
      <c r="Z495" s="5" t="b">
        <v>0</v>
      </c>
      <c r="AA495" s="10"/>
      <c r="AB495" s="4">
        <v>1.0</v>
      </c>
      <c r="AC495" s="11" t="s">
        <v>3000</v>
      </c>
      <c r="AD495" s="5">
        <v>0.0</v>
      </c>
      <c r="AE495" s="5">
        <v>1.0</v>
      </c>
      <c r="AF495" s="8">
        <v>46183.0</v>
      </c>
      <c r="AG495" s="9">
        <v>0.375</v>
      </c>
      <c r="AH495" s="9">
        <v>0.9166666666666666</v>
      </c>
      <c r="AI495" s="4" t="s">
        <v>49</v>
      </c>
      <c r="AJ495" s="5" t="s">
        <v>3001</v>
      </c>
      <c r="AK495" s="12"/>
      <c r="AL495" s="12">
        <v>46182.0</v>
      </c>
      <c r="AM495" s="12"/>
      <c r="AN495" s="12"/>
      <c r="AO495" s="12"/>
      <c r="AP495" s="12"/>
      <c r="AQ495" s="12"/>
    </row>
    <row r="496">
      <c r="A496" s="5" t="s">
        <v>3002</v>
      </c>
      <c r="B496" s="5">
        <v>1.1398423E7</v>
      </c>
      <c r="C496" s="5" t="s">
        <v>37</v>
      </c>
      <c r="D496" s="5" t="s">
        <v>3003</v>
      </c>
      <c r="E496" s="5" t="s">
        <v>39</v>
      </c>
      <c r="F496" s="5" t="s">
        <v>2012</v>
      </c>
      <c r="G496" s="15">
        <v>6.28191E17</v>
      </c>
      <c r="H496" s="5" t="s">
        <v>2013</v>
      </c>
      <c r="I496" s="5" t="s">
        <v>42</v>
      </c>
      <c r="J496" s="5" t="s">
        <v>43</v>
      </c>
      <c r="K496" s="5">
        <v>8.7733785699E10</v>
      </c>
      <c r="L496" s="4" t="s">
        <v>44</v>
      </c>
      <c r="M496" s="5" t="s">
        <v>42</v>
      </c>
      <c r="N496" s="4" t="s">
        <v>45</v>
      </c>
      <c r="O496" s="4" t="s">
        <v>46</v>
      </c>
      <c r="P496" s="4" t="s">
        <v>187</v>
      </c>
      <c r="Q496" s="4">
        <v>16451.0</v>
      </c>
      <c r="R496" s="5" t="s">
        <v>3004</v>
      </c>
      <c r="S496" s="8">
        <v>46183.0</v>
      </c>
      <c r="T496" s="9">
        <v>0.375</v>
      </c>
      <c r="U496" s="9">
        <v>0.9166666666666666</v>
      </c>
      <c r="V496" s="4" t="s">
        <v>49</v>
      </c>
      <c r="W496" s="5">
        <v>1.0</v>
      </c>
      <c r="X496" s="5" t="b">
        <v>1</v>
      </c>
      <c r="Y496" s="5" t="s">
        <v>189</v>
      </c>
      <c r="Z496" s="5" t="b">
        <v>0</v>
      </c>
      <c r="AA496" s="10"/>
      <c r="AB496" s="4">
        <v>1.0</v>
      </c>
      <c r="AC496" s="11" t="s">
        <v>3005</v>
      </c>
      <c r="AD496" s="5">
        <v>0.0</v>
      </c>
      <c r="AE496" s="5">
        <v>1.0</v>
      </c>
      <c r="AF496" s="8">
        <v>46183.0</v>
      </c>
      <c r="AG496" s="9">
        <v>0.375</v>
      </c>
      <c r="AH496" s="9">
        <v>0.9166666666666666</v>
      </c>
      <c r="AI496" s="4" t="s">
        <v>49</v>
      </c>
      <c r="AJ496" s="5" t="s">
        <v>3006</v>
      </c>
      <c r="AK496" s="12"/>
      <c r="AL496" s="12">
        <v>46182.0</v>
      </c>
      <c r="AM496" s="12"/>
      <c r="AN496" s="12"/>
      <c r="AO496" s="12"/>
      <c r="AP496" s="12"/>
      <c r="AQ496" s="12"/>
    </row>
    <row r="497">
      <c r="A497" s="5" t="s">
        <v>3007</v>
      </c>
      <c r="B497" s="5">
        <v>1.1398423E7</v>
      </c>
      <c r="C497" s="5" t="s">
        <v>37</v>
      </c>
      <c r="D497" s="5" t="s">
        <v>3008</v>
      </c>
      <c r="E497" s="5" t="s">
        <v>39</v>
      </c>
      <c r="F497" s="5" t="s">
        <v>1057</v>
      </c>
      <c r="G497" s="15">
        <v>8.128125437E9</v>
      </c>
      <c r="H497" s="5" t="s">
        <v>1058</v>
      </c>
      <c r="I497" s="5" t="s">
        <v>42</v>
      </c>
      <c r="J497" s="5" t="s">
        <v>43</v>
      </c>
      <c r="K497" s="5">
        <v>8.7733785699E10</v>
      </c>
      <c r="L497" s="4" t="s">
        <v>44</v>
      </c>
      <c r="M497" s="5" t="s">
        <v>42</v>
      </c>
      <c r="N497" s="4" t="s">
        <v>45</v>
      </c>
      <c r="O497" s="4" t="s">
        <v>46</v>
      </c>
      <c r="P497" s="4" t="s">
        <v>187</v>
      </c>
      <c r="Q497" s="4">
        <v>16451.0</v>
      </c>
      <c r="R497" s="5" t="s">
        <v>3009</v>
      </c>
      <c r="S497" s="8">
        <v>46183.0</v>
      </c>
      <c r="T497" s="9">
        <v>0.375</v>
      </c>
      <c r="U497" s="9">
        <v>0.9166666666666666</v>
      </c>
      <c r="V497" s="4" t="s">
        <v>49</v>
      </c>
      <c r="W497" s="5">
        <v>1.0</v>
      </c>
      <c r="X497" s="5" t="b">
        <v>1</v>
      </c>
      <c r="Y497" s="5" t="s">
        <v>189</v>
      </c>
      <c r="Z497" s="5" t="b">
        <v>0</v>
      </c>
      <c r="AA497" s="10"/>
      <c r="AB497" s="4">
        <v>1.0</v>
      </c>
      <c r="AC497" s="11" t="s">
        <v>3010</v>
      </c>
      <c r="AD497" s="5">
        <v>0.0</v>
      </c>
      <c r="AE497" s="5">
        <v>1.0</v>
      </c>
      <c r="AF497" s="8">
        <v>46183.0</v>
      </c>
      <c r="AG497" s="9">
        <v>0.375</v>
      </c>
      <c r="AH497" s="9">
        <v>0.9166666666666666</v>
      </c>
      <c r="AI497" s="4" t="s">
        <v>49</v>
      </c>
      <c r="AJ497" s="5" t="s">
        <v>3011</v>
      </c>
      <c r="AK497" s="12"/>
      <c r="AL497" s="12">
        <v>46182.0</v>
      </c>
      <c r="AM497" s="12"/>
      <c r="AN497" s="12"/>
      <c r="AO497" s="12"/>
      <c r="AP497" s="12"/>
      <c r="AQ497" s="12"/>
    </row>
    <row r="498">
      <c r="A498" s="5" t="s">
        <v>3012</v>
      </c>
      <c r="B498" s="5">
        <v>1.1398423E7</v>
      </c>
      <c r="C498" s="5" t="s">
        <v>37</v>
      </c>
      <c r="D498" s="5" t="s">
        <v>1598</v>
      </c>
      <c r="E498" s="5" t="s">
        <v>39</v>
      </c>
      <c r="F498" s="5" t="s">
        <v>240</v>
      </c>
      <c r="G498" s="15">
        <v>8.131705404E10</v>
      </c>
      <c r="H498" s="5" t="s">
        <v>241</v>
      </c>
      <c r="I498" s="5" t="s">
        <v>42</v>
      </c>
      <c r="J498" s="5" t="s">
        <v>43</v>
      </c>
      <c r="K498" s="5">
        <v>8.7733785699E10</v>
      </c>
      <c r="L498" s="4" t="s">
        <v>44</v>
      </c>
      <c r="M498" s="5" t="s">
        <v>42</v>
      </c>
      <c r="N498" s="4" t="s">
        <v>45</v>
      </c>
      <c r="O498" s="4" t="s">
        <v>46</v>
      </c>
      <c r="P498" s="4" t="s">
        <v>187</v>
      </c>
      <c r="Q498" s="4">
        <v>16451.0</v>
      </c>
      <c r="R498" s="5" t="s">
        <v>3013</v>
      </c>
      <c r="S498" s="8">
        <v>46183.0</v>
      </c>
      <c r="T498" s="9">
        <v>0.375</v>
      </c>
      <c r="U498" s="9">
        <v>0.9166666666666666</v>
      </c>
      <c r="V498" s="4" t="s">
        <v>49</v>
      </c>
      <c r="W498" s="5">
        <v>1.0</v>
      </c>
      <c r="X498" s="5" t="b">
        <v>1</v>
      </c>
      <c r="Y498" s="5" t="s">
        <v>189</v>
      </c>
      <c r="Z498" s="5" t="b">
        <v>0</v>
      </c>
      <c r="AA498" s="10"/>
      <c r="AB498" s="4">
        <v>1.0</v>
      </c>
      <c r="AC498" s="11" t="s">
        <v>3014</v>
      </c>
      <c r="AD498" s="5">
        <v>0.0</v>
      </c>
      <c r="AE498" s="5">
        <v>1.0</v>
      </c>
      <c r="AF498" s="8">
        <v>46183.0</v>
      </c>
      <c r="AG498" s="9">
        <v>0.375</v>
      </c>
      <c r="AH498" s="9">
        <v>0.9166666666666666</v>
      </c>
      <c r="AI498" s="4" t="s">
        <v>49</v>
      </c>
      <c r="AJ498" s="5" t="s">
        <v>3015</v>
      </c>
      <c r="AK498" s="12"/>
      <c r="AL498" s="12">
        <v>46182.0</v>
      </c>
      <c r="AM498" s="12"/>
      <c r="AN498" s="12"/>
      <c r="AO498" s="12"/>
      <c r="AP498" s="12"/>
      <c r="AQ498" s="12"/>
    </row>
    <row r="499">
      <c r="A499" s="5" t="s">
        <v>3016</v>
      </c>
      <c r="B499" s="5">
        <v>1.1398423E7</v>
      </c>
      <c r="C499" s="5" t="s">
        <v>37</v>
      </c>
      <c r="D499" s="5" t="s">
        <v>3017</v>
      </c>
      <c r="E499" s="5" t="s">
        <v>39</v>
      </c>
      <c r="F499" s="5" t="s">
        <v>3018</v>
      </c>
      <c r="G499" s="15">
        <v>6.28232E17</v>
      </c>
      <c r="H499" s="5" t="s">
        <v>3019</v>
      </c>
      <c r="I499" s="5" t="s">
        <v>42</v>
      </c>
      <c r="J499" s="5" t="s">
        <v>43</v>
      </c>
      <c r="K499" s="5">
        <v>8.7733785699E10</v>
      </c>
      <c r="L499" s="4" t="s">
        <v>44</v>
      </c>
      <c r="M499" s="5" t="s">
        <v>42</v>
      </c>
      <c r="N499" s="4" t="s">
        <v>45</v>
      </c>
      <c r="O499" s="4" t="s">
        <v>46</v>
      </c>
      <c r="P499" s="4" t="s">
        <v>187</v>
      </c>
      <c r="Q499" s="4">
        <v>16451.0</v>
      </c>
      <c r="R499" s="5" t="s">
        <v>3020</v>
      </c>
      <c r="S499" s="8">
        <v>46183.0</v>
      </c>
      <c r="T499" s="9">
        <v>0.375</v>
      </c>
      <c r="U499" s="9">
        <v>0.9166666666666666</v>
      </c>
      <c r="V499" s="4" t="s">
        <v>49</v>
      </c>
      <c r="W499" s="5">
        <v>1.0</v>
      </c>
      <c r="X499" s="5" t="b">
        <v>1</v>
      </c>
      <c r="Y499" s="5" t="s">
        <v>189</v>
      </c>
      <c r="Z499" s="5" t="b">
        <v>0</v>
      </c>
      <c r="AA499" s="10"/>
      <c r="AB499" s="4">
        <v>1.0</v>
      </c>
      <c r="AC499" s="11" t="s">
        <v>3021</v>
      </c>
      <c r="AD499" s="5">
        <v>0.0</v>
      </c>
      <c r="AE499" s="5">
        <v>1.0</v>
      </c>
      <c r="AF499" s="8">
        <v>46183.0</v>
      </c>
      <c r="AG499" s="9">
        <v>0.375</v>
      </c>
      <c r="AH499" s="9">
        <v>0.9166666666666666</v>
      </c>
      <c r="AI499" s="4" t="s">
        <v>49</v>
      </c>
      <c r="AJ499" s="5" t="s">
        <v>3022</v>
      </c>
      <c r="AK499" s="12"/>
      <c r="AL499" s="12">
        <v>46182.0</v>
      </c>
      <c r="AM499" s="12"/>
      <c r="AN499" s="12"/>
      <c r="AO499" s="12"/>
      <c r="AP499" s="12"/>
      <c r="AQ499" s="12"/>
    </row>
    <row r="500">
      <c r="A500" s="5" t="s">
        <v>3023</v>
      </c>
      <c r="B500" s="5">
        <v>1.1398423E7</v>
      </c>
      <c r="C500" s="5" t="s">
        <v>37</v>
      </c>
      <c r="D500" s="5" t="s">
        <v>3024</v>
      </c>
      <c r="E500" s="5" t="s">
        <v>39</v>
      </c>
      <c r="F500" s="5" t="s">
        <v>1564</v>
      </c>
      <c r="G500" s="15">
        <v>6.28531E17</v>
      </c>
      <c r="H500" s="5" t="s">
        <v>1565</v>
      </c>
      <c r="I500" s="5" t="s">
        <v>42</v>
      </c>
      <c r="J500" s="5" t="s">
        <v>43</v>
      </c>
      <c r="K500" s="5">
        <v>8.7733785699E10</v>
      </c>
      <c r="L500" s="4" t="s">
        <v>44</v>
      </c>
      <c r="M500" s="5" t="s">
        <v>42</v>
      </c>
      <c r="N500" s="4" t="s">
        <v>45</v>
      </c>
      <c r="O500" s="4" t="s">
        <v>46</v>
      </c>
      <c r="P500" s="4" t="s">
        <v>187</v>
      </c>
      <c r="Q500" s="4">
        <v>16451.0</v>
      </c>
      <c r="R500" s="5" t="s">
        <v>3025</v>
      </c>
      <c r="S500" s="8">
        <v>46183.0</v>
      </c>
      <c r="T500" s="9">
        <v>0.375</v>
      </c>
      <c r="U500" s="9">
        <v>0.9166666666666666</v>
      </c>
      <c r="V500" s="4" t="s">
        <v>49</v>
      </c>
      <c r="W500" s="5">
        <v>1.0</v>
      </c>
      <c r="X500" s="5" t="b">
        <v>1</v>
      </c>
      <c r="Y500" s="5" t="s">
        <v>189</v>
      </c>
      <c r="Z500" s="5" t="b">
        <v>0</v>
      </c>
      <c r="AA500" s="10"/>
      <c r="AB500" s="4">
        <v>1.0</v>
      </c>
      <c r="AC500" s="11" t="s">
        <v>3026</v>
      </c>
      <c r="AD500" s="5">
        <v>0.0</v>
      </c>
      <c r="AE500" s="5">
        <v>1.0</v>
      </c>
      <c r="AF500" s="8">
        <v>46183.0</v>
      </c>
      <c r="AG500" s="9">
        <v>0.375</v>
      </c>
      <c r="AH500" s="9">
        <v>0.9166666666666666</v>
      </c>
      <c r="AI500" s="4" t="s">
        <v>49</v>
      </c>
      <c r="AJ500" s="5" t="s">
        <v>3027</v>
      </c>
      <c r="AK500" s="12"/>
      <c r="AL500" s="12">
        <v>46182.0</v>
      </c>
      <c r="AM500" s="12"/>
      <c r="AN500" s="12"/>
      <c r="AO500" s="12"/>
      <c r="AP500" s="12"/>
      <c r="AQ500" s="12"/>
    </row>
    <row r="501">
      <c r="A501" s="5" t="s">
        <v>3028</v>
      </c>
      <c r="B501" s="5">
        <v>1.1398423E7</v>
      </c>
      <c r="C501" s="5" t="s">
        <v>37</v>
      </c>
      <c r="D501" s="5" t="s">
        <v>3029</v>
      </c>
      <c r="E501" s="5" t="s">
        <v>39</v>
      </c>
      <c r="F501" s="5" t="s">
        <v>582</v>
      </c>
      <c r="G501" s="15">
        <v>6.28531E17</v>
      </c>
      <c r="H501" s="5" t="s">
        <v>583</v>
      </c>
      <c r="I501" s="5" t="s">
        <v>42</v>
      </c>
      <c r="J501" s="5" t="s">
        <v>43</v>
      </c>
      <c r="K501" s="5">
        <v>8.7733785699E10</v>
      </c>
      <c r="L501" s="4" t="s">
        <v>44</v>
      </c>
      <c r="M501" s="5" t="s">
        <v>42</v>
      </c>
      <c r="N501" s="4" t="s">
        <v>45</v>
      </c>
      <c r="O501" s="4" t="s">
        <v>46</v>
      </c>
      <c r="P501" s="4" t="s">
        <v>187</v>
      </c>
      <c r="Q501" s="4">
        <v>16451.0</v>
      </c>
      <c r="R501" s="5" t="s">
        <v>3030</v>
      </c>
      <c r="S501" s="8">
        <v>46183.0</v>
      </c>
      <c r="T501" s="9">
        <v>0.375</v>
      </c>
      <c r="U501" s="9">
        <v>0.9166666666666666</v>
      </c>
      <c r="V501" s="4" t="s">
        <v>49</v>
      </c>
      <c r="W501" s="5">
        <v>1.0</v>
      </c>
      <c r="X501" s="5" t="b">
        <v>1</v>
      </c>
      <c r="Y501" s="5" t="s">
        <v>189</v>
      </c>
      <c r="Z501" s="5" t="b">
        <v>0</v>
      </c>
      <c r="AA501" s="10"/>
      <c r="AB501" s="4">
        <v>1.0</v>
      </c>
      <c r="AC501" s="11" t="s">
        <v>3031</v>
      </c>
      <c r="AD501" s="5">
        <v>0.0</v>
      </c>
      <c r="AE501" s="5">
        <v>1.0</v>
      </c>
      <c r="AF501" s="8">
        <v>46183.0</v>
      </c>
      <c r="AG501" s="9">
        <v>0.375</v>
      </c>
      <c r="AH501" s="9">
        <v>0.9166666666666666</v>
      </c>
      <c r="AI501" s="4" t="s">
        <v>49</v>
      </c>
      <c r="AJ501" s="5" t="s">
        <v>3032</v>
      </c>
      <c r="AK501" s="12"/>
      <c r="AL501" s="12">
        <v>46182.0</v>
      </c>
      <c r="AM501" s="12"/>
      <c r="AN501" s="12"/>
      <c r="AO501" s="12"/>
      <c r="AP501" s="12"/>
      <c r="AQ501" s="12"/>
    </row>
    <row r="502">
      <c r="A502" s="5" t="s">
        <v>3033</v>
      </c>
      <c r="B502" s="5">
        <v>1.1398423E7</v>
      </c>
      <c r="C502" s="5" t="s">
        <v>37</v>
      </c>
      <c r="D502" s="5" t="s">
        <v>1942</v>
      </c>
      <c r="E502" s="5" t="s">
        <v>39</v>
      </c>
      <c r="F502" s="5" t="s">
        <v>1933</v>
      </c>
      <c r="G502" s="15">
        <v>8.5722700017E10</v>
      </c>
      <c r="H502" s="5" t="s">
        <v>1934</v>
      </c>
      <c r="I502" s="5" t="s">
        <v>42</v>
      </c>
      <c r="J502" s="5" t="s">
        <v>43</v>
      </c>
      <c r="K502" s="5">
        <v>8.7733785699E10</v>
      </c>
      <c r="L502" s="4" t="s">
        <v>44</v>
      </c>
      <c r="M502" s="5" t="s">
        <v>42</v>
      </c>
      <c r="N502" s="4" t="s">
        <v>45</v>
      </c>
      <c r="O502" s="4" t="s">
        <v>46</v>
      </c>
      <c r="P502" s="4" t="s">
        <v>47</v>
      </c>
      <c r="Q502" s="4">
        <v>16451.0</v>
      </c>
      <c r="R502" s="5" t="s">
        <v>3034</v>
      </c>
      <c r="S502" s="8">
        <v>46183.0</v>
      </c>
      <c r="T502" s="9">
        <v>0.375</v>
      </c>
      <c r="U502" s="9">
        <v>0.9166666666666666</v>
      </c>
      <c r="V502" s="4" t="s">
        <v>49</v>
      </c>
      <c r="W502" s="5">
        <v>1.0</v>
      </c>
      <c r="X502" s="5" t="b">
        <v>1</v>
      </c>
      <c r="Y502" s="5" t="s">
        <v>50</v>
      </c>
      <c r="Z502" s="5" t="b">
        <v>0</v>
      </c>
      <c r="AA502" s="10"/>
      <c r="AB502" s="4">
        <v>1.0</v>
      </c>
      <c r="AC502" s="11" t="s">
        <v>3035</v>
      </c>
      <c r="AD502" s="5">
        <v>0.0</v>
      </c>
      <c r="AE502" s="5">
        <v>1.0</v>
      </c>
      <c r="AF502" s="8">
        <v>46183.0</v>
      </c>
      <c r="AG502" s="9">
        <v>0.375</v>
      </c>
      <c r="AH502" s="9">
        <v>0.9166666666666666</v>
      </c>
      <c r="AI502" s="4" t="s">
        <v>49</v>
      </c>
      <c r="AJ502" s="5" t="s">
        <v>3036</v>
      </c>
      <c r="AK502" s="12"/>
      <c r="AL502" s="12">
        <v>46182.0</v>
      </c>
      <c r="AM502" s="12"/>
      <c r="AN502" s="12"/>
      <c r="AO502" s="12"/>
      <c r="AP502" s="12"/>
      <c r="AQ502" s="12"/>
    </row>
    <row r="503">
      <c r="A503" s="5" t="s">
        <v>3037</v>
      </c>
      <c r="B503" s="5">
        <v>1.1398423E7</v>
      </c>
      <c r="C503" s="5" t="s">
        <v>37</v>
      </c>
      <c r="D503" s="5" t="s">
        <v>2618</v>
      </c>
      <c r="E503" s="5" t="s">
        <v>39</v>
      </c>
      <c r="F503" s="5" t="s">
        <v>3038</v>
      </c>
      <c r="G503" s="15">
        <v>6.28131E17</v>
      </c>
      <c r="H503" s="5" t="s">
        <v>3039</v>
      </c>
      <c r="I503" s="5" t="s">
        <v>42</v>
      </c>
      <c r="J503" s="5" t="s">
        <v>43</v>
      </c>
      <c r="K503" s="5">
        <v>8.7733785699E10</v>
      </c>
      <c r="L503" s="4" t="s">
        <v>44</v>
      </c>
      <c r="M503" s="5" t="s">
        <v>42</v>
      </c>
      <c r="N503" s="4" t="s">
        <v>45</v>
      </c>
      <c r="O503" s="4" t="s">
        <v>46</v>
      </c>
      <c r="P503" s="4" t="s">
        <v>47</v>
      </c>
      <c r="Q503" s="4">
        <v>16451.0</v>
      </c>
      <c r="R503" s="5" t="s">
        <v>3040</v>
      </c>
      <c r="S503" s="8">
        <v>46183.0</v>
      </c>
      <c r="T503" s="9">
        <v>0.375</v>
      </c>
      <c r="U503" s="9">
        <v>0.9166666666666666</v>
      </c>
      <c r="V503" s="4" t="s">
        <v>49</v>
      </c>
      <c r="W503" s="5">
        <v>1.0</v>
      </c>
      <c r="X503" s="5" t="b">
        <v>1</v>
      </c>
      <c r="Y503" s="5" t="s">
        <v>50</v>
      </c>
      <c r="Z503" s="5" t="b">
        <v>0</v>
      </c>
      <c r="AA503" s="10"/>
      <c r="AB503" s="4">
        <v>1.0</v>
      </c>
      <c r="AC503" s="11" t="s">
        <v>3041</v>
      </c>
      <c r="AD503" s="5">
        <v>0.0</v>
      </c>
      <c r="AE503" s="5">
        <v>1.0</v>
      </c>
      <c r="AF503" s="8">
        <v>46183.0</v>
      </c>
      <c r="AG503" s="9">
        <v>0.375</v>
      </c>
      <c r="AH503" s="9">
        <v>0.9166666666666666</v>
      </c>
      <c r="AI503" s="4" t="s">
        <v>49</v>
      </c>
      <c r="AJ503" s="5" t="s">
        <v>3042</v>
      </c>
      <c r="AK503" s="12"/>
      <c r="AL503" s="12">
        <v>46182.0</v>
      </c>
      <c r="AM503" s="12"/>
      <c r="AN503" s="12"/>
      <c r="AO503" s="12"/>
      <c r="AP503" s="12"/>
      <c r="AQ503" s="12"/>
    </row>
    <row r="504">
      <c r="A504" s="5" t="s">
        <v>3043</v>
      </c>
      <c r="B504" s="5">
        <v>1.1398423E7</v>
      </c>
      <c r="C504" s="5" t="s">
        <v>37</v>
      </c>
      <c r="D504" s="5" t="s">
        <v>3044</v>
      </c>
      <c r="E504" s="5" t="s">
        <v>39</v>
      </c>
      <c r="F504" s="5" t="s">
        <v>474</v>
      </c>
      <c r="G504" s="15">
        <v>8.1314522941E10</v>
      </c>
      <c r="H504" s="5" t="s">
        <v>475</v>
      </c>
      <c r="I504" s="5" t="s">
        <v>42</v>
      </c>
      <c r="J504" s="5" t="s">
        <v>43</v>
      </c>
      <c r="K504" s="5">
        <v>8.7733785699E10</v>
      </c>
      <c r="L504" s="4" t="s">
        <v>44</v>
      </c>
      <c r="M504" s="5" t="s">
        <v>42</v>
      </c>
      <c r="N504" s="4" t="s">
        <v>45</v>
      </c>
      <c r="O504" s="4" t="s">
        <v>46</v>
      </c>
      <c r="P504" s="4" t="s">
        <v>47</v>
      </c>
      <c r="Q504" s="4">
        <v>16451.0</v>
      </c>
      <c r="R504" s="5" t="s">
        <v>3045</v>
      </c>
      <c r="S504" s="8">
        <v>46183.0</v>
      </c>
      <c r="T504" s="9">
        <v>0.375</v>
      </c>
      <c r="U504" s="9">
        <v>0.9166666666666666</v>
      </c>
      <c r="V504" s="4" t="s">
        <v>49</v>
      </c>
      <c r="W504" s="5">
        <v>1.0</v>
      </c>
      <c r="X504" s="5" t="b">
        <v>1</v>
      </c>
      <c r="Y504" s="5" t="s">
        <v>50</v>
      </c>
      <c r="Z504" s="5" t="b">
        <v>0</v>
      </c>
      <c r="AA504" s="10"/>
      <c r="AB504" s="4">
        <v>1.0</v>
      </c>
      <c r="AC504" s="11" t="s">
        <v>3046</v>
      </c>
      <c r="AD504" s="5">
        <v>0.0</v>
      </c>
      <c r="AE504" s="5">
        <v>1.0</v>
      </c>
      <c r="AF504" s="8">
        <v>46183.0</v>
      </c>
      <c r="AG504" s="9">
        <v>0.375</v>
      </c>
      <c r="AH504" s="9">
        <v>0.9166666666666666</v>
      </c>
      <c r="AI504" s="4" t="s">
        <v>49</v>
      </c>
      <c r="AJ504" s="5" t="s">
        <v>3047</v>
      </c>
      <c r="AK504" s="12"/>
      <c r="AL504" s="12">
        <v>46182.0</v>
      </c>
      <c r="AM504" s="12"/>
      <c r="AN504" s="12"/>
      <c r="AO504" s="12"/>
      <c r="AP504" s="12"/>
      <c r="AQ504" s="12"/>
    </row>
    <row r="505">
      <c r="A505" s="5" t="s">
        <v>3048</v>
      </c>
      <c r="B505" s="5">
        <v>1.1398423E7</v>
      </c>
      <c r="C505" s="5" t="s">
        <v>37</v>
      </c>
      <c r="D505" s="5" t="s">
        <v>2663</v>
      </c>
      <c r="E505" s="5" t="s">
        <v>39</v>
      </c>
      <c r="F505" s="5" t="s">
        <v>3049</v>
      </c>
      <c r="G505" s="15">
        <v>6.28228E17</v>
      </c>
      <c r="H505" s="5" t="s">
        <v>3050</v>
      </c>
      <c r="I505" s="5" t="s">
        <v>42</v>
      </c>
      <c r="J505" s="5" t="s">
        <v>43</v>
      </c>
      <c r="K505" s="5">
        <v>8.7733785699E10</v>
      </c>
      <c r="L505" s="4" t="s">
        <v>44</v>
      </c>
      <c r="M505" s="5" t="s">
        <v>42</v>
      </c>
      <c r="N505" s="4" t="s">
        <v>45</v>
      </c>
      <c r="O505" s="4" t="s">
        <v>46</v>
      </c>
      <c r="P505" s="4" t="s">
        <v>47</v>
      </c>
      <c r="Q505" s="4">
        <v>16451.0</v>
      </c>
      <c r="R505" s="5" t="s">
        <v>3051</v>
      </c>
      <c r="S505" s="8">
        <v>46183.0</v>
      </c>
      <c r="T505" s="9">
        <v>0.375</v>
      </c>
      <c r="U505" s="9">
        <v>0.9166666666666666</v>
      </c>
      <c r="V505" s="4" t="s">
        <v>49</v>
      </c>
      <c r="W505" s="5">
        <v>1.0</v>
      </c>
      <c r="X505" s="5" t="b">
        <v>1</v>
      </c>
      <c r="Y505" s="5" t="s">
        <v>50</v>
      </c>
      <c r="Z505" s="5" t="b">
        <v>0</v>
      </c>
      <c r="AA505" s="10"/>
      <c r="AB505" s="4">
        <v>1.0</v>
      </c>
      <c r="AC505" s="11" t="s">
        <v>3052</v>
      </c>
      <c r="AD505" s="5">
        <v>0.0</v>
      </c>
      <c r="AE505" s="5">
        <v>1.0</v>
      </c>
      <c r="AF505" s="8">
        <v>46183.0</v>
      </c>
      <c r="AG505" s="9">
        <v>0.375</v>
      </c>
      <c r="AH505" s="9">
        <v>0.9166666666666666</v>
      </c>
      <c r="AI505" s="4" t="s">
        <v>49</v>
      </c>
      <c r="AJ505" s="5" t="s">
        <v>3053</v>
      </c>
      <c r="AK505" s="12"/>
      <c r="AL505" s="12">
        <v>46182.0</v>
      </c>
      <c r="AM505" s="12"/>
      <c r="AN505" s="12"/>
      <c r="AO505" s="12"/>
      <c r="AP505" s="12"/>
      <c r="AQ505" s="12"/>
    </row>
    <row r="506">
      <c r="A506" s="5" t="s">
        <v>3054</v>
      </c>
      <c r="B506" s="5">
        <v>1.1398423E7</v>
      </c>
      <c r="C506" s="5" t="s">
        <v>37</v>
      </c>
      <c r="D506" s="5" t="s">
        <v>2495</v>
      </c>
      <c r="E506" s="5" t="s">
        <v>39</v>
      </c>
      <c r="F506" s="5" t="s">
        <v>1832</v>
      </c>
      <c r="G506" s="15">
        <v>8.1291779304E10</v>
      </c>
      <c r="H506" s="5" t="s">
        <v>1833</v>
      </c>
      <c r="I506" s="5" t="s">
        <v>42</v>
      </c>
      <c r="J506" s="5" t="s">
        <v>43</v>
      </c>
      <c r="K506" s="5">
        <v>8.7733785699E10</v>
      </c>
      <c r="L506" s="4" t="s">
        <v>44</v>
      </c>
      <c r="M506" s="5" t="s">
        <v>42</v>
      </c>
      <c r="N506" s="4" t="s">
        <v>45</v>
      </c>
      <c r="O506" s="4" t="s">
        <v>46</v>
      </c>
      <c r="P506" s="4" t="s">
        <v>47</v>
      </c>
      <c r="Q506" s="4">
        <v>16451.0</v>
      </c>
      <c r="R506" s="5" t="s">
        <v>3055</v>
      </c>
      <c r="S506" s="8">
        <v>46183.0</v>
      </c>
      <c r="T506" s="9">
        <v>0.375</v>
      </c>
      <c r="U506" s="9">
        <v>0.9166666666666666</v>
      </c>
      <c r="V506" s="4" t="s">
        <v>49</v>
      </c>
      <c r="W506" s="5">
        <v>1.0</v>
      </c>
      <c r="X506" s="5" t="b">
        <v>1</v>
      </c>
      <c r="Y506" s="5" t="s">
        <v>50</v>
      </c>
      <c r="Z506" s="5" t="b">
        <v>0</v>
      </c>
      <c r="AA506" s="10"/>
      <c r="AB506" s="4">
        <v>1.0</v>
      </c>
      <c r="AC506" s="11" t="s">
        <v>3056</v>
      </c>
      <c r="AD506" s="5">
        <v>0.0</v>
      </c>
      <c r="AE506" s="5">
        <v>1.0</v>
      </c>
      <c r="AF506" s="8">
        <v>46183.0</v>
      </c>
      <c r="AG506" s="9">
        <v>0.375</v>
      </c>
      <c r="AH506" s="9">
        <v>0.9166666666666666</v>
      </c>
      <c r="AI506" s="4" t="s">
        <v>49</v>
      </c>
      <c r="AJ506" s="5" t="s">
        <v>3057</v>
      </c>
      <c r="AK506" s="12"/>
      <c r="AL506" s="12">
        <v>46182.0</v>
      </c>
      <c r="AM506" s="12"/>
      <c r="AN506" s="12"/>
      <c r="AO506" s="12"/>
      <c r="AP506" s="12"/>
      <c r="AQ506" s="12"/>
    </row>
    <row r="507">
      <c r="A507" s="5" t="s">
        <v>3058</v>
      </c>
      <c r="B507" s="5">
        <v>1.1398423E7</v>
      </c>
      <c r="C507" s="5" t="s">
        <v>37</v>
      </c>
      <c r="D507" s="5" t="s">
        <v>1402</v>
      </c>
      <c r="E507" s="5" t="s">
        <v>39</v>
      </c>
      <c r="F507" s="5" t="s">
        <v>193</v>
      </c>
      <c r="G507" s="15">
        <v>8.5374101944E10</v>
      </c>
      <c r="H507" s="5" t="s">
        <v>194</v>
      </c>
      <c r="I507" s="5" t="s">
        <v>42</v>
      </c>
      <c r="J507" s="5" t="s">
        <v>43</v>
      </c>
      <c r="K507" s="5">
        <v>8.7733785699E10</v>
      </c>
      <c r="L507" s="4" t="s">
        <v>44</v>
      </c>
      <c r="M507" s="5" t="s">
        <v>42</v>
      </c>
      <c r="N507" s="4" t="s">
        <v>45</v>
      </c>
      <c r="O507" s="4" t="s">
        <v>46</v>
      </c>
      <c r="P507" s="4" t="s">
        <v>47</v>
      </c>
      <c r="Q507" s="4">
        <v>16451.0</v>
      </c>
      <c r="R507" s="5" t="s">
        <v>3059</v>
      </c>
      <c r="S507" s="8">
        <v>46183.0</v>
      </c>
      <c r="T507" s="9">
        <v>0.375</v>
      </c>
      <c r="U507" s="9">
        <v>0.9166666666666666</v>
      </c>
      <c r="V507" s="4" t="s">
        <v>49</v>
      </c>
      <c r="W507" s="5">
        <v>1.0</v>
      </c>
      <c r="X507" s="5" t="b">
        <v>1</v>
      </c>
      <c r="Y507" s="5" t="s">
        <v>50</v>
      </c>
      <c r="Z507" s="5" t="b">
        <v>0</v>
      </c>
      <c r="AA507" s="10"/>
      <c r="AB507" s="4">
        <v>1.0</v>
      </c>
      <c r="AC507" s="11" t="s">
        <v>3060</v>
      </c>
      <c r="AD507" s="5">
        <v>0.0</v>
      </c>
      <c r="AE507" s="5">
        <v>1.0</v>
      </c>
      <c r="AF507" s="8">
        <v>46183.0</v>
      </c>
      <c r="AG507" s="9">
        <v>0.375</v>
      </c>
      <c r="AH507" s="9">
        <v>0.9166666666666666</v>
      </c>
      <c r="AI507" s="4" t="s">
        <v>49</v>
      </c>
      <c r="AJ507" s="5" t="s">
        <v>3061</v>
      </c>
      <c r="AK507" s="12"/>
      <c r="AL507" s="12">
        <v>46182.0</v>
      </c>
      <c r="AM507" s="12"/>
      <c r="AN507" s="12"/>
      <c r="AO507" s="12"/>
      <c r="AP507" s="12"/>
      <c r="AQ507" s="12"/>
    </row>
    <row r="508">
      <c r="A508" s="5" t="s">
        <v>3062</v>
      </c>
      <c r="B508" s="5">
        <v>1.1398423E7</v>
      </c>
      <c r="C508" s="5" t="s">
        <v>37</v>
      </c>
      <c r="D508" s="5" t="s">
        <v>3063</v>
      </c>
      <c r="E508" s="5" t="s">
        <v>39</v>
      </c>
      <c r="F508" s="5" t="s">
        <v>65</v>
      </c>
      <c r="G508" s="15">
        <v>6.28199E17</v>
      </c>
      <c r="H508" s="5" t="s">
        <v>66</v>
      </c>
      <c r="I508" s="5" t="s">
        <v>42</v>
      </c>
      <c r="J508" s="5" t="s">
        <v>43</v>
      </c>
      <c r="K508" s="5">
        <v>8.7733785699E10</v>
      </c>
      <c r="L508" s="4" t="s">
        <v>44</v>
      </c>
      <c r="M508" s="5" t="s">
        <v>42</v>
      </c>
      <c r="N508" s="4" t="s">
        <v>45</v>
      </c>
      <c r="O508" s="4" t="s">
        <v>46</v>
      </c>
      <c r="P508" s="4" t="s">
        <v>47</v>
      </c>
      <c r="Q508" s="4">
        <v>16451.0</v>
      </c>
      <c r="R508" s="5" t="s">
        <v>3064</v>
      </c>
      <c r="S508" s="8">
        <v>46183.0</v>
      </c>
      <c r="T508" s="9">
        <v>0.375</v>
      </c>
      <c r="U508" s="9">
        <v>0.9166666666666666</v>
      </c>
      <c r="V508" s="4" t="s">
        <v>49</v>
      </c>
      <c r="W508" s="5">
        <v>1.0</v>
      </c>
      <c r="X508" s="5" t="b">
        <v>1</v>
      </c>
      <c r="Y508" s="5" t="s">
        <v>50</v>
      </c>
      <c r="Z508" s="5" t="b">
        <v>0</v>
      </c>
      <c r="AA508" s="10"/>
      <c r="AB508" s="4">
        <v>1.0</v>
      </c>
      <c r="AC508" s="11" t="s">
        <v>3065</v>
      </c>
      <c r="AD508" s="5">
        <v>0.0</v>
      </c>
      <c r="AE508" s="5">
        <v>1.0</v>
      </c>
      <c r="AF508" s="8">
        <v>46183.0</v>
      </c>
      <c r="AG508" s="9">
        <v>0.375</v>
      </c>
      <c r="AH508" s="9">
        <v>0.9166666666666666</v>
      </c>
      <c r="AI508" s="4" t="s">
        <v>49</v>
      </c>
      <c r="AJ508" s="5" t="s">
        <v>3066</v>
      </c>
      <c r="AK508" s="12"/>
      <c r="AL508" s="12">
        <v>46182.0</v>
      </c>
      <c r="AM508" s="12"/>
      <c r="AN508" s="12"/>
      <c r="AO508" s="12"/>
      <c r="AP508" s="12"/>
      <c r="AQ508" s="12"/>
    </row>
    <row r="509">
      <c r="A509" s="5" t="s">
        <v>3067</v>
      </c>
      <c r="B509" s="5">
        <v>1.1398423E7</v>
      </c>
      <c r="C509" s="5" t="s">
        <v>37</v>
      </c>
      <c r="D509" s="5" t="s">
        <v>3067</v>
      </c>
      <c r="E509" s="5" t="s">
        <v>39</v>
      </c>
      <c r="F509" s="5" t="s">
        <v>1943</v>
      </c>
      <c r="G509" s="15">
        <v>6.28151E17</v>
      </c>
      <c r="H509" s="5" t="s">
        <v>1944</v>
      </c>
      <c r="I509" s="5" t="s">
        <v>42</v>
      </c>
      <c r="J509" s="5" t="s">
        <v>43</v>
      </c>
      <c r="K509" s="5">
        <v>8.7733785699E10</v>
      </c>
      <c r="L509" s="4" t="s">
        <v>44</v>
      </c>
      <c r="M509" s="5" t="s">
        <v>42</v>
      </c>
      <c r="N509" s="4" t="s">
        <v>45</v>
      </c>
      <c r="O509" s="4" t="s">
        <v>46</v>
      </c>
      <c r="P509" s="4" t="s">
        <v>47</v>
      </c>
      <c r="Q509" s="4">
        <v>16451.0</v>
      </c>
      <c r="R509" s="5" t="s">
        <v>3068</v>
      </c>
      <c r="S509" s="8">
        <v>46183.0</v>
      </c>
      <c r="T509" s="9">
        <v>0.375</v>
      </c>
      <c r="U509" s="9">
        <v>0.9166666666666666</v>
      </c>
      <c r="V509" s="4" t="s">
        <v>49</v>
      </c>
      <c r="W509" s="5">
        <v>1.0</v>
      </c>
      <c r="X509" s="5" t="b">
        <v>1</v>
      </c>
      <c r="Y509" s="5" t="s">
        <v>50</v>
      </c>
      <c r="Z509" s="5" t="b">
        <v>0</v>
      </c>
      <c r="AA509" s="10"/>
      <c r="AB509" s="4">
        <v>1.0</v>
      </c>
      <c r="AC509" s="11" t="s">
        <v>3069</v>
      </c>
      <c r="AD509" s="5">
        <v>0.0</v>
      </c>
      <c r="AE509" s="5">
        <v>1.0</v>
      </c>
      <c r="AF509" s="8">
        <v>46183.0</v>
      </c>
      <c r="AG509" s="9">
        <v>0.375</v>
      </c>
      <c r="AH509" s="9">
        <v>0.9166666666666666</v>
      </c>
      <c r="AI509" s="4" t="s">
        <v>49</v>
      </c>
      <c r="AJ509" s="5" t="s">
        <v>3070</v>
      </c>
      <c r="AK509" s="12"/>
      <c r="AL509" s="12">
        <v>46182.0</v>
      </c>
      <c r="AM509" s="12"/>
      <c r="AN509" s="12"/>
      <c r="AO509" s="12"/>
      <c r="AP509" s="12"/>
      <c r="AQ509" s="12"/>
    </row>
    <row r="510">
      <c r="A510" s="5" t="s">
        <v>3071</v>
      </c>
      <c r="B510" s="5">
        <v>1.1398423E7</v>
      </c>
      <c r="C510" s="5" t="s">
        <v>37</v>
      </c>
      <c r="D510" s="5" t="s">
        <v>3072</v>
      </c>
      <c r="E510" s="5" t="s">
        <v>39</v>
      </c>
      <c r="F510" s="5" t="s">
        <v>1291</v>
      </c>
      <c r="G510" s="15">
        <v>6.28139E17</v>
      </c>
      <c r="H510" s="5" t="s">
        <v>1292</v>
      </c>
      <c r="I510" s="5" t="s">
        <v>42</v>
      </c>
      <c r="J510" s="5" t="s">
        <v>43</v>
      </c>
      <c r="K510" s="5">
        <v>8.7733785699E10</v>
      </c>
      <c r="L510" s="4" t="s">
        <v>44</v>
      </c>
      <c r="M510" s="5" t="s">
        <v>42</v>
      </c>
      <c r="N510" s="4" t="s">
        <v>45</v>
      </c>
      <c r="O510" s="4" t="s">
        <v>46</v>
      </c>
      <c r="P510" s="4" t="s">
        <v>47</v>
      </c>
      <c r="Q510" s="4">
        <v>16451.0</v>
      </c>
      <c r="R510" s="5" t="s">
        <v>3073</v>
      </c>
      <c r="S510" s="8">
        <v>46183.0</v>
      </c>
      <c r="T510" s="9">
        <v>0.375</v>
      </c>
      <c r="U510" s="9">
        <v>0.9166666666666666</v>
      </c>
      <c r="V510" s="4" t="s">
        <v>49</v>
      </c>
      <c r="W510" s="5">
        <v>1.0</v>
      </c>
      <c r="X510" s="5" t="b">
        <v>1</v>
      </c>
      <c r="Y510" s="5" t="s">
        <v>50</v>
      </c>
      <c r="Z510" s="5" t="b">
        <v>0</v>
      </c>
      <c r="AA510" s="10"/>
      <c r="AB510" s="4">
        <v>1.0</v>
      </c>
      <c r="AC510" s="11" t="s">
        <v>3074</v>
      </c>
      <c r="AD510" s="5">
        <v>0.0</v>
      </c>
      <c r="AE510" s="5">
        <v>1.0</v>
      </c>
      <c r="AF510" s="8">
        <v>46183.0</v>
      </c>
      <c r="AG510" s="9">
        <v>0.375</v>
      </c>
      <c r="AH510" s="9">
        <v>0.9166666666666666</v>
      </c>
      <c r="AI510" s="4" t="s">
        <v>49</v>
      </c>
      <c r="AJ510" s="5" t="s">
        <v>3075</v>
      </c>
      <c r="AK510" s="12"/>
      <c r="AL510" s="12">
        <v>46182.0</v>
      </c>
      <c r="AM510" s="12"/>
      <c r="AN510" s="12"/>
      <c r="AO510" s="12"/>
      <c r="AP510" s="12"/>
      <c r="AQ510" s="12"/>
    </row>
    <row r="511">
      <c r="A511" s="5" t="s">
        <v>3076</v>
      </c>
      <c r="B511" s="5">
        <v>1.1398423E7</v>
      </c>
      <c r="C511" s="5" t="s">
        <v>37</v>
      </c>
      <c r="D511" s="5" t="s">
        <v>3077</v>
      </c>
      <c r="E511" s="5" t="s">
        <v>39</v>
      </c>
      <c r="F511" s="5" t="s">
        <v>1839</v>
      </c>
      <c r="G511" s="15">
        <v>6.28211E17</v>
      </c>
      <c r="H511" s="5" t="s">
        <v>1840</v>
      </c>
      <c r="I511" s="5" t="s">
        <v>42</v>
      </c>
      <c r="J511" s="5" t="s">
        <v>43</v>
      </c>
      <c r="K511" s="5">
        <v>8.7733785699E10</v>
      </c>
      <c r="L511" s="4" t="s">
        <v>44</v>
      </c>
      <c r="M511" s="5" t="s">
        <v>42</v>
      </c>
      <c r="N511" s="4" t="s">
        <v>45</v>
      </c>
      <c r="O511" s="4" t="s">
        <v>46</v>
      </c>
      <c r="P511" s="4" t="s">
        <v>47</v>
      </c>
      <c r="Q511" s="4">
        <v>16451.0</v>
      </c>
      <c r="R511" s="5" t="s">
        <v>3078</v>
      </c>
      <c r="S511" s="8">
        <v>46183.0</v>
      </c>
      <c r="T511" s="9">
        <v>0.375</v>
      </c>
      <c r="U511" s="9">
        <v>0.9166666666666666</v>
      </c>
      <c r="V511" s="4" t="s">
        <v>49</v>
      </c>
      <c r="W511" s="5">
        <v>1.0</v>
      </c>
      <c r="X511" s="5" t="b">
        <v>1</v>
      </c>
      <c r="Y511" s="5" t="s">
        <v>50</v>
      </c>
      <c r="Z511" s="5" t="b">
        <v>0</v>
      </c>
      <c r="AA511" s="10"/>
      <c r="AB511" s="4">
        <v>1.0</v>
      </c>
      <c r="AC511" s="11" t="s">
        <v>3079</v>
      </c>
      <c r="AD511" s="5">
        <v>0.0</v>
      </c>
      <c r="AE511" s="5">
        <v>1.0</v>
      </c>
      <c r="AF511" s="8">
        <v>46183.0</v>
      </c>
      <c r="AG511" s="9">
        <v>0.375</v>
      </c>
      <c r="AH511" s="9">
        <v>0.9166666666666666</v>
      </c>
      <c r="AI511" s="4" t="s">
        <v>49</v>
      </c>
      <c r="AJ511" s="5" t="s">
        <v>3080</v>
      </c>
      <c r="AK511" s="12"/>
      <c r="AL511" s="12">
        <v>46182.0</v>
      </c>
      <c r="AM511" s="12"/>
      <c r="AN511" s="12"/>
      <c r="AO511" s="12"/>
      <c r="AP511" s="12"/>
      <c r="AQ511" s="12"/>
    </row>
    <row r="512">
      <c r="A512" s="5" t="s">
        <v>3081</v>
      </c>
      <c r="B512" s="5">
        <v>1.1398423E7</v>
      </c>
      <c r="C512" s="5" t="s">
        <v>37</v>
      </c>
      <c r="D512" s="5" t="s">
        <v>3082</v>
      </c>
      <c r="E512" s="5" t="s">
        <v>39</v>
      </c>
      <c r="F512" s="5" t="s">
        <v>3083</v>
      </c>
      <c r="G512" s="15">
        <v>8.1367211701E10</v>
      </c>
      <c r="H512" s="5" t="s">
        <v>3084</v>
      </c>
      <c r="I512" s="5" t="s">
        <v>42</v>
      </c>
      <c r="J512" s="5" t="s">
        <v>43</v>
      </c>
      <c r="K512" s="5">
        <v>8.7733785699E10</v>
      </c>
      <c r="L512" s="4" t="s">
        <v>44</v>
      </c>
      <c r="M512" s="5" t="s">
        <v>42</v>
      </c>
      <c r="N512" s="4" t="s">
        <v>45</v>
      </c>
      <c r="O512" s="4" t="s">
        <v>46</v>
      </c>
      <c r="P512" s="4" t="s">
        <v>47</v>
      </c>
      <c r="Q512" s="4">
        <v>16451.0</v>
      </c>
      <c r="R512" s="5" t="s">
        <v>3085</v>
      </c>
      <c r="S512" s="8">
        <v>46183.0</v>
      </c>
      <c r="T512" s="9">
        <v>0.375</v>
      </c>
      <c r="U512" s="9">
        <v>0.9166666666666666</v>
      </c>
      <c r="V512" s="4" t="s">
        <v>49</v>
      </c>
      <c r="W512" s="5">
        <v>1.0</v>
      </c>
      <c r="X512" s="5" t="b">
        <v>1</v>
      </c>
      <c r="Y512" s="5" t="s">
        <v>50</v>
      </c>
      <c r="Z512" s="5" t="b">
        <v>0</v>
      </c>
      <c r="AA512" s="10"/>
      <c r="AB512" s="4">
        <v>1.0</v>
      </c>
      <c r="AC512" s="11" t="s">
        <v>3086</v>
      </c>
      <c r="AD512" s="5">
        <v>0.0</v>
      </c>
      <c r="AE512" s="5">
        <v>1.0</v>
      </c>
      <c r="AF512" s="8">
        <v>46183.0</v>
      </c>
      <c r="AG512" s="9">
        <v>0.375</v>
      </c>
      <c r="AH512" s="9">
        <v>0.9166666666666666</v>
      </c>
      <c r="AI512" s="4" t="s">
        <v>49</v>
      </c>
      <c r="AJ512" s="5" t="s">
        <v>3087</v>
      </c>
      <c r="AK512" s="12"/>
      <c r="AL512" s="12">
        <v>46182.0</v>
      </c>
      <c r="AM512" s="12"/>
      <c r="AN512" s="12"/>
      <c r="AO512" s="12"/>
      <c r="AP512" s="12"/>
      <c r="AQ512" s="12"/>
    </row>
    <row r="513">
      <c r="A513" s="5" t="s">
        <v>3088</v>
      </c>
      <c r="B513" s="5">
        <v>1.1398423E7</v>
      </c>
      <c r="C513" s="5" t="s">
        <v>37</v>
      </c>
      <c r="D513" s="5" t="s">
        <v>3089</v>
      </c>
      <c r="E513" s="5" t="s">
        <v>39</v>
      </c>
      <c r="F513" s="5" t="s">
        <v>240</v>
      </c>
      <c r="G513" s="15">
        <v>8.131705404E10</v>
      </c>
      <c r="H513" s="5" t="s">
        <v>241</v>
      </c>
      <c r="I513" s="5" t="s">
        <v>42</v>
      </c>
      <c r="J513" s="5" t="s">
        <v>43</v>
      </c>
      <c r="K513" s="5">
        <v>8.7733785699E10</v>
      </c>
      <c r="L513" s="4" t="s">
        <v>44</v>
      </c>
      <c r="M513" s="5" t="s">
        <v>42</v>
      </c>
      <c r="N513" s="4" t="s">
        <v>45</v>
      </c>
      <c r="O513" s="4" t="s">
        <v>46</v>
      </c>
      <c r="P513" s="4" t="s">
        <v>47</v>
      </c>
      <c r="Q513" s="4">
        <v>16451.0</v>
      </c>
      <c r="R513" s="5" t="s">
        <v>3090</v>
      </c>
      <c r="S513" s="8">
        <v>46183.0</v>
      </c>
      <c r="T513" s="9">
        <v>0.375</v>
      </c>
      <c r="U513" s="9">
        <v>0.9166666666666666</v>
      </c>
      <c r="V513" s="4" t="s">
        <v>49</v>
      </c>
      <c r="W513" s="5">
        <v>1.0</v>
      </c>
      <c r="X513" s="5" t="b">
        <v>1</v>
      </c>
      <c r="Y513" s="5" t="s">
        <v>50</v>
      </c>
      <c r="Z513" s="5" t="b">
        <v>0</v>
      </c>
      <c r="AA513" s="10"/>
      <c r="AB513" s="4">
        <v>1.0</v>
      </c>
      <c r="AC513" s="11" t="s">
        <v>3091</v>
      </c>
      <c r="AD513" s="5">
        <v>0.0</v>
      </c>
      <c r="AE513" s="5">
        <v>1.0</v>
      </c>
      <c r="AF513" s="8">
        <v>46183.0</v>
      </c>
      <c r="AG513" s="9">
        <v>0.375</v>
      </c>
      <c r="AH513" s="9">
        <v>0.9166666666666666</v>
      </c>
      <c r="AI513" s="4" t="s">
        <v>49</v>
      </c>
      <c r="AJ513" s="5" t="s">
        <v>3092</v>
      </c>
      <c r="AK513" s="12"/>
      <c r="AL513" s="12">
        <v>46182.0</v>
      </c>
      <c r="AM513" s="12"/>
      <c r="AN513" s="12"/>
      <c r="AO513" s="12"/>
      <c r="AP513" s="12"/>
      <c r="AQ513" s="12"/>
    </row>
    <row r="514">
      <c r="A514" s="5" t="s">
        <v>3093</v>
      </c>
      <c r="B514" s="5">
        <v>1.1398423E7</v>
      </c>
      <c r="C514" s="5" t="s">
        <v>37</v>
      </c>
      <c r="D514" s="5" t="s">
        <v>3094</v>
      </c>
      <c r="E514" s="5" t="s">
        <v>39</v>
      </c>
      <c r="F514" s="5" t="s">
        <v>1329</v>
      </c>
      <c r="G514" s="15">
        <v>6.28211E17</v>
      </c>
      <c r="H514" s="5" t="s">
        <v>1330</v>
      </c>
      <c r="I514" s="5" t="s">
        <v>42</v>
      </c>
      <c r="J514" s="5" t="s">
        <v>43</v>
      </c>
      <c r="K514" s="5">
        <v>8.7733785699E10</v>
      </c>
      <c r="L514" s="4" t="s">
        <v>44</v>
      </c>
      <c r="M514" s="5" t="s">
        <v>42</v>
      </c>
      <c r="N514" s="4" t="s">
        <v>45</v>
      </c>
      <c r="O514" s="4" t="s">
        <v>46</v>
      </c>
      <c r="P514" s="4" t="s">
        <v>47</v>
      </c>
      <c r="Q514" s="4">
        <v>16451.0</v>
      </c>
      <c r="R514" s="5" t="s">
        <v>3095</v>
      </c>
      <c r="S514" s="8">
        <v>46183.0</v>
      </c>
      <c r="T514" s="9">
        <v>0.375</v>
      </c>
      <c r="U514" s="9">
        <v>0.9166666666666666</v>
      </c>
      <c r="V514" s="4" t="s">
        <v>49</v>
      </c>
      <c r="W514" s="5">
        <v>1.0</v>
      </c>
      <c r="X514" s="5" t="b">
        <v>1</v>
      </c>
      <c r="Y514" s="5" t="s">
        <v>50</v>
      </c>
      <c r="Z514" s="5" t="b">
        <v>0</v>
      </c>
      <c r="AA514" s="10"/>
      <c r="AB514" s="4">
        <v>1.0</v>
      </c>
      <c r="AC514" s="11" t="s">
        <v>3096</v>
      </c>
      <c r="AD514" s="5">
        <v>0.0</v>
      </c>
      <c r="AE514" s="5">
        <v>1.0</v>
      </c>
      <c r="AF514" s="8">
        <v>46183.0</v>
      </c>
      <c r="AG514" s="9">
        <v>0.375</v>
      </c>
      <c r="AH514" s="9">
        <v>0.9166666666666666</v>
      </c>
      <c r="AI514" s="4" t="s">
        <v>49</v>
      </c>
      <c r="AJ514" s="5" t="s">
        <v>3097</v>
      </c>
      <c r="AK514" s="12"/>
      <c r="AL514" s="12">
        <v>46182.0</v>
      </c>
      <c r="AM514" s="12"/>
      <c r="AN514" s="12"/>
      <c r="AO514" s="12"/>
      <c r="AP514" s="12"/>
      <c r="AQ514" s="12"/>
    </row>
    <row r="515">
      <c r="A515" s="5" t="s">
        <v>3098</v>
      </c>
      <c r="B515" s="5">
        <v>1.1398423E7</v>
      </c>
      <c r="C515" s="5" t="s">
        <v>37</v>
      </c>
      <c r="D515" s="5" t="s">
        <v>3099</v>
      </c>
      <c r="E515" s="5" t="s">
        <v>39</v>
      </c>
      <c r="F515" s="5" t="s">
        <v>3100</v>
      </c>
      <c r="G515" s="15">
        <v>8.5777889275E10</v>
      </c>
      <c r="H515" s="5" t="s">
        <v>3101</v>
      </c>
      <c r="I515" s="5" t="s">
        <v>42</v>
      </c>
      <c r="J515" s="5" t="s">
        <v>43</v>
      </c>
      <c r="K515" s="5">
        <v>8.7733785699E10</v>
      </c>
      <c r="L515" s="4" t="s">
        <v>44</v>
      </c>
      <c r="M515" s="5" t="s">
        <v>42</v>
      </c>
      <c r="N515" s="4" t="s">
        <v>45</v>
      </c>
      <c r="O515" s="4" t="s">
        <v>46</v>
      </c>
      <c r="P515" s="4" t="s">
        <v>47</v>
      </c>
      <c r="Q515" s="4">
        <v>16451.0</v>
      </c>
      <c r="R515" s="5" t="s">
        <v>3102</v>
      </c>
      <c r="S515" s="8">
        <v>46183.0</v>
      </c>
      <c r="T515" s="9">
        <v>0.375</v>
      </c>
      <c r="U515" s="9">
        <v>0.9166666666666666</v>
      </c>
      <c r="V515" s="4" t="s">
        <v>49</v>
      </c>
      <c r="W515" s="5">
        <v>1.0</v>
      </c>
      <c r="X515" s="5" t="b">
        <v>1</v>
      </c>
      <c r="Y515" s="5" t="s">
        <v>50</v>
      </c>
      <c r="Z515" s="5" t="b">
        <v>0</v>
      </c>
      <c r="AA515" s="10"/>
      <c r="AB515" s="4">
        <v>1.0</v>
      </c>
      <c r="AC515" s="11" t="s">
        <v>3103</v>
      </c>
      <c r="AD515" s="5">
        <v>0.0</v>
      </c>
      <c r="AE515" s="5">
        <v>1.0</v>
      </c>
      <c r="AF515" s="8">
        <v>46183.0</v>
      </c>
      <c r="AG515" s="9">
        <v>0.375</v>
      </c>
      <c r="AH515" s="9">
        <v>0.9166666666666666</v>
      </c>
      <c r="AI515" s="4" t="s">
        <v>49</v>
      </c>
      <c r="AJ515" s="5" t="s">
        <v>3104</v>
      </c>
      <c r="AK515" s="12"/>
      <c r="AL515" s="12">
        <v>46182.0</v>
      </c>
      <c r="AM515" s="12"/>
      <c r="AN515" s="12"/>
      <c r="AO515" s="12"/>
      <c r="AP515" s="12"/>
      <c r="AQ515" s="12"/>
    </row>
    <row r="516">
      <c r="A516" s="5" t="s">
        <v>3105</v>
      </c>
      <c r="B516" s="5">
        <v>1.1398423E7</v>
      </c>
      <c r="C516" s="5" t="s">
        <v>37</v>
      </c>
      <c r="D516" s="5" t="s">
        <v>3106</v>
      </c>
      <c r="E516" s="5" t="s">
        <v>39</v>
      </c>
      <c r="F516" s="5" t="s">
        <v>3107</v>
      </c>
      <c r="G516" s="15">
        <v>6.28571E17</v>
      </c>
      <c r="H516" s="5" t="s">
        <v>3108</v>
      </c>
      <c r="I516" s="5" t="s">
        <v>42</v>
      </c>
      <c r="J516" s="5" t="s">
        <v>43</v>
      </c>
      <c r="K516" s="5">
        <v>8.7733785699E10</v>
      </c>
      <c r="L516" s="4" t="s">
        <v>44</v>
      </c>
      <c r="M516" s="5" t="s">
        <v>42</v>
      </c>
      <c r="N516" s="4" t="s">
        <v>45</v>
      </c>
      <c r="O516" s="4" t="s">
        <v>46</v>
      </c>
      <c r="P516" s="4" t="s">
        <v>47</v>
      </c>
      <c r="Q516" s="4">
        <v>16451.0</v>
      </c>
      <c r="R516" s="5" t="s">
        <v>3109</v>
      </c>
      <c r="S516" s="8">
        <v>46183.0</v>
      </c>
      <c r="T516" s="9">
        <v>0.375</v>
      </c>
      <c r="U516" s="9">
        <v>0.9166666666666666</v>
      </c>
      <c r="V516" s="4" t="s">
        <v>49</v>
      </c>
      <c r="W516" s="5">
        <v>1.0</v>
      </c>
      <c r="X516" s="5" t="b">
        <v>1</v>
      </c>
      <c r="Y516" s="5" t="s">
        <v>50</v>
      </c>
      <c r="Z516" s="5" t="b">
        <v>0</v>
      </c>
      <c r="AA516" s="10"/>
      <c r="AB516" s="4">
        <v>1.0</v>
      </c>
      <c r="AC516" s="11" t="s">
        <v>3110</v>
      </c>
      <c r="AD516" s="5">
        <v>0.0</v>
      </c>
      <c r="AE516" s="5">
        <v>1.0</v>
      </c>
      <c r="AF516" s="8">
        <v>46183.0</v>
      </c>
      <c r="AG516" s="9">
        <v>0.375</v>
      </c>
      <c r="AH516" s="9">
        <v>0.9166666666666666</v>
      </c>
      <c r="AI516" s="4" t="s">
        <v>49</v>
      </c>
      <c r="AJ516" s="5" t="s">
        <v>3111</v>
      </c>
      <c r="AK516" s="12"/>
      <c r="AL516" s="12">
        <v>46182.0</v>
      </c>
      <c r="AM516" s="12"/>
      <c r="AN516" s="12"/>
      <c r="AO516" s="12"/>
      <c r="AP516" s="12"/>
      <c r="AQ516" s="12"/>
    </row>
    <row r="517">
      <c r="A517" s="5" t="s">
        <v>3112</v>
      </c>
      <c r="B517" s="5">
        <v>1.1398423E7</v>
      </c>
      <c r="C517" s="5" t="s">
        <v>37</v>
      </c>
      <c r="D517" s="5" t="s">
        <v>2280</v>
      </c>
      <c r="E517" s="5" t="s">
        <v>39</v>
      </c>
      <c r="F517" s="5" t="s">
        <v>3113</v>
      </c>
      <c r="G517" s="15">
        <v>8.2111234473E10</v>
      </c>
      <c r="H517" s="5" t="s">
        <v>3114</v>
      </c>
      <c r="I517" s="5" t="s">
        <v>42</v>
      </c>
      <c r="J517" s="5" t="s">
        <v>43</v>
      </c>
      <c r="K517" s="5">
        <v>8.7733785699E10</v>
      </c>
      <c r="L517" s="4" t="s">
        <v>44</v>
      </c>
      <c r="M517" s="5" t="s">
        <v>42</v>
      </c>
      <c r="N517" s="4" t="s">
        <v>45</v>
      </c>
      <c r="O517" s="4" t="s">
        <v>46</v>
      </c>
      <c r="P517" s="4" t="s">
        <v>47</v>
      </c>
      <c r="Q517" s="4">
        <v>16451.0</v>
      </c>
      <c r="R517" s="5" t="s">
        <v>3115</v>
      </c>
      <c r="S517" s="8">
        <v>46183.0</v>
      </c>
      <c r="T517" s="9">
        <v>0.375</v>
      </c>
      <c r="U517" s="9">
        <v>0.9166666666666666</v>
      </c>
      <c r="V517" s="4" t="s">
        <v>49</v>
      </c>
      <c r="W517" s="5">
        <v>1.0</v>
      </c>
      <c r="X517" s="5" t="b">
        <v>1</v>
      </c>
      <c r="Y517" s="5" t="s">
        <v>50</v>
      </c>
      <c r="Z517" s="5" t="b">
        <v>0</v>
      </c>
      <c r="AA517" s="10"/>
      <c r="AB517" s="4">
        <v>1.0</v>
      </c>
      <c r="AC517" s="11" t="s">
        <v>3116</v>
      </c>
      <c r="AD517" s="5">
        <v>0.0</v>
      </c>
      <c r="AE517" s="5">
        <v>1.0</v>
      </c>
      <c r="AF517" s="8">
        <v>46183.0</v>
      </c>
      <c r="AG517" s="9">
        <v>0.375</v>
      </c>
      <c r="AH517" s="9">
        <v>0.9166666666666666</v>
      </c>
      <c r="AI517" s="4" t="s">
        <v>49</v>
      </c>
      <c r="AJ517" s="5" t="s">
        <v>3117</v>
      </c>
      <c r="AK517" s="12"/>
      <c r="AL517" s="12">
        <v>46182.0</v>
      </c>
      <c r="AM517" s="12"/>
      <c r="AN517" s="12"/>
      <c r="AO517" s="12"/>
      <c r="AP517" s="12"/>
      <c r="AQ517" s="12"/>
    </row>
    <row r="518">
      <c r="A518" s="5" t="s">
        <v>3118</v>
      </c>
      <c r="B518" s="5">
        <v>1.1398423E7</v>
      </c>
      <c r="C518" s="5" t="s">
        <v>37</v>
      </c>
      <c r="D518" s="5" t="s">
        <v>2241</v>
      </c>
      <c r="E518" s="5" t="s">
        <v>39</v>
      </c>
      <c r="F518" s="5" t="s">
        <v>3113</v>
      </c>
      <c r="G518" s="15">
        <v>8.2111234473E10</v>
      </c>
      <c r="H518" s="5" t="s">
        <v>3114</v>
      </c>
      <c r="I518" s="5" t="s">
        <v>42</v>
      </c>
      <c r="J518" s="5" t="s">
        <v>43</v>
      </c>
      <c r="K518" s="5">
        <v>8.7733785699E10</v>
      </c>
      <c r="L518" s="4" t="s">
        <v>44</v>
      </c>
      <c r="M518" s="5" t="s">
        <v>42</v>
      </c>
      <c r="N518" s="4" t="s">
        <v>45</v>
      </c>
      <c r="O518" s="4" t="s">
        <v>46</v>
      </c>
      <c r="P518" s="4" t="s">
        <v>47</v>
      </c>
      <c r="Q518" s="4">
        <v>16451.0</v>
      </c>
      <c r="R518" s="5" t="s">
        <v>3119</v>
      </c>
      <c r="S518" s="8">
        <v>46183.0</v>
      </c>
      <c r="T518" s="9">
        <v>0.375</v>
      </c>
      <c r="U518" s="9">
        <v>0.9166666666666666</v>
      </c>
      <c r="V518" s="4" t="s">
        <v>49</v>
      </c>
      <c r="W518" s="5">
        <v>1.0</v>
      </c>
      <c r="X518" s="5" t="b">
        <v>1</v>
      </c>
      <c r="Y518" s="5" t="s">
        <v>50</v>
      </c>
      <c r="Z518" s="5" t="b">
        <v>0</v>
      </c>
      <c r="AA518" s="10"/>
      <c r="AB518" s="4">
        <v>1.0</v>
      </c>
      <c r="AC518" s="11" t="s">
        <v>3120</v>
      </c>
      <c r="AD518" s="5">
        <v>0.0</v>
      </c>
      <c r="AE518" s="5">
        <v>1.0</v>
      </c>
      <c r="AF518" s="8">
        <v>46183.0</v>
      </c>
      <c r="AG518" s="9">
        <v>0.375</v>
      </c>
      <c r="AH518" s="9">
        <v>0.9166666666666666</v>
      </c>
      <c r="AI518" s="4" t="s">
        <v>49</v>
      </c>
      <c r="AJ518" s="5" t="s">
        <v>3121</v>
      </c>
      <c r="AK518" s="12"/>
      <c r="AL518" s="12">
        <v>46182.0</v>
      </c>
      <c r="AM518" s="12"/>
      <c r="AN518" s="12"/>
      <c r="AO518" s="12"/>
      <c r="AP518" s="12"/>
      <c r="AQ518" s="12"/>
    </row>
    <row r="519">
      <c r="A519" s="5" t="s">
        <v>3122</v>
      </c>
      <c r="B519" s="5">
        <v>1.1398423E7</v>
      </c>
      <c r="C519" s="5" t="s">
        <v>37</v>
      </c>
      <c r="D519" s="5" t="s">
        <v>2815</v>
      </c>
      <c r="E519" s="5" t="s">
        <v>39</v>
      </c>
      <c r="F519" s="5" t="s">
        <v>1609</v>
      </c>
      <c r="G519" s="15">
        <v>8.1315668881E10</v>
      </c>
      <c r="H519" s="5" t="s">
        <v>1610</v>
      </c>
      <c r="I519" s="5" t="s">
        <v>42</v>
      </c>
      <c r="J519" s="5" t="s">
        <v>43</v>
      </c>
      <c r="K519" s="5">
        <v>8.7733785699E10</v>
      </c>
      <c r="L519" s="4" t="s">
        <v>44</v>
      </c>
      <c r="M519" s="5" t="s">
        <v>42</v>
      </c>
      <c r="N519" s="4" t="s">
        <v>45</v>
      </c>
      <c r="O519" s="4" t="s">
        <v>46</v>
      </c>
      <c r="P519" s="4" t="s">
        <v>47</v>
      </c>
      <c r="Q519" s="4">
        <v>16451.0</v>
      </c>
      <c r="R519" s="5" t="s">
        <v>3123</v>
      </c>
      <c r="S519" s="8">
        <v>46183.0</v>
      </c>
      <c r="T519" s="9">
        <v>0.375</v>
      </c>
      <c r="U519" s="9">
        <v>0.9166666666666666</v>
      </c>
      <c r="V519" s="4" t="s">
        <v>49</v>
      </c>
      <c r="W519" s="5">
        <v>1.0</v>
      </c>
      <c r="X519" s="5" t="b">
        <v>1</v>
      </c>
      <c r="Y519" s="5" t="s">
        <v>50</v>
      </c>
      <c r="Z519" s="5" t="b">
        <v>0</v>
      </c>
      <c r="AA519" s="10"/>
      <c r="AB519" s="4">
        <v>1.0</v>
      </c>
      <c r="AC519" s="11" t="s">
        <v>3124</v>
      </c>
      <c r="AD519" s="5">
        <v>0.0</v>
      </c>
      <c r="AE519" s="5">
        <v>1.0</v>
      </c>
      <c r="AF519" s="8">
        <v>46183.0</v>
      </c>
      <c r="AG519" s="9">
        <v>0.375</v>
      </c>
      <c r="AH519" s="9">
        <v>0.9166666666666666</v>
      </c>
      <c r="AI519" s="4" t="s">
        <v>49</v>
      </c>
      <c r="AJ519" s="5" t="s">
        <v>3125</v>
      </c>
      <c r="AK519" s="12"/>
      <c r="AL519" s="12">
        <v>46182.0</v>
      </c>
      <c r="AM519" s="12"/>
      <c r="AN519" s="12"/>
      <c r="AO519" s="12"/>
      <c r="AP519" s="12"/>
      <c r="AQ519" s="12"/>
    </row>
    <row r="520">
      <c r="A520" s="5" t="s">
        <v>3126</v>
      </c>
      <c r="B520" s="5">
        <v>1.1398423E7</v>
      </c>
      <c r="C520" s="5" t="s">
        <v>37</v>
      </c>
      <c r="D520" s="5" t="s">
        <v>3127</v>
      </c>
      <c r="E520" s="5" t="s">
        <v>39</v>
      </c>
      <c r="F520" s="5" t="s">
        <v>3128</v>
      </c>
      <c r="G520" s="15">
        <v>6.28221E17</v>
      </c>
      <c r="H520" s="5" t="s">
        <v>3129</v>
      </c>
      <c r="I520" s="5" t="s">
        <v>42</v>
      </c>
      <c r="J520" s="5" t="s">
        <v>43</v>
      </c>
      <c r="K520" s="5">
        <v>8.7733785699E10</v>
      </c>
      <c r="L520" s="4" t="s">
        <v>44</v>
      </c>
      <c r="M520" s="5" t="s">
        <v>42</v>
      </c>
      <c r="N520" s="4" t="s">
        <v>45</v>
      </c>
      <c r="O520" s="4" t="s">
        <v>46</v>
      </c>
      <c r="P520" s="4" t="s">
        <v>47</v>
      </c>
      <c r="Q520" s="4">
        <v>16451.0</v>
      </c>
      <c r="R520" s="5" t="s">
        <v>3130</v>
      </c>
      <c r="S520" s="8">
        <v>46183.0</v>
      </c>
      <c r="T520" s="9">
        <v>0.375</v>
      </c>
      <c r="U520" s="9">
        <v>0.9166666666666666</v>
      </c>
      <c r="V520" s="4" t="s">
        <v>49</v>
      </c>
      <c r="W520" s="5">
        <v>1.0</v>
      </c>
      <c r="X520" s="5" t="b">
        <v>1</v>
      </c>
      <c r="Y520" s="5" t="s">
        <v>50</v>
      </c>
      <c r="Z520" s="5" t="b">
        <v>0</v>
      </c>
      <c r="AA520" s="10"/>
      <c r="AB520" s="4">
        <v>1.0</v>
      </c>
      <c r="AC520" s="11" t="s">
        <v>3131</v>
      </c>
      <c r="AD520" s="5">
        <v>0.0</v>
      </c>
      <c r="AE520" s="5">
        <v>1.0</v>
      </c>
      <c r="AF520" s="8">
        <v>46183.0</v>
      </c>
      <c r="AG520" s="9">
        <v>0.375</v>
      </c>
      <c r="AH520" s="9">
        <v>0.9166666666666666</v>
      </c>
      <c r="AI520" s="4" t="s">
        <v>49</v>
      </c>
      <c r="AJ520" s="5" t="s">
        <v>3132</v>
      </c>
      <c r="AK520" s="12"/>
      <c r="AL520" s="12">
        <v>46182.0</v>
      </c>
      <c r="AM520" s="12"/>
      <c r="AN520" s="12"/>
      <c r="AO520" s="12"/>
      <c r="AP520" s="12"/>
      <c r="AQ520" s="12"/>
    </row>
    <row r="521">
      <c r="A521" s="5" t="s">
        <v>3133</v>
      </c>
      <c r="B521" s="5">
        <v>1.1398423E7</v>
      </c>
      <c r="C521" s="5" t="s">
        <v>37</v>
      </c>
      <c r="D521" s="5" t="s">
        <v>3134</v>
      </c>
      <c r="E521" s="5" t="s">
        <v>39</v>
      </c>
      <c r="F521" s="5" t="s">
        <v>3128</v>
      </c>
      <c r="G521" s="15">
        <v>6.28221E17</v>
      </c>
      <c r="H521" s="5" t="s">
        <v>3129</v>
      </c>
      <c r="I521" s="5" t="s">
        <v>42</v>
      </c>
      <c r="J521" s="5" t="s">
        <v>43</v>
      </c>
      <c r="K521" s="5">
        <v>8.7733785699E10</v>
      </c>
      <c r="L521" s="4" t="s">
        <v>44</v>
      </c>
      <c r="M521" s="5" t="s">
        <v>42</v>
      </c>
      <c r="N521" s="4" t="s">
        <v>45</v>
      </c>
      <c r="O521" s="4" t="s">
        <v>46</v>
      </c>
      <c r="P521" s="4" t="s">
        <v>47</v>
      </c>
      <c r="Q521" s="4">
        <v>16451.0</v>
      </c>
      <c r="R521" s="5" t="s">
        <v>3135</v>
      </c>
      <c r="S521" s="8">
        <v>46183.0</v>
      </c>
      <c r="T521" s="9">
        <v>0.375</v>
      </c>
      <c r="U521" s="9">
        <v>0.9166666666666666</v>
      </c>
      <c r="V521" s="4" t="s">
        <v>49</v>
      </c>
      <c r="W521" s="5">
        <v>1.0</v>
      </c>
      <c r="X521" s="5" t="b">
        <v>1</v>
      </c>
      <c r="Y521" s="5" t="s">
        <v>50</v>
      </c>
      <c r="Z521" s="5" t="b">
        <v>0</v>
      </c>
      <c r="AA521" s="10"/>
      <c r="AB521" s="4">
        <v>1.0</v>
      </c>
      <c r="AC521" s="11" t="s">
        <v>3136</v>
      </c>
      <c r="AD521" s="5">
        <v>0.0</v>
      </c>
      <c r="AE521" s="5">
        <v>1.0</v>
      </c>
      <c r="AF521" s="8">
        <v>46183.0</v>
      </c>
      <c r="AG521" s="9">
        <v>0.375</v>
      </c>
      <c r="AH521" s="9">
        <v>0.9166666666666666</v>
      </c>
      <c r="AI521" s="4" t="s">
        <v>49</v>
      </c>
      <c r="AJ521" s="5" t="s">
        <v>3137</v>
      </c>
      <c r="AK521" s="12"/>
      <c r="AL521" s="12">
        <v>46182.0</v>
      </c>
      <c r="AM521" s="12"/>
      <c r="AN521" s="12"/>
      <c r="AO521" s="12"/>
      <c r="AP521" s="12"/>
      <c r="AQ521" s="12"/>
    </row>
    <row r="522">
      <c r="A522" s="5" t="s">
        <v>3138</v>
      </c>
      <c r="B522" s="5">
        <v>1.1398423E7</v>
      </c>
      <c r="C522" s="5" t="s">
        <v>37</v>
      </c>
      <c r="D522" s="5" t="s">
        <v>3139</v>
      </c>
      <c r="E522" s="5" t="s">
        <v>39</v>
      </c>
      <c r="F522" s="5" t="s">
        <v>3128</v>
      </c>
      <c r="G522" s="15">
        <v>6.28221E17</v>
      </c>
      <c r="H522" s="5" t="s">
        <v>3129</v>
      </c>
      <c r="I522" s="5" t="s">
        <v>42</v>
      </c>
      <c r="J522" s="5" t="s">
        <v>43</v>
      </c>
      <c r="K522" s="5">
        <v>8.7733785699E10</v>
      </c>
      <c r="L522" s="4" t="s">
        <v>44</v>
      </c>
      <c r="M522" s="5" t="s">
        <v>42</v>
      </c>
      <c r="N522" s="4" t="s">
        <v>45</v>
      </c>
      <c r="O522" s="4" t="s">
        <v>46</v>
      </c>
      <c r="P522" s="4" t="s">
        <v>47</v>
      </c>
      <c r="Q522" s="4">
        <v>16451.0</v>
      </c>
      <c r="R522" s="5" t="s">
        <v>3140</v>
      </c>
      <c r="S522" s="8">
        <v>46183.0</v>
      </c>
      <c r="T522" s="9">
        <v>0.375</v>
      </c>
      <c r="U522" s="9">
        <v>0.9166666666666666</v>
      </c>
      <c r="V522" s="4" t="s">
        <v>49</v>
      </c>
      <c r="W522" s="5">
        <v>1.0</v>
      </c>
      <c r="X522" s="5" t="b">
        <v>1</v>
      </c>
      <c r="Y522" s="5" t="s">
        <v>50</v>
      </c>
      <c r="Z522" s="5" t="b">
        <v>0</v>
      </c>
      <c r="AA522" s="10"/>
      <c r="AB522" s="4">
        <v>1.0</v>
      </c>
      <c r="AC522" s="11" t="s">
        <v>3141</v>
      </c>
      <c r="AD522" s="5">
        <v>0.0</v>
      </c>
      <c r="AE522" s="5">
        <v>1.0</v>
      </c>
      <c r="AF522" s="8">
        <v>46183.0</v>
      </c>
      <c r="AG522" s="9">
        <v>0.375</v>
      </c>
      <c r="AH522" s="9">
        <v>0.9166666666666666</v>
      </c>
      <c r="AI522" s="4" t="s">
        <v>49</v>
      </c>
      <c r="AJ522" s="5" t="s">
        <v>3142</v>
      </c>
      <c r="AK522" s="12"/>
      <c r="AL522" s="12">
        <v>46182.0</v>
      </c>
      <c r="AM522" s="12"/>
      <c r="AN522" s="12"/>
      <c r="AO522" s="12"/>
      <c r="AP522" s="12"/>
      <c r="AQ522" s="12"/>
    </row>
    <row r="523">
      <c r="A523" s="5" t="s">
        <v>3143</v>
      </c>
      <c r="B523" s="5">
        <v>1.1398423E7</v>
      </c>
      <c r="C523" s="5" t="s">
        <v>37</v>
      </c>
      <c r="D523" s="5" t="s">
        <v>1918</v>
      </c>
      <c r="E523" s="5" t="s">
        <v>39</v>
      </c>
      <c r="F523" s="5" t="s">
        <v>3144</v>
      </c>
      <c r="G523" s="15">
        <v>8.1315800751E10</v>
      </c>
      <c r="H523" s="5" t="s">
        <v>3145</v>
      </c>
      <c r="I523" s="5" t="s">
        <v>42</v>
      </c>
      <c r="J523" s="5" t="s">
        <v>43</v>
      </c>
      <c r="K523" s="5">
        <v>8.7733785699E10</v>
      </c>
      <c r="L523" s="4" t="s">
        <v>44</v>
      </c>
      <c r="M523" s="5" t="s">
        <v>42</v>
      </c>
      <c r="N523" s="4" t="s">
        <v>45</v>
      </c>
      <c r="O523" s="4" t="s">
        <v>46</v>
      </c>
      <c r="P523" s="4" t="s">
        <v>47</v>
      </c>
      <c r="Q523" s="4">
        <v>16451.0</v>
      </c>
      <c r="R523" s="5" t="s">
        <v>3146</v>
      </c>
      <c r="S523" s="8">
        <v>46183.0</v>
      </c>
      <c r="T523" s="9">
        <v>0.375</v>
      </c>
      <c r="U523" s="9">
        <v>0.9166666666666666</v>
      </c>
      <c r="V523" s="4" t="s">
        <v>49</v>
      </c>
      <c r="W523" s="5">
        <v>1.0</v>
      </c>
      <c r="X523" s="5" t="b">
        <v>1</v>
      </c>
      <c r="Y523" s="5" t="s">
        <v>50</v>
      </c>
      <c r="Z523" s="5" t="b">
        <v>0</v>
      </c>
      <c r="AA523" s="10"/>
      <c r="AB523" s="4">
        <v>1.0</v>
      </c>
      <c r="AC523" s="11" t="s">
        <v>3147</v>
      </c>
      <c r="AD523" s="5">
        <v>0.0</v>
      </c>
      <c r="AE523" s="5">
        <v>1.0</v>
      </c>
      <c r="AF523" s="8">
        <v>46183.0</v>
      </c>
      <c r="AG523" s="9">
        <v>0.375</v>
      </c>
      <c r="AH523" s="9">
        <v>0.9166666666666666</v>
      </c>
      <c r="AI523" s="4" t="s">
        <v>49</v>
      </c>
      <c r="AJ523" s="5" t="s">
        <v>3148</v>
      </c>
      <c r="AK523" s="12"/>
      <c r="AL523" s="12">
        <v>46182.0</v>
      </c>
      <c r="AM523" s="12"/>
      <c r="AN523" s="12"/>
      <c r="AO523" s="12"/>
      <c r="AP523" s="12"/>
      <c r="AQ523" s="12"/>
    </row>
    <row r="524">
      <c r="A524" s="5" t="s">
        <v>3149</v>
      </c>
      <c r="B524" s="5">
        <v>1.1398423E7</v>
      </c>
      <c r="C524" s="5" t="s">
        <v>37</v>
      </c>
      <c r="D524" s="5" t="s">
        <v>1608</v>
      </c>
      <c r="E524" s="5" t="s">
        <v>39</v>
      </c>
      <c r="F524" s="5" t="s">
        <v>252</v>
      </c>
      <c r="G524" s="15">
        <v>6.28121E17</v>
      </c>
      <c r="H524" s="5" t="s">
        <v>253</v>
      </c>
      <c r="I524" s="5" t="s">
        <v>42</v>
      </c>
      <c r="J524" s="5" t="s">
        <v>43</v>
      </c>
      <c r="K524" s="5">
        <v>8.7733785699E10</v>
      </c>
      <c r="L524" s="4" t="s">
        <v>44</v>
      </c>
      <c r="M524" s="5" t="s">
        <v>42</v>
      </c>
      <c r="N524" s="4" t="s">
        <v>45</v>
      </c>
      <c r="O524" s="4" t="s">
        <v>46</v>
      </c>
      <c r="P524" s="4" t="s">
        <v>47</v>
      </c>
      <c r="Q524" s="4">
        <v>16451.0</v>
      </c>
      <c r="R524" s="5" t="s">
        <v>3150</v>
      </c>
      <c r="S524" s="8">
        <v>46183.0</v>
      </c>
      <c r="T524" s="9">
        <v>0.375</v>
      </c>
      <c r="U524" s="9">
        <v>0.9166666666666666</v>
      </c>
      <c r="V524" s="4" t="s">
        <v>49</v>
      </c>
      <c r="W524" s="5">
        <v>1.0</v>
      </c>
      <c r="X524" s="5" t="b">
        <v>1</v>
      </c>
      <c r="Y524" s="5" t="s">
        <v>50</v>
      </c>
      <c r="Z524" s="5" t="b">
        <v>0</v>
      </c>
      <c r="AA524" s="10"/>
      <c r="AB524" s="4">
        <v>1.0</v>
      </c>
      <c r="AC524" s="11" t="s">
        <v>3151</v>
      </c>
      <c r="AD524" s="5">
        <v>0.0</v>
      </c>
      <c r="AE524" s="5">
        <v>1.0</v>
      </c>
      <c r="AF524" s="8">
        <v>46183.0</v>
      </c>
      <c r="AG524" s="9">
        <v>0.375</v>
      </c>
      <c r="AH524" s="9">
        <v>0.9166666666666666</v>
      </c>
      <c r="AI524" s="4" t="s">
        <v>49</v>
      </c>
      <c r="AJ524" s="5" t="s">
        <v>3152</v>
      </c>
      <c r="AK524" s="12"/>
      <c r="AL524" s="12">
        <v>46182.0</v>
      </c>
      <c r="AM524" s="12"/>
      <c r="AN524" s="12"/>
      <c r="AO524" s="12"/>
      <c r="AP524" s="12"/>
      <c r="AQ524" s="12"/>
    </row>
    <row r="525">
      <c r="A525" s="5" t="s">
        <v>3153</v>
      </c>
      <c r="B525" s="5">
        <v>1.1398423E7</v>
      </c>
      <c r="C525" s="5" t="s">
        <v>37</v>
      </c>
      <c r="D525" s="5" t="s">
        <v>3154</v>
      </c>
      <c r="E525" s="5" t="s">
        <v>39</v>
      </c>
      <c r="F525" s="5" t="s">
        <v>3155</v>
      </c>
      <c r="G525" s="15">
        <v>6.28132E17</v>
      </c>
      <c r="H525" s="5" t="s">
        <v>3156</v>
      </c>
      <c r="I525" s="5" t="s">
        <v>42</v>
      </c>
      <c r="J525" s="5" t="s">
        <v>43</v>
      </c>
      <c r="K525" s="5">
        <v>8.7733785699E10</v>
      </c>
      <c r="L525" s="4" t="s">
        <v>44</v>
      </c>
      <c r="M525" s="5" t="s">
        <v>42</v>
      </c>
      <c r="N525" s="4" t="s">
        <v>45</v>
      </c>
      <c r="O525" s="4" t="s">
        <v>46</v>
      </c>
      <c r="P525" s="4" t="s">
        <v>47</v>
      </c>
      <c r="Q525" s="4">
        <v>16451.0</v>
      </c>
      <c r="R525" s="5" t="s">
        <v>3157</v>
      </c>
      <c r="S525" s="8">
        <v>46183.0</v>
      </c>
      <c r="T525" s="9">
        <v>0.375</v>
      </c>
      <c r="U525" s="9">
        <v>0.9166666666666666</v>
      </c>
      <c r="V525" s="4" t="s">
        <v>49</v>
      </c>
      <c r="W525" s="5">
        <v>1.0</v>
      </c>
      <c r="X525" s="5" t="b">
        <v>1</v>
      </c>
      <c r="Y525" s="5" t="s">
        <v>50</v>
      </c>
      <c r="Z525" s="5" t="b">
        <v>0</v>
      </c>
      <c r="AA525" s="10"/>
      <c r="AB525" s="4">
        <v>1.0</v>
      </c>
      <c r="AC525" s="11" t="s">
        <v>3158</v>
      </c>
      <c r="AD525" s="5">
        <v>0.0</v>
      </c>
      <c r="AE525" s="5">
        <v>1.0</v>
      </c>
      <c r="AF525" s="8">
        <v>46183.0</v>
      </c>
      <c r="AG525" s="9">
        <v>0.375</v>
      </c>
      <c r="AH525" s="9">
        <v>0.9166666666666666</v>
      </c>
      <c r="AI525" s="4" t="s">
        <v>49</v>
      </c>
      <c r="AJ525" s="5" t="s">
        <v>3159</v>
      </c>
      <c r="AK525" s="12"/>
      <c r="AL525" s="12">
        <v>46182.0</v>
      </c>
      <c r="AM525" s="12"/>
      <c r="AN525" s="12"/>
      <c r="AO525" s="12"/>
      <c r="AP525" s="12"/>
      <c r="AQ525" s="12"/>
    </row>
    <row r="526">
      <c r="A526" s="5" t="s">
        <v>3160</v>
      </c>
      <c r="B526" s="5">
        <v>1.1398423E7</v>
      </c>
      <c r="C526" s="5" t="s">
        <v>37</v>
      </c>
      <c r="D526" s="5" t="s">
        <v>3161</v>
      </c>
      <c r="E526" s="5" t="s">
        <v>39</v>
      </c>
      <c r="F526" s="5" t="s">
        <v>3162</v>
      </c>
      <c r="G526" s="15">
        <v>6.28521E17</v>
      </c>
      <c r="H526" s="5" t="s">
        <v>3163</v>
      </c>
      <c r="I526" s="5" t="s">
        <v>42</v>
      </c>
      <c r="J526" s="5" t="s">
        <v>43</v>
      </c>
      <c r="K526" s="5">
        <v>8.7733785699E10</v>
      </c>
      <c r="L526" s="4" t="s">
        <v>44</v>
      </c>
      <c r="M526" s="5" t="s">
        <v>42</v>
      </c>
      <c r="N526" s="4" t="s">
        <v>45</v>
      </c>
      <c r="O526" s="4" t="s">
        <v>46</v>
      </c>
      <c r="P526" s="4" t="s">
        <v>47</v>
      </c>
      <c r="Q526" s="4">
        <v>16451.0</v>
      </c>
      <c r="R526" s="5" t="s">
        <v>3164</v>
      </c>
      <c r="S526" s="8">
        <v>46183.0</v>
      </c>
      <c r="T526" s="9">
        <v>0.375</v>
      </c>
      <c r="U526" s="9">
        <v>0.9166666666666666</v>
      </c>
      <c r="V526" s="4" t="s">
        <v>49</v>
      </c>
      <c r="W526" s="5">
        <v>1.0</v>
      </c>
      <c r="X526" s="5" t="b">
        <v>1</v>
      </c>
      <c r="Y526" s="5" t="s">
        <v>50</v>
      </c>
      <c r="Z526" s="5" t="b">
        <v>0</v>
      </c>
      <c r="AA526" s="10"/>
      <c r="AB526" s="4">
        <v>1.0</v>
      </c>
      <c r="AC526" s="11" t="s">
        <v>3165</v>
      </c>
      <c r="AD526" s="5">
        <v>0.0</v>
      </c>
      <c r="AE526" s="5">
        <v>1.0</v>
      </c>
      <c r="AF526" s="8">
        <v>46183.0</v>
      </c>
      <c r="AG526" s="9">
        <v>0.375</v>
      </c>
      <c r="AH526" s="9">
        <v>0.9166666666666666</v>
      </c>
      <c r="AI526" s="4" t="s">
        <v>49</v>
      </c>
      <c r="AJ526" s="5" t="s">
        <v>3166</v>
      </c>
      <c r="AK526" s="12"/>
      <c r="AL526" s="12">
        <v>46182.0</v>
      </c>
      <c r="AM526" s="12"/>
      <c r="AN526" s="12"/>
      <c r="AO526" s="12"/>
      <c r="AP526" s="12"/>
      <c r="AQ526" s="12"/>
    </row>
    <row r="527">
      <c r="A527" s="5" t="s">
        <v>3167</v>
      </c>
      <c r="B527" s="5">
        <v>1.1398423E7</v>
      </c>
      <c r="C527" s="5" t="s">
        <v>37</v>
      </c>
      <c r="D527" s="5" t="s">
        <v>3168</v>
      </c>
      <c r="E527" s="5" t="s">
        <v>39</v>
      </c>
      <c r="F527" s="5" t="s">
        <v>3169</v>
      </c>
      <c r="G527" s="15">
        <v>8.161819742E9</v>
      </c>
      <c r="H527" s="5" t="s">
        <v>3170</v>
      </c>
      <c r="I527" s="5" t="s">
        <v>42</v>
      </c>
      <c r="J527" s="5" t="s">
        <v>43</v>
      </c>
      <c r="K527" s="5">
        <v>8.7733785699E10</v>
      </c>
      <c r="L527" s="4" t="s">
        <v>44</v>
      </c>
      <c r="M527" s="5" t="s">
        <v>42</v>
      </c>
      <c r="N527" s="4" t="s">
        <v>45</v>
      </c>
      <c r="O527" s="4" t="s">
        <v>46</v>
      </c>
      <c r="P527" s="4" t="s">
        <v>47</v>
      </c>
      <c r="Q527" s="4">
        <v>16451.0</v>
      </c>
      <c r="R527" s="5" t="s">
        <v>3171</v>
      </c>
      <c r="S527" s="8">
        <v>46183.0</v>
      </c>
      <c r="T527" s="9">
        <v>0.375</v>
      </c>
      <c r="U527" s="9">
        <v>0.9166666666666666</v>
      </c>
      <c r="V527" s="4" t="s">
        <v>49</v>
      </c>
      <c r="W527" s="5">
        <v>1.0</v>
      </c>
      <c r="X527" s="5" t="b">
        <v>1</v>
      </c>
      <c r="Y527" s="5" t="s">
        <v>50</v>
      </c>
      <c r="Z527" s="5" t="b">
        <v>0</v>
      </c>
      <c r="AA527" s="10"/>
      <c r="AB527" s="4">
        <v>1.0</v>
      </c>
      <c r="AC527" s="11" t="s">
        <v>3172</v>
      </c>
      <c r="AD527" s="5">
        <v>0.0</v>
      </c>
      <c r="AE527" s="5">
        <v>1.0</v>
      </c>
      <c r="AF527" s="8">
        <v>46183.0</v>
      </c>
      <c r="AG527" s="9">
        <v>0.375</v>
      </c>
      <c r="AH527" s="9">
        <v>0.9166666666666666</v>
      </c>
      <c r="AI527" s="4" t="s">
        <v>49</v>
      </c>
      <c r="AJ527" s="5" t="s">
        <v>3173</v>
      </c>
      <c r="AK527" s="12"/>
      <c r="AL527" s="12">
        <v>46182.0</v>
      </c>
      <c r="AM527" s="12"/>
      <c r="AN527" s="12"/>
      <c r="AO527" s="12"/>
      <c r="AP527" s="12"/>
      <c r="AQ527" s="12"/>
    </row>
    <row r="528">
      <c r="A528" s="5" t="s">
        <v>3174</v>
      </c>
      <c r="B528" s="5">
        <v>1.1398423E7</v>
      </c>
      <c r="C528" s="5" t="s">
        <v>37</v>
      </c>
      <c r="D528" s="5" t="s">
        <v>1987</v>
      </c>
      <c r="E528" s="5" t="s">
        <v>39</v>
      </c>
      <c r="F528" s="5" t="s">
        <v>923</v>
      </c>
      <c r="G528" s="15">
        <v>6.28584E17</v>
      </c>
      <c r="H528" s="5" t="s">
        <v>924</v>
      </c>
      <c r="I528" s="5" t="s">
        <v>42</v>
      </c>
      <c r="J528" s="5" t="s">
        <v>43</v>
      </c>
      <c r="K528" s="5">
        <v>8.7733785699E10</v>
      </c>
      <c r="L528" s="4" t="s">
        <v>44</v>
      </c>
      <c r="M528" s="5" t="s">
        <v>42</v>
      </c>
      <c r="N528" s="4" t="s">
        <v>45</v>
      </c>
      <c r="O528" s="4" t="s">
        <v>46</v>
      </c>
      <c r="P528" s="4" t="s">
        <v>47</v>
      </c>
      <c r="Q528" s="4">
        <v>16451.0</v>
      </c>
      <c r="R528" s="5" t="s">
        <v>3175</v>
      </c>
      <c r="S528" s="8">
        <v>46183.0</v>
      </c>
      <c r="T528" s="9">
        <v>0.375</v>
      </c>
      <c r="U528" s="9">
        <v>0.9166666666666666</v>
      </c>
      <c r="V528" s="4" t="s">
        <v>49</v>
      </c>
      <c r="W528" s="5">
        <v>1.0</v>
      </c>
      <c r="X528" s="5" t="b">
        <v>1</v>
      </c>
      <c r="Y528" s="5" t="s">
        <v>50</v>
      </c>
      <c r="Z528" s="5" t="b">
        <v>0</v>
      </c>
      <c r="AA528" s="10"/>
      <c r="AB528" s="4">
        <v>1.0</v>
      </c>
      <c r="AC528" s="11" t="s">
        <v>3176</v>
      </c>
      <c r="AD528" s="5">
        <v>0.0</v>
      </c>
      <c r="AE528" s="5">
        <v>1.0</v>
      </c>
      <c r="AF528" s="8">
        <v>46183.0</v>
      </c>
      <c r="AG528" s="9">
        <v>0.375</v>
      </c>
      <c r="AH528" s="9">
        <v>0.9166666666666666</v>
      </c>
      <c r="AI528" s="4" t="s">
        <v>49</v>
      </c>
      <c r="AJ528" s="5" t="s">
        <v>3177</v>
      </c>
      <c r="AK528" s="12"/>
      <c r="AL528" s="12">
        <v>46182.0</v>
      </c>
      <c r="AM528" s="12"/>
      <c r="AN528" s="12"/>
      <c r="AO528" s="12"/>
      <c r="AP528" s="12"/>
      <c r="AQ528" s="12"/>
    </row>
    <row r="529">
      <c r="A529" s="5" t="s">
        <v>3178</v>
      </c>
      <c r="B529" s="5">
        <v>1.1398423E7</v>
      </c>
      <c r="C529" s="5" t="s">
        <v>37</v>
      </c>
      <c r="D529" s="5" t="s">
        <v>3179</v>
      </c>
      <c r="E529" s="5" t="s">
        <v>39</v>
      </c>
      <c r="F529" s="5" t="s">
        <v>1896</v>
      </c>
      <c r="G529" s="15">
        <v>8.1287123733E10</v>
      </c>
      <c r="H529" s="5" t="s">
        <v>1897</v>
      </c>
      <c r="I529" s="5" t="s">
        <v>42</v>
      </c>
      <c r="J529" s="5" t="s">
        <v>43</v>
      </c>
      <c r="K529" s="5">
        <v>8.7733785699E10</v>
      </c>
      <c r="L529" s="4" t="s">
        <v>44</v>
      </c>
      <c r="M529" s="5" t="s">
        <v>42</v>
      </c>
      <c r="N529" s="4" t="s">
        <v>45</v>
      </c>
      <c r="O529" s="4" t="s">
        <v>46</v>
      </c>
      <c r="P529" s="4" t="s">
        <v>47</v>
      </c>
      <c r="Q529" s="4">
        <v>16451.0</v>
      </c>
      <c r="R529" s="5" t="s">
        <v>3180</v>
      </c>
      <c r="S529" s="8">
        <v>46183.0</v>
      </c>
      <c r="T529" s="9">
        <v>0.375</v>
      </c>
      <c r="U529" s="9">
        <v>0.9166666666666666</v>
      </c>
      <c r="V529" s="4" t="s">
        <v>49</v>
      </c>
      <c r="W529" s="5">
        <v>1.0</v>
      </c>
      <c r="X529" s="5" t="b">
        <v>1</v>
      </c>
      <c r="Y529" s="5" t="s">
        <v>50</v>
      </c>
      <c r="Z529" s="5" t="b">
        <v>0</v>
      </c>
      <c r="AA529" s="10"/>
      <c r="AB529" s="4">
        <v>1.0</v>
      </c>
      <c r="AC529" s="11" t="s">
        <v>3181</v>
      </c>
      <c r="AD529" s="5">
        <v>0.0</v>
      </c>
      <c r="AE529" s="5">
        <v>1.0</v>
      </c>
      <c r="AF529" s="8">
        <v>46183.0</v>
      </c>
      <c r="AG529" s="9">
        <v>0.375</v>
      </c>
      <c r="AH529" s="9">
        <v>0.9166666666666666</v>
      </c>
      <c r="AI529" s="4" t="s">
        <v>49</v>
      </c>
      <c r="AJ529" s="5" t="s">
        <v>3182</v>
      </c>
      <c r="AK529" s="12"/>
      <c r="AL529" s="12">
        <v>46182.0</v>
      </c>
      <c r="AM529" s="12"/>
      <c r="AN529" s="12"/>
      <c r="AO529" s="12"/>
      <c r="AP529" s="12"/>
      <c r="AQ529" s="12"/>
    </row>
    <row r="530">
      <c r="A530" s="5" t="s">
        <v>3183</v>
      </c>
      <c r="B530" s="5">
        <v>1.1398423E7</v>
      </c>
      <c r="C530" s="5" t="s">
        <v>37</v>
      </c>
      <c r="D530" s="5" t="s">
        <v>3184</v>
      </c>
      <c r="E530" s="5" t="s">
        <v>39</v>
      </c>
      <c r="F530" s="5" t="s">
        <v>1075</v>
      </c>
      <c r="G530" s="15">
        <v>8.1350752017E10</v>
      </c>
      <c r="H530" s="5" t="s">
        <v>1076</v>
      </c>
      <c r="I530" s="5" t="s">
        <v>42</v>
      </c>
      <c r="J530" s="5" t="s">
        <v>43</v>
      </c>
      <c r="K530" s="5">
        <v>8.7733785699E10</v>
      </c>
      <c r="L530" s="4" t="s">
        <v>44</v>
      </c>
      <c r="M530" s="5" t="s">
        <v>42</v>
      </c>
      <c r="N530" s="4" t="s">
        <v>45</v>
      </c>
      <c r="O530" s="4" t="s">
        <v>46</v>
      </c>
      <c r="P530" s="4" t="s">
        <v>47</v>
      </c>
      <c r="Q530" s="4">
        <v>16451.0</v>
      </c>
      <c r="R530" s="5" t="s">
        <v>3040</v>
      </c>
      <c r="S530" s="8">
        <v>46183.0</v>
      </c>
      <c r="T530" s="9">
        <v>0.375</v>
      </c>
      <c r="U530" s="9">
        <v>0.9166666666666666</v>
      </c>
      <c r="V530" s="4" t="s">
        <v>49</v>
      </c>
      <c r="W530" s="5">
        <v>1.0</v>
      </c>
      <c r="X530" s="5" t="b">
        <v>1</v>
      </c>
      <c r="Y530" s="5" t="s">
        <v>50</v>
      </c>
      <c r="Z530" s="5" t="b">
        <v>0</v>
      </c>
      <c r="AA530" s="10"/>
      <c r="AB530" s="4">
        <v>1.0</v>
      </c>
      <c r="AC530" s="11" t="s">
        <v>3185</v>
      </c>
      <c r="AD530" s="5">
        <v>0.0</v>
      </c>
      <c r="AE530" s="5">
        <v>1.0</v>
      </c>
      <c r="AF530" s="8">
        <v>46183.0</v>
      </c>
      <c r="AG530" s="9">
        <v>0.375</v>
      </c>
      <c r="AH530" s="9">
        <v>0.9166666666666666</v>
      </c>
      <c r="AI530" s="4" t="s">
        <v>49</v>
      </c>
      <c r="AJ530" s="5" t="s">
        <v>3186</v>
      </c>
      <c r="AK530" s="12"/>
      <c r="AL530" s="12">
        <v>46182.0</v>
      </c>
      <c r="AM530" s="12"/>
      <c r="AN530" s="12"/>
      <c r="AO530" s="12"/>
      <c r="AP530" s="12"/>
      <c r="AQ530" s="12"/>
    </row>
    <row r="531">
      <c r="A531" s="5" t="s">
        <v>3187</v>
      </c>
      <c r="B531" s="5">
        <v>1.1398423E7</v>
      </c>
      <c r="C531" s="5" t="s">
        <v>37</v>
      </c>
      <c r="D531" s="5" t="s">
        <v>1759</v>
      </c>
      <c r="E531" s="5" t="s">
        <v>39</v>
      </c>
      <c r="F531" s="5" t="s">
        <v>3188</v>
      </c>
      <c r="G531" s="15">
        <v>6.28226E17</v>
      </c>
      <c r="H531" s="5" t="s">
        <v>3189</v>
      </c>
      <c r="I531" s="5" t="s">
        <v>42</v>
      </c>
      <c r="J531" s="5" t="s">
        <v>43</v>
      </c>
      <c r="K531" s="5">
        <v>8.7733785699E10</v>
      </c>
      <c r="L531" s="4" t="s">
        <v>44</v>
      </c>
      <c r="M531" s="5" t="s">
        <v>42</v>
      </c>
      <c r="N531" s="4" t="s">
        <v>45</v>
      </c>
      <c r="O531" s="4" t="s">
        <v>46</v>
      </c>
      <c r="P531" s="4" t="s">
        <v>47</v>
      </c>
      <c r="Q531" s="4">
        <v>16451.0</v>
      </c>
      <c r="R531" s="5" t="s">
        <v>3190</v>
      </c>
      <c r="S531" s="8">
        <v>46183.0</v>
      </c>
      <c r="T531" s="9">
        <v>0.375</v>
      </c>
      <c r="U531" s="9">
        <v>0.9166666666666666</v>
      </c>
      <c r="V531" s="4" t="s">
        <v>49</v>
      </c>
      <c r="W531" s="5">
        <v>1.0</v>
      </c>
      <c r="X531" s="5" t="b">
        <v>1</v>
      </c>
      <c r="Y531" s="5" t="s">
        <v>50</v>
      </c>
      <c r="Z531" s="5" t="b">
        <v>0</v>
      </c>
      <c r="AA531" s="10"/>
      <c r="AB531" s="4">
        <v>1.0</v>
      </c>
      <c r="AC531" s="11" t="s">
        <v>3191</v>
      </c>
      <c r="AD531" s="5">
        <v>0.0</v>
      </c>
      <c r="AE531" s="5">
        <v>1.0</v>
      </c>
      <c r="AF531" s="8">
        <v>46183.0</v>
      </c>
      <c r="AG531" s="9">
        <v>0.375</v>
      </c>
      <c r="AH531" s="9">
        <v>0.9166666666666666</v>
      </c>
      <c r="AI531" s="4" t="s">
        <v>49</v>
      </c>
      <c r="AJ531" s="5" t="s">
        <v>3192</v>
      </c>
      <c r="AK531" s="12"/>
      <c r="AL531" s="12">
        <v>46182.0</v>
      </c>
      <c r="AM531" s="12"/>
      <c r="AN531" s="12"/>
      <c r="AO531" s="12"/>
      <c r="AP531" s="12"/>
      <c r="AQ531" s="12"/>
    </row>
    <row r="532">
      <c r="A532" s="5" t="s">
        <v>3193</v>
      </c>
      <c r="B532" s="5">
        <v>1.1398423E7</v>
      </c>
      <c r="C532" s="5" t="s">
        <v>37</v>
      </c>
      <c r="D532" s="5" t="s">
        <v>3194</v>
      </c>
      <c r="E532" s="5" t="s">
        <v>39</v>
      </c>
      <c r="F532" s="5" t="s">
        <v>2080</v>
      </c>
      <c r="G532" s="15">
        <v>8.5888674498E10</v>
      </c>
      <c r="H532" s="5" t="s">
        <v>2081</v>
      </c>
      <c r="I532" s="5" t="s">
        <v>42</v>
      </c>
      <c r="J532" s="5" t="s">
        <v>43</v>
      </c>
      <c r="K532" s="5">
        <v>8.7733785699E10</v>
      </c>
      <c r="L532" s="4" t="s">
        <v>44</v>
      </c>
      <c r="M532" s="5" t="s">
        <v>42</v>
      </c>
      <c r="N532" s="4" t="s">
        <v>45</v>
      </c>
      <c r="O532" s="4" t="s">
        <v>46</v>
      </c>
      <c r="P532" s="4" t="s">
        <v>47</v>
      </c>
      <c r="Q532" s="4">
        <v>16451.0</v>
      </c>
      <c r="R532" s="5" t="s">
        <v>3195</v>
      </c>
      <c r="S532" s="8">
        <v>46183.0</v>
      </c>
      <c r="T532" s="9">
        <v>0.375</v>
      </c>
      <c r="U532" s="9">
        <v>0.9166666666666666</v>
      </c>
      <c r="V532" s="4" t="s">
        <v>49</v>
      </c>
      <c r="W532" s="5">
        <v>1.0</v>
      </c>
      <c r="X532" s="5" t="b">
        <v>1</v>
      </c>
      <c r="Y532" s="5" t="s">
        <v>50</v>
      </c>
      <c r="Z532" s="5" t="b">
        <v>0</v>
      </c>
      <c r="AA532" s="10"/>
      <c r="AB532" s="4">
        <v>1.0</v>
      </c>
      <c r="AC532" s="11" t="s">
        <v>3196</v>
      </c>
      <c r="AD532" s="5">
        <v>0.0</v>
      </c>
      <c r="AE532" s="5">
        <v>1.0</v>
      </c>
      <c r="AF532" s="8">
        <v>46183.0</v>
      </c>
      <c r="AG532" s="9">
        <v>0.375</v>
      </c>
      <c r="AH532" s="9">
        <v>0.9166666666666666</v>
      </c>
      <c r="AI532" s="4" t="s">
        <v>49</v>
      </c>
      <c r="AJ532" s="5" t="s">
        <v>3197</v>
      </c>
      <c r="AK532" s="12"/>
      <c r="AL532" s="12">
        <v>46182.0</v>
      </c>
      <c r="AM532" s="12"/>
      <c r="AN532" s="12"/>
      <c r="AO532" s="12"/>
      <c r="AP532" s="12"/>
      <c r="AQ532" s="12"/>
    </row>
    <row r="533">
      <c r="A533" s="5" t="s">
        <v>3198</v>
      </c>
      <c r="B533" s="5">
        <v>1.1398423E7</v>
      </c>
      <c r="C533" s="5" t="s">
        <v>37</v>
      </c>
      <c r="D533" s="5" t="s">
        <v>3199</v>
      </c>
      <c r="E533" s="5" t="s">
        <v>39</v>
      </c>
      <c r="F533" s="5" t="s">
        <v>2886</v>
      </c>
      <c r="G533" s="15">
        <v>6.28789E17</v>
      </c>
      <c r="H533" s="5" t="s">
        <v>2887</v>
      </c>
      <c r="I533" s="5" t="s">
        <v>42</v>
      </c>
      <c r="J533" s="5" t="s">
        <v>43</v>
      </c>
      <c r="K533" s="5">
        <v>8.7733785699E10</v>
      </c>
      <c r="L533" s="4" t="s">
        <v>44</v>
      </c>
      <c r="M533" s="5" t="s">
        <v>42</v>
      </c>
      <c r="N533" s="4" t="s">
        <v>45</v>
      </c>
      <c r="O533" s="4" t="s">
        <v>46</v>
      </c>
      <c r="P533" s="4" t="s">
        <v>47</v>
      </c>
      <c r="Q533" s="4">
        <v>16451.0</v>
      </c>
      <c r="R533" s="5" t="s">
        <v>3195</v>
      </c>
      <c r="S533" s="8">
        <v>46183.0</v>
      </c>
      <c r="T533" s="9">
        <v>0.375</v>
      </c>
      <c r="U533" s="9">
        <v>0.9166666666666666</v>
      </c>
      <c r="V533" s="4" t="s">
        <v>49</v>
      </c>
      <c r="W533" s="5">
        <v>1.0</v>
      </c>
      <c r="X533" s="5" t="b">
        <v>1</v>
      </c>
      <c r="Y533" s="5" t="s">
        <v>50</v>
      </c>
      <c r="Z533" s="5" t="b">
        <v>0</v>
      </c>
      <c r="AA533" s="10"/>
      <c r="AB533" s="4">
        <v>1.0</v>
      </c>
      <c r="AC533" s="11" t="s">
        <v>3200</v>
      </c>
      <c r="AD533" s="5">
        <v>0.0</v>
      </c>
      <c r="AE533" s="5">
        <v>1.0</v>
      </c>
      <c r="AF533" s="8">
        <v>46183.0</v>
      </c>
      <c r="AG533" s="9">
        <v>0.375</v>
      </c>
      <c r="AH533" s="9">
        <v>0.9166666666666666</v>
      </c>
      <c r="AI533" s="4" t="s">
        <v>49</v>
      </c>
      <c r="AJ533" s="5" t="s">
        <v>3201</v>
      </c>
      <c r="AK533" s="12"/>
      <c r="AL533" s="12">
        <v>46182.0</v>
      </c>
      <c r="AM533" s="12"/>
      <c r="AN533" s="12"/>
      <c r="AO533" s="12"/>
      <c r="AP533" s="12"/>
      <c r="AQ533" s="12"/>
    </row>
    <row r="534">
      <c r="A534" s="5" t="s">
        <v>3202</v>
      </c>
      <c r="B534" s="5">
        <v>1.1398423E7</v>
      </c>
      <c r="C534" s="5" t="s">
        <v>37</v>
      </c>
      <c r="D534" s="5" t="s">
        <v>1838</v>
      </c>
      <c r="E534" s="5" t="s">
        <v>39</v>
      </c>
      <c r="F534" s="5" t="s">
        <v>1654</v>
      </c>
      <c r="G534" s="15">
        <v>8.5703465396E10</v>
      </c>
      <c r="H534" s="5" t="s">
        <v>1655</v>
      </c>
      <c r="I534" s="5" t="s">
        <v>42</v>
      </c>
      <c r="J534" s="5" t="s">
        <v>43</v>
      </c>
      <c r="K534" s="5">
        <v>8.7733785699E10</v>
      </c>
      <c r="L534" s="4" t="s">
        <v>44</v>
      </c>
      <c r="M534" s="5" t="s">
        <v>42</v>
      </c>
      <c r="N534" s="4" t="s">
        <v>45</v>
      </c>
      <c r="O534" s="4" t="s">
        <v>46</v>
      </c>
      <c r="P534" s="4" t="s">
        <v>47</v>
      </c>
      <c r="Q534" s="4">
        <v>16451.0</v>
      </c>
      <c r="R534" s="5" t="s">
        <v>3203</v>
      </c>
      <c r="S534" s="8">
        <v>46183.0</v>
      </c>
      <c r="T534" s="9">
        <v>0.375</v>
      </c>
      <c r="U534" s="9">
        <v>0.9166666666666666</v>
      </c>
      <c r="V534" s="4" t="s">
        <v>49</v>
      </c>
      <c r="W534" s="5">
        <v>1.0</v>
      </c>
      <c r="X534" s="5" t="b">
        <v>1</v>
      </c>
      <c r="Y534" s="5" t="s">
        <v>50</v>
      </c>
      <c r="Z534" s="5" t="b">
        <v>0</v>
      </c>
      <c r="AA534" s="10"/>
      <c r="AB534" s="4">
        <v>1.0</v>
      </c>
      <c r="AC534" s="11" t="s">
        <v>3204</v>
      </c>
      <c r="AD534" s="5">
        <v>0.0</v>
      </c>
      <c r="AE534" s="5">
        <v>1.0</v>
      </c>
      <c r="AF534" s="8">
        <v>46183.0</v>
      </c>
      <c r="AG534" s="9">
        <v>0.375</v>
      </c>
      <c r="AH534" s="9">
        <v>0.9166666666666666</v>
      </c>
      <c r="AI534" s="4" t="s">
        <v>49</v>
      </c>
      <c r="AJ534" s="5" t="s">
        <v>3205</v>
      </c>
      <c r="AK534" s="12"/>
      <c r="AL534" s="12">
        <v>46182.0</v>
      </c>
      <c r="AM534" s="12"/>
      <c r="AN534" s="12"/>
      <c r="AO534" s="12"/>
      <c r="AP534" s="12"/>
      <c r="AQ534" s="12"/>
    </row>
    <row r="535">
      <c r="A535" s="5" t="s">
        <v>3206</v>
      </c>
      <c r="B535" s="5">
        <v>1.1398423E7</v>
      </c>
      <c r="C535" s="5" t="s">
        <v>37</v>
      </c>
      <c r="D535" s="5" t="s">
        <v>3207</v>
      </c>
      <c r="E535" s="5" t="s">
        <v>39</v>
      </c>
      <c r="F535" s="5" t="s">
        <v>1851</v>
      </c>
      <c r="G535" s="15">
        <v>6.28211E17</v>
      </c>
      <c r="H535" s="5" t="s">
        <v>1852</v>
      </c>
      <c r="I535" s="5" t="s">
        <v>42</v>
      </c>
      <c r="J535" s="5" t="s">
        <v>43</v>
      </c>
      <c r="K535" s="5">
        <v>8.7733785699E10</v>
      </c>
      <c r="L535" s="4" t="s">
        <v>44</v>
      </c>
      <c r="M535" s="5" t="s">
        <v>42</v>
      </c>
      <c r="N535" s="4" t="s">
        <v>45</v>
      </c>
      <c r="O535" s="4" t="s">
        <v>46</v>
      </c>
      <c r="P535" s="4" t="s">
        <v>47</v>
      </c>
      <c r="Q535" s="4">
        <v>16451.0</v>
      </c>
      <c r="R535" s="5" t="s">
        <v>3208</v>
      </c>
      <c r="S535" s="8">
        <v>46183.0</v>
      </c>
      <c r="T535" s="9">
        <v>0.375</v>
      </c>
      <c r="U535" s="9">
        <v>0.9166666666666666</v>
      </c>
      <c r="V535" s="4" t="s">
        <v>49</v>
      </c>
      <c r="W535" s="5">
        <v>1.0</v>
      </c>
      <c r="X535" s="5" t="b">
        <v>1</v>
      </c>
      <c r="Y535" s="5" t="s">
        <v>50</v>
      </c>
      <c r="Z535" s="5" t="b">
        <v>0</v>
      </c>
      <c r="AA535" s="10"/>
      <c r="AB535" s="4">
        <v>1.0</v>
      </c>
      <c r="AC535" s="11" t="s">
        <v>3209</v>
      </c>
      <c r="AD535" s="5">
        <v>0.0</v>
      </c>
      <c r="AE535" s="5">
        <v>1.0</v>
      </c>
      <c r="AF535" s="8">
        <v>46183.0</v>
      </c>
      <c r="AG535" s="9">
        <v>0.375</v>
      </c>
      <c r="AH535" s="9">
        <v>0.9166666666666666</v>
      </c>
      <c r="AI535" s="4" t="s">
        <v>49</v>
      </c>
      <c r="AJ535" s="5" t="s">
        <v>3210</v>
      </c>
      <c r="AK535" s="12"/>
      <c r="AL535" s="12">
        <v>46182.0</v>
      </c>
      <c r="AM535" s="12"/>
      <c r="AN535" s="12"/>
      <c r="AO535" s="12"/>
      <c r="AP535" s="12"/>
      <c r="AQ535" s="12"/>
    </row>
    <row r="536">
      <c r="A536" s="5" t="s">
        <v>3211</v>
      </c>
      <c r="B536" s="5">
        <v>1.1398423E7</v>
      </c>
      <c r="C536" s="5" t="s">
        <v>37</v>
      </c>
      <c r="D536" s="5" t="s">
        <v>3212</v>
      </c>
      <c r="E536" s="5" t="s">
        <v>39</v>
      </c>
      <c r="F536" s="5" t="s">
        <v>3213</v>
      </c>
      <c r="G536" s="15">
        <v>6.28594E17</v>
      </c>
      <c r="H536" s="5" t="s">
        <v>3214</v>
      </c>
      <c r="I536" s="5" t="s">
        <v>42</v>
      </c>
      <c r="J536" s="5" t="s">
        <v>43</v>
      </c>
      <c r="K536" s="5">
        <v>8.7733785699E10</v>
      </c>
      <c r="L536" s="4" t="s">
        <v>44</v>
      </c>
      <c r="M536" s="5" t="s">
        <v>42</v>
      </c>
      <c r="N536" s="4" t="s">
        <v>45</v>
      </c>
      <c r="O536" s="4" t="s">
        <v>46</v>
      </c>
      <c r="P536" s="4" t="s">
        <v>47</v>
      </c>
      <c r="Q536" s="4">
        <v>16451.0</v>
      </c>
      <c r="R536" s="5" t="s">
        <v>3215</v>
      </c>
      <c r="S536" s="8">
        <v>46183.0</v>
      </c>
      <c r="T536" s="9">
        <v>0.375</v>
      </c>
      <c r="U536" s="9">
        <v>0.9166666666666666</v>
      </c>
      <c r="V536" s="4" t="s">
        <v>49</v>
      </c>
      <c r="W536" s="5">
        <v>1.0</v>
      </c>
      <c r="X536" s="5" t="b">
        <v>1</v>
      </c>
      <c r="Y536" s="5" t="s">
        <v>50</v>
      </c>
      <c r="Z536" s="5" t="b">
        <v>0</v>
      </c>
      <c r="AA536" s="10"/>
      <c r="AB536" s="4">
        <v>1.0</v>
      </c>
      <c r="AC536" s="11" t="s">
        <v>3216</v>
      </c>
      <c r="AD536" s="5">
        <v>0.0</v>
      </c>
      <c r="AE536" s="5">
        <v>1.0</v>
      </c>
      <c r="AF536" s="8">
        <v>46183.0</v>
      </c>
      <c r="AG536" s="9">
        <v>0.375</v>
      </c>
      <c r="AH536" s="9">
        <v>0.9166666666666666</v>
      </c>
      <c r="AI536" s="4" t="s">
        <v>49</v>
      </c>
      <c r="AJ536" s="5" t="s">
        <v>3217</v>
      </c>
      <c r="AK536" s="12"/>
      <c r="AL536" s="12">
        <v>46182.0</v>
      </c>
      <c r="AM536" s="12"/>
      <c r="AN536" s="12"/>
      <c r="AO536" s="12"/>
      <c r="AP536" s="12"/>
      <c r="AQ536" s="12"/>
    </row>
    <row r="537">
      <c r="A537" s="5" t="s">
        <v>3218</v>
      </c>
      <c r="B537" s="5">
        <v>1.1398423E7</v>
      </c>
      <c r="C537" s="5" t="s">
        <v>37</v>
      </c>
      <c r="D537" s="5" t="s">
        <v>3219</v>
      </c>
      <c r="E537" s="5" t="s">
        <v>39</v>
      </c>
      <c r="F537" s="5" t="s">
        <v>3220</v>
      </c>
      <c r="G537" s="15">
        <v>6.28131E17</v>
      </c>
      <c r="H537" s="5" t="s">
        <v>3221</v>
      </c>
      <c r="I537" s="5" t="s">
        <v>42</v>
      </c>
      <c r="J537" s="5" t="s">
        <v>43</v>
      </c>
      <c r="K537" s="5">
        <v>8.7733785699E10</v>
      </c>
      <c r="L537" s="4" t="s">
        <v>44</v>
      </c>
      <c r="M537" s="5" t="s">
        <v>42</v>
      </c>
      <c r="N537" s="4" t="s">
        <v>45</v>
      </c>
      <c r="O537" s="4" t="s">
        <v>46</v>
      </c>
      <c r="P537" s="4" t="s">
        <v>47</v>
      </c>
      <c r="Q537" s="4">
        <v>16451.0</v>
      </c>
      <c r="R537" s="5" t="s">
        <v>3222</v>
      </c>
      <c r="S537" s="8">
        <v>46183.0</v>
      </c>
      <c r="T537" s="9">
        <v>0.375</v>
      </c>
      <c r="U537" s="9">
        <v>0.9166666666666666</v>
      </c>
      <c r="V537" s="4" t="s">
        <v>49</v>
      </c>
      <c r="W537" s="5">
        <v>1.0</v>
      </c>
      <c r="X537" s="5" t="b">
        <v>1</v>
      </c>
      <c r="Y537" s="5" t="s">
        <v>50</v>
      </c>
      <c r="Z537" s="5" t="b">
        <v>0</v>
      </c>
      <c r="AA537" s="10"/>
      <c r="AB537" s="4">
        <v>1.0</v>
      </c>
      <c r="AC537" s="11" t="s">
        <v>3223</v>
      </c>
      <c r="AD537" s="5">
        <v>0.0</v>
      </c>
      <c r="AE537" s="5">
        <v>1.0</v>
      </c>
      <c r="AF537" s="8">
        <v>46183.0</v>
      </c>
      <c r="AG537" s="9">
        <v>0.375</v>
      </c>
      <c r="AH537" s="9">
        <v>0.9166666666666666</v>
      </c>
      <c r="AI537" s="4" t="s">
        <v>49</v>
      </c>
      <c r="AJ537" s="5" t="s">
        <v>3224</v>
      </c>
      <c r="AK537" s="12"/>
      <c r="AL537" s="12">
        <v>46182.0</v>
      </c>
      <c r="AM537" s="12"/>
      <c r="AN537" s="12"/>
      <c r="AO537" s="12"/>
      <c r="AP537" s="12"/>
      <c r="AQ537" s="12"/>
    </row>
    <row r="538">
      <c r="A538" s="5" t="s">
        <v>3225</v>
      </c>
      <c r="B538" s="5">
        <v>1.1398423E7</v>
      </c>
      <c r="C538" s="5" t="s">
        <v>37</v>
      </c>
      <c r="D538" s="5" t="s">
        <v>3226</v>
      </c>
      <c r="E538" s="5" t="s">
        <v>39</v>
      </c>
      <c r="F538" s="5" t="s">
        <v>3227</v>
      </c>
      <c r="G538" s="15">
        <v>6.2823E16</v>
      </c>
      <c r="H538" s="5" t="s">
        <v>3228</v>
      </c>
      <c r="I538" s="5" t="s">
        <v>42</v>
      </c>
      <c r="J538" s="5" t="s">
        <v>43</v>
      </c>
      <c r="K538" s="5">
        <v>8.7733785699E10</v>
      </c>
      <c r="L538" s="4" t="s">
        <v>44</v>
      </c>
      <c r="M538" s="5" t="s">
        <v>42</v>
      </c>
      <c r="N538" s="4" t="s">
        <v>45</v>
      </c>
      <c r="O538" s="4" t="s">
        <v>46</v>
      </c>
      <c r="P538" s="4" t="s">
        <v>47</v>
      </c>
      <c r="Q538" s="4">
        <v>16451.0</v>
      </c>
      <c r="R538" s="5" t="s">
        <v>3229</v>
      </c>
      <c r="S538" s="8">
        <v>46183.0</v>
      </c>
      <c r="T538" s="9">
        <v>0.375</v>
      </c>
      <c r="U538" s="9">
        <v>0.9166666666666666</v>
      </c>
      <c r="V538" s="4" t="s">
        <v>49</v>
      </c>
      <c r="W538" s="5">
        <v>1.0</v>
      </c>
      <c r="X538" s="5" t="b">
        <v>1</v>
      </c>
      <c r="Y538" s="5" t="s">
        <v>50</v>
      </c>
      <c r="Z538" s="5" t="b">
        <v>0</v>
      </c>
      <c r="AA538" s="10"/>
      <c r="AB538" s="4">
        <v>1.0</v>
      </c>
      <c r="AC538" s="11" t="s">
        <v>3230</v>
      </c>
      <c r="AD538" s="5">
        <v>0.0</v>
      </c>
      <c r="AE538" s="5">
        <v>1.0</v>
      </c>
      <c r="AF538" s="8">
        <v>46183.0</v>
      </c>
      <c r="AG538" s="9">
        <v>0.375</v>
      </c>
      <c r="AH538" s="9">
        <v>0.9166666666666666</v>
      </c>
      <c r="AI538" s="4" t="s">
        <v>49</v>
      </c>
      <c r="AJ538" s="5" t="s">
        <v>3231</v>
      </c>
      <c r="AK538" s="12"/>
      <c r="AL538" s="12">
        <v>46182.0</v>
      </c>
      <c r="AM538" s="12"/>
      <c r="AN538" s="12"/>
      <c r="AO538" s="12"/>
      <c r="AP538" s="12"/>
      <c r="AQ538" s="12"/>
    </row>
    <row r="539">
      <c r="A539" s="5" t="s">
        <v>3232</v>
      </c>
      <c r="B539" s="5">
        <v>1.1398423E7</v>
      </c>
      <c r="C539" s="5" t="s">
        <v>37</v>
      </c>
      <c r="D539" s="5" t="s">
        <v>3233</v>
      </c>
      <c r="E539" s="5" t="s">
        <v>39</v>
      </c>
      <c r="F539" s="5" t="s">
        <v>1661</v>
      </c>
      <c r="G539" s="15">
        <v>6.28139E17</v>
      </c>
      <c r="H539" s="5" t="s">
        <v>1662</v>
      </c>
      <c r="I539" s="5" t="s">
        <v>42</v>
      </c>
      <c r="J539" s="5" t="s">
        <v>43</v>
      </c>
      <c r="K539" s="5">
        <v>8.7733785699E10</v>
      </c>
      <c r="L539" s="4" t="s">
        <v>44</v>
      </c>
      <c r="M539" s="5" t="s">
        <v>42</v>
      </c>
      <c r="N539" s="4" t="s">
        <v>45</v>
      </c>
      <c r="O539" s="4" t="s">
        <v>46</v>
      </c>
      <c r="P539" s="4" t="s">
        <v>47</v>
      </c>
      <c r="Q539" s="4">
        <v>16451.0</v>
      </c>
      <c r="R539" s="5" t="s">
        <v>3234</v>
      </c>
      <c r="S539" s="8">
        <v>46183.0</v>
      </c>
      <c r="T539" s="9">
        <v>0.375</v>
      </c>
      <c r="U539" s="9">
        <v>0.9166666666666666</v>
      </c>
      <c r="V539" s="4" t="s">
        <v>49</v>
      </c>
      <c r="W539" s="5">
        <v>1.0</v>
      </c>
      <c r="X539" s="5" t="b">
        <v>1</v>
      </c>
      <c r="Y539" s="5" t="s">
        <v>50</v>
      </c>
      <c r="Z539" s="5" t="b">
        <v>0</v>
      </c>
      <c r="AA539" s="10"/>
      <c r="AB539" s="4">
        <v>1.0</v>
      </c>
      <c r="AC539" s="11" t="s">
        <v>3235</v>
      </c>
      <c r="AD539" s="5">
        <v>0.0</v>
      </c>
      <c r="AE539" s="5">
        <v>1.0</v>
      </c>
      <c r="AF539" s="8">
        <v>46183.0</v>
      </c>
      <c r="AG539" s="9">
        <v>0.375</v>
      </c>
      <c r="AH539" s="9">
        <v>0.9166666666666666</v>
      </c>
      <c r="AI539" s="4" t="s">
        <v>49</v>
      </c>
      <c r="AJ539" s="5" t="s">
        <v>3236</v>
      </c>
      <c r="AK539" s="12"/>
      <c r="AL539" s="12">
        <v>46182.0</v>
      </c>
      <c r="AM539" s="12"/>
      <c r="AN539" s="12"/>
      <c r="AO539" s="12"/>
      <c r="AP539" s="12"/>
      <c r="AQ539" s="12"/>
    </row>
    <row r="540">
      <c r="A540" s="5" t="s">
        <v>3237</v>
      </c>
      <c r="B540" s="5">
        <v>1.1398423E7</v>
      </c>
      <c r="C540" s="5" t="s">
        <v>37</v>
      </c>
      <c r="D540" s="5" t="s">
        <v>1627</v>
      </c>
      <c r="E540" s="5" t="s">
        <v>39</v>
      </c>
      <c r="F540" s="5" t="s">
        <v>492</v>
      </c>
      <c r="G540" s="15">
        <v>6.28139E17</v>
      </c>
      <c r="H540" s="5" t="s">
        <v>493</v>
      </c>
      <c r="I540" s="5" t="s">
        <v>42</v>
      </c>
      <c r="J540" s="5" t="s">
        <v>43</v>
      </c>
      <c r="K540" s="5">
        <v>8.7733785699E10</v>
      </c>
      <c r="L540" s="4" t="s">
        <v>44</v>
      </c>
      <c r="M540" s="5" t="s">
        <v>42</v>
      </c>
      <c r="N540" s="4" t="s">
        <v>45</v>
      </c>
      <c r="O540" s="4" t="s">
        <v>46</v>
      </c>
      <c r="P540" s="4" t="s">
        <v>47</v>
      </c>
      <c r="Q540" s="4">
        <v>16451.0</v>
      </c>
      <c r="R540" s="5" t="s">
        <v>3238</v>
      </c>
      <c r="S540" s="8">
        <v>46183.0</v>
      </c>
      <c r="T540" s="9">
        <v>0.375</v>
      </c>
      <c r="U540" s="9">
        <v>0.9166666666666666</v>
      </c>
      <c r="V540" s="4" t="s">
        <v>49</v>
      </c>
      <c r="W540" s="5">
        <v>1.0</v>
      </c>
      <c r="X540" s="5" t="b">
        <v>1</v>
      </c>
      <c r="Y540" s="5" t="s">
        <v>50</v>
      </c>
      <c r="Z540" s="5" t="b">
        <v>0</v>
      </c>
      <c r="AA540" s="10"/>
      <c r="AB540" s="4">
        <v>1.0</v>
      </c>
      <c r="AC540" s="11" t="s">
        <v>3239</v>
      </c>
      <c r="AD540" s="5">
        <v>0.0</v>
      </c>
      <c r="AE540" s="5">
        <v>1.0</v>
      </c>
      <c r="AF540" s="8">
        <v>46183.0</v>
      </c>
      <c r="AG540" s="9">
        <v>0.375</v>
      </c>
      <c r="AH540" s="9">
        <v>0.9166666666666666</v>
      </c>
      <c r="AI540" s="4" t="s">
        <v>49</v>
      </c>
      <c r="AJ540" s="5" t="s">
        <v>3240</v>
      </c>
      <c r="AK540" s="12"/>
      <c r="AL540" s="12">
        <v>46182.0</v>
      </c>
      <c r="AM540" s="12"/>
      <c r="AN540" s="12"/>
      <c r="AO540" s="12"/>
      <c r="AP540" s="12"/>
      <c r="AQ540" s="12"/>
    </row>
    <row r="541">
      <c r="A541" s="5" t="s">
        <v>3072</v>
      </c>
      <c r="B541" s="5">
        <v>1.1398423E7</v>
      </c>
      <c r="C541" s="5" t="s">
        <v>37</v>
      </c>
      <c r="D541" s="5" t="s">
        <v>3072</v>
      </c>
      <c r="E541" s="5" t="s">
        <v>39</v>
      </c>
      <c r="F541" s="5" t="s">
        <v>933</v>
      </c>
      <c r="G541" s="15">
        <v>8.5294437759E10</v>
      </c>
      <c r="H541" s="5" t="s">
        <v>934</v>
      </c>
      <c r="I541" s="5" t="s">
        <v>42</v>
      </c>
      <c r="J541" s="5" t="s">
        <v>43</v>
      </c>
      <c r="K541" s="5">
        <v>8.7733785699E10</v>
      </c>
      <c r="L541" s="4" t="s">
        <v>44</v>
      </c>
      <c r="M541" s="5" t="s">
        <v>42</v>
      </c>
      <c r="N541" s="4" t="s">
        <v>45</v>
      </c>
      <c r="O541" s="4" t="s">
        <v>46</v>
      </c>
      <c r="P541" s="4" t="s">
        <v>47</v>
      </c>
      <c r="Q541" s="4">
        <v>16451.0</v>
      </c>
      <c r="R541" s="5" t="s">
        <v>3241</v>
      </c>
      <c r="S541" s="8">
        <v>46183.0</v>
      </c>
      <c r="T541" s="9">
        <v>0.375</v>
      </c>
      <c r="U541" s="9">
        <v>0.9166666666666666</v>
      </c>
      <c r="V541" s="4" t="s">
        <v>49</v>
      </c>
      <c r="W541" s="5">
        <v>1.0</v>
      </c>
      <c r="X541" s="5" t="b">
        <v>1</v>
      </c>
      <c r="Y541" s="5" t="s">
        <v>50</v>
      </c>
      <c r="Z541" s="5" t="b">
        <v>0</v>
      </c>
      <c r="AA541" s="10"/>
      <c r="AB541" s="4">
        <v>1.0</v>
      </c>
      <c r="AC541" s="11" t="s">
        <v>3242</v>
      </c>
      <c r="AD541" s="5">
        <v>0.0</v>
      </c>
      <c r="AE541" s="5">
        <v>1.0</v>
      </c>
      <c r="AF541" s="8">
        <v>46183.0</v>
      </c>
      <c r="AG541" s="9">
        <v>0.375</v>
      </c>
      <c r="AH541" s="9">
        <v>0.9166666666666666</v>
      </c>
      <c r="AI541" s="4" t="s">
        <v>49</v>
      </c>
      <c r="AJ541" s="5" t="s">
        <v>3243</v>
      </c>
      <c r="AK541" s="12"/>
      <c r="AL541" s="12">
        <v>46182.0</v>
      </c>
      <c r="AM541" s="12"/>
      <c r="AN541" s="12"/>
      <c r="AO541" s="12"/>
      <c r="AP541" s="12"/>
      <c r="AQ541" s="12"/>
    </row>
    <row r="542">
      <c r="A542" s="5" t="s">
        <v>3244</v>
      </c>
      <c r="B542" s="5">
        <v>1.1398423E7</v>
      </c>
      <c r="C542" s="5" t="s">
        <v>37</v>
      </c>
      <c r="D542" s="5" t="s">
        <v>1895</v>
      </c>
      <c r="E542" s="5" t="s">
        <v>39</v>
      </c>
      <c r="F542" s="5" t="s">
        <v>1668</v>
      </c>
      <c r="G542" s="15">
        <v>6.28127E17</v>
      </c>
      <c r="H542" s="5" t="s">
        <v>1669</v>
      </c>
      <c r="I542" s="5" t="s">
        <v>42</v>
      </c>
      <c r="J542" s="5" t="s">
        <v>43</v>
      </c>
      <c r="K542" s="5">
        <v>8.7733785699E10</v>
      </c>
      <c r="L542" s="4" t="s">
        <v>44</v>
      </c>
      <c r="M542" s="5" t="s">
        <v>42</v>
      </c>
      <c r="N542" s="4" t="s">
        <v>45</v>
      </c>
      <c r="O542" s="4" t="s">
        <v>46</v>
      </c>
      <c r="P542" s="4" t="s">
        <v>47</v>
      </c>
      <c r="Q542" s="4">
        <v>16451.0</v>
      </c>
      <c r="R542" s="5" t="s">
        <v>3245</v>
      </c>
      <c r="S542" s="8">
        <v>46183.0</v>
      </c>
      <c r="T542" s="9">
        <v>0.375</v>
      </c>
      <c r="U542" s="9">
        <v>0.9166666666666666</v>
      </c>
      <c r="V542" s="4" t="s">
        <v>49</v>
      </c>
      <c r="W542" s="5">
        <v>1.0</v>
      </c>
      <c r="X542" s="5" t="b">
        <v>1</v>
      </c>
      <c r="Y542" s="5" t="s">
        <v>50</v>
      </c>
      <c r="Z542" s="5" t="b">
        <v>0</v>
      </c>
      <c r="AA542" s="10"/>
      <c r="AB542" s="4">
        <v>1.0</v>
      </c>
      <c r="AC542" s="11" t="s">
        <v>3246</v>
      </c>
      <c r="AD542" s="5">
        <v>0.0</v>
      </c>
      <c r="AE542" s="5">
        <v>1.0</v>
      </c>
      <c r="AF542" s="8">
        <v>46183.0</v>
      </c>
      <c r="AG542" s="9">
        <v>0.375</v>
      </c>
      <c r="AH542" s="9">
        <v>0.9166666666666666</v>
      </c>
      <c r="AI542" s="4" t="s">
        <v>49</v>
      </c>
      <c r="AJ542" s="5" t="s">
        <v>3247</v>
      </c>
      <c r="AK542" s="12"/>
      <c r="AL542" s="12">
        <v>46182.0</v>
      </c>
      <c r="AM542" s="12"/>
      <c r="AN542" s="12"/>
      <c r="AO542" s="12"/>
      <c r="AP542" s="12"/>
      <c r="AQ542" s="12"/>
    </row>
    <row r="543">
      <c r="A543" s="5" t="s">
        <v>3248</v>
      </c>
      <c r="B543" s="5">
        <v>1.1398423E7</v>
      </c>
      <c r="C543" s="5" t="s">
        <v>37</v>
      </c>
      <c r="D543" s="5" t="s">
        <v>2285</v>
      </c>
      <c r="E543" s="5" t="s">
        <v>39</v>
      </c>
      <c r="F543" s="5" t="s">
        <v>1668</v>
      </c>
      <c r="G543" s="15">
        <v>6.28127E17</v>
      </c>
      <c r="H543" s="5" t="s">
        <v>1669</v>
      </c>
      <c r="I543" s="5" t="s">
        <v>42</v>
      </c>
      <c r="J543" s="5" t="s">
        <v>43</v>
      </c>
      <c r="K543" s="5">
        <v>8.7733785699E10</v>
      </c>
      <c r="L543" s="4" t="s">
        <v>44</v>
      </c>
      <c r="M543" s="5" t="s">
        <v>42</v>
      </c>
      <c r="N543" s="4" t="s">
        <v>45</v>
      </c>
      <c r="O543" s="4" t="s">
        <v>46</v>
      </c>
      <c r="P543" s="4" t="s">
        <v>47</v>
      </c>
      <c r="Q543" s="4">
        <v>16451.0</v>
      </c>
      <c r="R543" s="5" t="s">
        <v>3249</v>
      </c>
      <c r="S543" s="8">
        <v>46183.0</v>
      </c>
      <c r="T543" s="9">
        <v>0.375</v>
      </c>
      <c r="U543" s="9">
        <v>0.9166666666666666</v>
      </c>
      <c r="V543" s="4" t="s">
        <v>49</v>
      </c>
      <c r="W543" s="5">
        <v>1.0</v>
      </c>
      <c r="X543" s="5" t="b">
        <v>1</v>
      </c>
      <c r="Y543" s="5" t="s">
        <v>50</v>
      </c>
      <c r="Z543" s="5" t="b">
        <v>0</v>
      </c>
      <c r="AA543" s="10"/>
      <c r="AB543" s="4">
        <v>1.0</v>
      </c>
      <c r="AC543" s="11" t="s">
        <v>3250</v>
      </c>
      <c r="AD543" s="5">
        <v>0.0</v>
      </c>
      <c r="AE543" s="5">
        <v>1.0</v>
      </c>
      <c r="AF543" s="8">
        <v>46183.0</v>
      </c>
      <c r="AG543" s="9">
        <v>0.375</v>
      </c>
      <c r="AH543" s="9">
        <v>0.9166666666666666</v>
      </c>
      <c r="AI543" s="4" t="s">
        <v>49</v>
      </c>
      <c r="AJ543" s="5" t="s">
        <v>3251</v>
      </c>
      <c r="AK543" s="12"/>
      <c r="AL543" s="12">
        <v>46182.0</v>
      </c>
      <c r="AM543" s="12"/>
      <c r="AN543" s="12"/>
      <c r="AO543" s="12"/>
      <c r="AP543" s="12"/>
      <c r="AQ543" s="12"/>
    </row>
    <row r="544">
      <c r="A544" s="5" t="s">
        <v>3252</v>
      </c>
      <c r="B544" s="5">
        <v>1.1398423E7</v>
      </c>
      <c r="C544" s="5" t="s">
        <v>37</v>
      </c>
      <c r="D544" s="5" t="s">
        <v>3253</v>
      </c>
      <c r="E544" s="5" t="s">
        <v>39</v>
      </c>
      <c r="F544" s="5" t="s">
        <v>3254</v>
      </c>
      <c r="G544" s="15">
        <v>8.1210468236E10</v>
      </c>
      <c r="H544" s="5" t="s">
        <v>3255</v>
      </c>
      <c r="I544" s="5" t="s">
        <v>42</v>
      </c>
      <c r="J544" s="5" t="s">
        <v>43</v>
      </c>
      <c r="K544" s="5">
        <v>8.7733785699E10</v>
      </c>
      <c r="L544" s="4" t="s">
        <v>44</v>
      </c>
      <c r="M544" s="5" t="s">
        <v>42</v>
      </c>
      <c r="N544" s="4" t="s">
        <v>45</v>
      </c>
      <c r="O544" s="4" t="s">
        <v>46</v>
      </c>
      <c r="P544" s="4" t="s">
        <v>47</v>
      </c>
      <c r="Q544" s="4">
        <v>16451.0</v>
      </c>
      <c r="R544" s="5" t="s">
        <v>3256</v>
      </c>
      <c r="S544" s="8">
        <v>46183.0</v>
      </c>
      <c r="T544" s="9">
        <v>0.375</v>
      </c>
      <c r="U544" s="9">
        <v>0.9166666666666666</v>
      </c>
      <c r="V544" s="4" t="s">
        <v>49</v>
      </c>
      <c r="W544" s="5">
        <v>1.0</v>
      </c>
      <c r="X544" s="5" t="b">
        <v>1</v>
      </c>
      <c r="Y544" s="5" t="s">
        <v>50</v>
      </c>
      <c r="Z544" s="5" t="b">
        <v>0</v>
      </c>
      <c r="AA544" s="10"/>
      <c r="AB544" s="4">
        <v>1.0</v>
      </c>
      <c r="AC544" s="11" t="s">
        <v>3257</v>
      </c>
      <c r="AD544" s="5">
        <v>0.0</v>
      </c>
      <c r="AE544" s="5">
        <v>1.0</v>
      </c>
      <c r="AF544" s="8">
        <v>46183.0</v>
      </c>
      <c r="AG544" s="9">
        <v>0.375</v>
      </c>
      <c r="AH544" s="9">
        <v>0.9166666666666666</v>
      </c>
      <c r="AI544" s="4" t="s">
        <v>49</v>
      </c>
      <c r="AJ544" s="5" t="s">
        <v>3258</v>
      </c>
      <c r="AK544" s="12"/>
      <c r="AL544" s="12">
        <v>46182.0</v>
      </c>
      <c r="AM544" s="12"/>
      <c r="AN544" s="12"/>
      <c r="AO544" s="12"/>
      <c r="AP544" s="12"/>
      <c r="AQ544" s="12"/>
    </row>
    <row r="545">
      <c r="A545" s="5" t="s">
        <v>3259</v>
      </c>
      <c r="B545" s="5">
        <v>1.1398423E7</v>
      </c>
      <c r="C545" s="5" t="s">
        <v>37</v>
      </c>
      <c r="D545" s="5" t="s">
        <v>1514</v>
      </c>
      <c r="E545" s="5" t="s">
        <v>39</v>
      </c>
      <c r="F545" s="5" t="s">
        <v>1687</v>
      </c>
      <c r="G545" s="15">
        <v>8.130964542E9</v>
      </c>
      <c r="H545" s="5" t="s">
        <v>1688</v>
      </c>
      <c r="I545" s="5" t="s">
        <v>42</v>
      </c>
      <c r="J545" s="5" t="s">
        <v>43</v>
      </c>
      <c r="K545" s="5">
        <v>8.7733785699E10</v>
      </c>
      <c r="L545" s="4" t="s">
        <v>44</v>
      </c>
      <c r="M545" s="5" t="s">
        <v>42</v>
      </c>
      <c r="N545" s="4" t="s">
        <v>45</v>
      </c>
      <c r="O545" s="4" t="s">
        <v>46</v>
      </c>
      <c r="P545" s="4" t="s">
        <v>47</v>
      </c>
      <c r="Q545" s="4">
        <v>16451.0</v>
      </c>
      <c r="R545" s="5" t="s">
        <v>3229</v>
      </c>
      <c r="S545" s="8">
        <v>46183.0</v>
      </c>
      <c r="T545" s="9">
        <v>0.375</v>
      </c>
      <c r="U545" s="9">
        <v>0.9166666666666666</v>
      </c>
      <c r="V545" s="4" t="s">
        <v>49</v>
      </c>
      <c r="W545" s="5">
        <v>1.0</v>
      </c>
      <c r="X545" s="5" t="b">
        <v>1</v>
      </c>
      <c r="Y545" s="5" t="s">
        <v>50</v>
      </c>
      <c r="Z545" s="5" t="b">
        <v>0</v>
      </c>
      <c r="AA545" s="10"/>
      <c r="AB545" s="4">
        <v>1.0</v>
      </c>
      <c r="AC545" s="11" t="s">
        <v>3260</v>
      </c>
      <c r="AD545" s="5">
        <v>0.0</v>
      </c>
      <c r="AE545" s="5">
        <v>1.0</v>
      </c>
      <c r="AF545" s="8">
        <v>46183.0</v>
      </c>
      <c r="AG545" s="9">
        <v>0.375</v>
      </c>
      <c r="AH545" s="9">
        <v>0.9166666666666666</v>
      </c>
      <c r="AI545" s="4" t="s">
        <v>49</v>
      </c>
      <c r="AJ545" s="5" t="s">
        <v>3261</v>
      </c>
      <c r="AK545" s="12"/>
      <c r="AL545" s="12">
        <v>46182.0</v>
      </c>
      <c r="AM545" s="12"/>
      <c r="AN545" s="12"/>
      <c r="AO545" s="12"/>
      <c r="AP545" s="12"/>
      <c r="AQ545" s="12"/>
    </row>
    <row r="546">
      <c r="A546" s="5" t="s">
        <v>3262</v>
      </c>
      <c r="B546" s="5">
        <v>1.1398423E7</v>
      </c>
      <c r="C546" s="5" t="s">
        <v>37</v>
      </c>
      <c r="D546" s="5" t="s">
        <v>3263</v>
      </c>
      <c r="E546" s="5" t="s">
        <v>39</v>
      </c>
      <c r="F546" s="5" t="s">
        <v>1135</v>
      </c>
      <c r="G546" s="15">
        <v>6.28213E17</v>
      </c>
      <c r="H546" s="5" t="s">
        <v>1136</v>
      </c>
      <c r="I546" s="5" t="s">
        <v>42</v>
      </c>
      <c r="J546" s="5" t="s">
        <v>43</v>
      </c>
      <c r="K546" s="5">
        <v>8.7733785699E10</v>
      </c>
      <c r="L546" s="4" t="s">
        <v>44</v>
      </c>
      <c r="M546" s="5" t="s">
        <v>42</v>
      </c>
      <c r="N546" s="4" t="s">
        <v>45</v>
      </c>
      <c r="O546" s="4" t="s">
        <v>46</v>
      </c>
      <c r="P546" s="4" t="s">
        <v>47</v>
      </c>
      <c r="Q546" s="4">
        <v>16451.0</v>
      </c>
      <c r="R546" s="5" t="s">
        <v>3264</v>
      </c>
      <c r="S546" s="8">
        <v>46183.0</v>
      </c>
      <c r="T546" s="9">
        <v>0.375</v>
      </c>
      <c r="U546" s="9">
        <v>0.9166666666666666</v>
      </c>
      <c r="V546" s="4" t="s">
        <v>49</v>
      </c>
      <c r="W546" s="5">
        <v>1.0</v>
      </c>
      <c r="X546" s="5" t="b">
        <v>1</v>
      </c>
      <c r="Y546" s="5" t="s">
        <v>50</v>
      </c>
      <c r="Z546" s="5" t="b">
        <v>0</v>
      </c>
      <c r="AA546" s="10"/>
      <c r="AB546" s="4">
        <v>1.0</v>
      </c>
      <c r="AC546" s="11" t="s">
        <v>3265</v>
      </c>
      <c r="AD546" s="5">
        <v>0.0</v>
      </c>
      <c r="AE546" s="5">
        <v>1.0</v>
      </c>
      <c r="AF546" s="8">
        <v>46183.0</v>
      </c>
      <c r="AG546" s="9">
        <v>0.375</v>
      </c>
      <c r="AH546" s="9">
        <v>0.9166666666666666</v>
      </c>
      <c r="AI546" s="4" t="s">
        <v>49</v>
      </c>
      <c r="AJ546" s="5" t="s">
        <v>3266</v>
      </c>
      <c r="AK546" s="12"/>
      <c r="AL546" s="12">
        <v>46182.0</v>
      </c>
      <c r="AM546" s="12"/>
      <c r="AN546" s="12"/>
      <c r="AO546" s="12"/>
      <c r="AP546" s="12"/>
      <c r="AQ546" s="12"/>
    </row>
    <row r="547">
      <c r="A547" s="5" t="s">
        <v>3267</v>
      </c>
      <c r="B547" s="5">
        <v>1.1398423E7</v>
      </c>
      <c r="C547" s="5" t="s">
        <v>37</v>
      </c>
      <c r="D547" s="5" t="s">
        <v>3268</v>
      </c>
      <c r="E547" s="5" t="s">
        <v>39</v>
      </c>
      <c r="F547" s="5" t="s">
        <v>1967</v>
      </c>
      <c r="G547" s="15">
        <v>8.18790038E8</v>
      </c>
      <c r="H547" s="5" t="s">
        <v>1968</v>
      </c>
      <c r="I547" s="5" t="s">
        <v>42</v>
      </c>
      <c r="J547" s="5" t="s">
        <v>43</v>
      </c>
      <c r="K547" s="5">
        <v>8.7733785699E10</v>
      </c>
      <c r="L547" s="4" t="s">
        <v>44</v>
      </c>
      <c r="M547" s="5" t="s">
        <v>42</v>
      </c>
      <c r="N547" s="4" t="s">
        <v>45</v>
      </c>
      <c r="O547" s="4" t="s">
        <v>46</v>
      </c>
      <c r="P547" s="4" t="s">
        <v>47</v>
      </c>
      <c r="Q547" s="4">
        <v>16451.0</v>
      </c>
      <c r="R547" s="5" t="s">
        <v>3164</v>
      </c>
      <c r="S547" s="8">
        <v>46183.0</v>
      </c>
      <c r="T547" s="9">
        <v>0.375</v>
      </c>
      <c r="U547" s="9">
        <v>0.9166666666666666</v>
      </c>
      <c r="V547" s="4" t="s">
        <v>49</v>
      </c>
      <c r="W547" s="5">
        <v>1.0</v>
      </c>
      <c r="X547" s="5" t="b">
        <v>1</v>
      </c>
      <c r="Y547" s="5" t="s">
        <v>50</v>
      </c>
      <c r="Z547" s="5" t="b">
        <v>0</v>
      </c>
      <c r="AA547" s="10"/>
      <c r="AB547" s="4">
        <v>1.0</v>
      </c>
      <c r="AC547" s="11" t="s">
        <v>3269</v>
      </c>
      <c r="AD547" s="5">
        <v>0.0</v>
      </c>
      <c r="AE547" s="5">
        <v>1.0</v>
      </c>
      <c r="AF547" s="8">
        <v>46183.0</v>
      </c>
      <c r="AG547" s="9">
        <v>0.375</v>
      </c>
      <c r="AH547" s="9">
        <v>0.9166666666666666</v>
      </c>
      <c r="AI547" s="4" t="s">
        <v>49</v>
      </c>
      <c r="AJ547" s="5" t="s">
        <v>3270</v>
      </c>
      <c r="AK547" s="12"/>
      <c r="AL547" s="12">
        <v>46182.0</v>
      </c>
      <c r="AM547" s="12"/>
      <c r="AN547" s="12"/>
      <c r="AO547" s="12"/>
      <c r="AP547" s="12"/>
      <c r="AQ547" s="12"/>
    </row>
    <row r="548">
      <c r="A548" s="5" t="s">
        <v>3271</v>
      </c>
      <c r="B548" s="5">
        <v>1.1398423E7</v>
      </c>
      <c r="C548" s="5" t="s">
        <v>37</v>
      </c>
      <c r="D548" s="5" t="s">
        <v>1667</v>
      </c>
      <c r="E548" s="5" t="s">
        <v>39</v>
      </c>
      <c r="F548" s="5" t="s">
        <v>1694</v>
      </c>
      <c r="G548" s="15">
        <v>8.2389858226E10</v>
      </c>
      <c r="H548" s="5" t="s">
        <v>1695</v>
      </c>
      <c r="I548" s="5" t="s">
        <v>42</v>
      </c>
      <c r="J548" s="5" t="s">
        <v>43</v>
      </c>
      <c r="K548" s="5">
        <v>8.7733785699E10</v>
      </c>
      <c r="L548" s="4" t="s">
        <v>44</v>
      </c>
      <c r="M548" s="5" t="s">
        <v>42</v>
      </c>
      <c r="N548" s="4" t="s">
        <v>45</v>
      </c>
      <c r="O548" s="4" t="s">
        <v>46</v>
      </c>
      <c r="P548" s="4" t="s">
        <v>47</v>
      </c>
      <c r="Q548" s="4">
        <v>16451.0</v>
      </c>
      <c r="R548" s="5" t="s">
        <v>3272</v>
      </c>
      <c r="S548" s="8">
        <v>46183.0</v>
      </c>
      <c r="T548" s="9">
        <v>0.375</v>
      </c>
      <c r="U548" s="9">
        <v>0.9166666666666666</v>
      </c>
      <c r="V548" s="4" t="s">
        <v>49</v>
      </c>
      <c r="W548" s="5">
        <v>1.0</v>
      </c>
      <c r="X548" s="5" t="b">
        <v>1</v>
      </c>
      <c r="Y548" s="5" t="s">
        <v>50</v>
      </c>
      <c r="Z548" s="5" t="b">
        <v>0</v>
      </c>
      <c r="AA548" s="10"/>
      <c r="AB548" s="4">
        <v>1.0</v>
      </c>
      <c r="AC548" s="11" t="s">
        <v>3273</v>
      </c>
      <c r="AD548" s="5">
        <v>0.0</v>
      </c>
      <c r="AE548" s="5">
        <v>1.0</v>
      </c>
      <c r="AF548" s="8">
        <v>46183.0</v>
      </c>
      <c r="AG548" s="9">
        <v>0.375</v>
      </c>
      <c r="AH548" s="9">
        <v>0.9166666666666666</v>
      </c>
      <c r="AI548" s="4" t="s">
        <v>49</v>
      </c>
      <c r="AJ548" s="5" t="s">
        <v>3274</v>
      </c>
      <c r="AK548" s="12"/>
      <c r="AL548" s="12">
        <v>46182.0</v>
      </c>
      <c r="AM548" s="12"/>
      <c r="AN548" s="12"/>
      <c r="AO548" s="12"/>
      <c r="AP548" s="12"/>
      <c r="AQ548" s="12"/>
    </row>
    <row r="549">
      <c r="A549" s="5" t="s">
        <v>3275</v>
      </c>
      <c r="B549" s="5">
        <v>1.1398423E7</v>
      </c>
      <c r="C549" s="5" t="s">
        <v>37</v>
      </c>
      <c r="D549" s="5" t="s">
        <v>3276</v>
      </c>
      <c r="E549" s="5" t="s">
        <v>39</v>
      </c>
      <c r="F549" s="5" t="s">
        <v>3277</v>
      </c>
      <c r="G549" s="15">
        <v>6.28521E17</v>
      </c>
      <c r="H549" s="5" t="s">
        <v>3278</v>
      </c>
      <c r="I549" s="5" t="s">
        <v>42</v>
      </c>
      <c r="J549" s="5" t="s">
        <v>43</v>
      </c>
      <c r="K549" s="5">
        <v>8.7733785699E10</v>
      </c>
      <c r="L549" s="4" t="s">
        <v>44</v>
      </c>
      <c r="M549" s="5" t="s">
        <v>42</v>
      </c>
      <c r="N549" s="4" t="s">
        <v>45</v>
      </c>
      <c r="O549" s="4" t="s">
        <v>46</v>
      </c>
      <c r="P549" s="4" t="s">
        <v>47</v>
      </c>
      <c r="Q549" s="4">
        <v>16451.0</v>
      </c>
      <c r="R549" s="5" t="s">
        <v>3040</v>
      </c>
      <c r="S549" s="8">
        <v>46183.0</v>
      </c>
      <c r="T549" s="9">
        <v>0.375</v>
      </c>
      <c r="U549" s="9">
        <v>0.9166666666666666</v>
      </c>
      <c r="V549" s="4" t="s">
        <v>49</v>
      </c>
      <c r="W549" s="5">
        <v>1.0</v>
      </c>
      <c r="X549" s="5" t="b">
        <v>1</v>
      </c>
      <c r="Y549" s="5" t="s">
        <v>50</v>
      </c>
      <c r="Z549" s="5" t="b">
        <v>0</v>
      </c>
      <c r="AA549" s="10"/>
      <c r="AB549" s="4">
        <v>1.0</v>
      </c>
      <c r="AC549" s="11" t="s">
        <v>3279</v>
      </c>
      <c r="AD549" s="5">
        <v>0.0</v>
      </c>
      <c r="AE549" s="5">
        <v>1.0</v>
      </c>
      <c r="AF549" s="8">
        <v>46183.0</v>
      </c>
      <c r="AG549" s="9">
        <v>0.375</v>
      </c>
      <c r="AH549" s="9">
        <v>0.9166666666666666</v>
      </c>
      <c r="AI549" s="4" t="s">
        <v>49</v>
      </c>
      <c r="AJ549" s="5" t="s">
        <v>3280</v>
      </c>
      <c r="AK549" s="12"/>
      <c r="AL549" s="12">
        <v>46182.0</v>
      </c>
      <c r="AM549" s="12"/>
      <c r="AN549" s="12"/>
      <c r="AO549" s="12"/>
      <c r="AP549" s="12"/>
      <c r="AQ549" s="12"/>
    </row>
    <row r="550">
      <c r="A550" s="5" t="s">
        <v>3281</v>
      </c>
      <c r="B550" s="5">
        <v>1.1398423E7</v>
      </c>
      <c r="C550" s="5" t="s">
        <v>37</v>
      </c>
      <c r="D550" s="5" t="s">
        <v>3282</v>
      </c>
      <c r="E550" s="5" t="s">
        <v>39</v>
      </c>
      <c r="F550" s="5" t="s">
        <v>2912</v>
      </c>
      <c r="G550" s="15">
        <v>6.28159E16</v>
      </c>
      <c r="H550" s="5" t="s">
        <v>2913</v>
      </c>
      <c r="I550" s="5" t="s">
        <v>42</v>
      </c>
      <c r="J550" s="5" t="s">
        <v>43</v>
      </c>
      <c r="K550" s="5">
        <v>8.7733785699E10</v>
      </c>
      <c r="L550" s="4" t="s">
        <v>44</v>
      </c>
      <c r="M550" s="5" t="s">
        <v>42</v>
      </c>
      <c r="N550" s="4" t="s">
        <v>45</v>
      </c>
      <c r="O550" s="4" t="s">
        <v>46</v>
      </c>
      <c r="P550" s="4" t="s">
        <v>47</v>
      </c>
      <c r="Q550" s="4">
        <v>16451.0</v>
      </c>
      <c r="R550" s="5" t="s">
        <v>3283</v>
      </c>
      <c r="S550" s="8">
        <v>46183.0</v>
      </c>
      <c r="T550" s="9">
        <v>0.375</v>
      </c>
      <c r="U550" s="9">
        <v>0.9166666666666666</v>
      </c>
      <c r="V550" s="4" t="s">
        <v>49</v>
      </c>
      <c r="W550" s="5">
        <v>1.0</v>
      </c>
      <c r="X550" s="5" t="b">
        <v>1</v>
      </c>
      <c r="Y550" s="5" t="s">
        <v>50</v>
      </c>
      <c r="Z550" s="5" t="b">
        <v>0</v>
      </c>
      <c r="AA550" s="10"/>
      <c r="AB550" s="4">
        <v>1.0</v>
      </c>
      <c r="AC550" s="11" t="s">
        <v>3284</v>
      </c>
      <c r="AD550" s="5">
        <v>0.0</v>
      </c>
      <c r="AE550" s="5">
        <v>1.0</v>
      </c>
      <c r="AF550" s="8">
        <v>46183.0</v>
      </c>
      <c r="AG550" s="9">
        <v>0.375</v>
      </c>
      <c r="AH550" s="9">
        <v>0.9166666666666666</v>
      </c>
      <c r="AI550" s="4" t="s">
        <v>49</v>
      </c>
      <c r="AJ550" s="5" t="s">
        <v>3285</v>
      </c>
      <c r="AK550" s="12"/>
      <c r="AL550" s="12">
        <v>46182.0</v>
      </c>
      <c r="AM550" s="12"/>
      <c r="AN550" s="12"/>
      <c r="AO550" s="12"/>
      <c r="AP550" s="12"/>
      <c r="AQ550" s="12"/>
    </row>
    <row r="551">
      <c r="A551" s="5" t="s">
        <v>3286</v>
      </c>
      <c r="B551" s="5">
        <v>1.1398423E7</v>
      </c>
      <c r="C551" s="5" t="s">
        <v>37</v>
      </c>
      <c r="D551" s="5" t="s">
        <v>3287</v>
      </c>
      <c r="E551" s="5" t="s">
        <v>39</v>
      </c>
      <c r="F551" s="5" t="s">
        <v>3288</v>
      </c>
      <c r="G551" s="15">
        <v>8.1212689468E10</v>
      </c>
      <c r="H551" s="5" t="s">
        <v>3289</v>
      </c>
      <c r="I551" s="5" t="s">
        <v>42</v>
      </c>
      <c r="J551" s="5" t="s">
        <v>43</v>
      </c>
      <c r="K551" s="5">
        <v>8.7733785699E10</v>
      </c>
      <c r="L551" s="4" t="s">
        <v>44</v>
      </c>
      <c r="M551" s="5" t="s">
        <v>42</v>
      </c>
      <c r="N551" s="4" t="s">
        <v>45</v>
      </c>
      <c r="O551" s="4" t="s">
        <v>46</v>
      </c>
      <c r="P551" s="4" t="s">
        <v>47</v>
      </c>
      <c r="Q551" s="4">
        <v>16451.0</v>
      </c>
      <c r="R551" s="5" t="s">
        <v>3290</v>
      </c>
      <c r="S551" s="8">
        <v>46183.0</v>
      </c>
      <c r="T551" s="9">
        <v>0.375</v>
      </c>
      <c r="U551" s="9">
        <v>0.9166666666666666</v>
      </c>
      <c r="V551" s="4" t="s">
        <v>49</v>
      </c>
      <c r="W551" s="5">
        <v>1.0</v>
      </c>
      <c r="X551" s="5" t="b">
        <v>1</v>
      </c>
      <c r="Y551" s="5" t="s">
        <v>50</v>
      </c>
      <c r="Z551" s="5" t="b">
        <v>0</v>
      </c>
      <c r="AA551" s="10"/>
      <c r="AB551" s="4">
        <v>1.0</v>
      </c>
      <c r="AC551" s="11" t="s">
        <v>3291</v>
      </c>
      <c r="AD551" s="5">
        <v>0.0</v>
      </c>
      <c r="AE551" s="5">
        <v>1.0</v>
      </c>
      <c r="AF551" s="8">
        <v>46183.0</v>
      </c>
      <c r="AG551" s="9">
        <v>0.375</v>
      </c>
      <c r="AH551" s="9">
        <v>0.9166666666666666</v>
      </c>
      <c r="AI551" s="4" t="s">
        <v>49</v>
      </c>
      <c r="AJ551" s="5" t="s">
        <v>3292</v>
      </c>
      <c r="AK551" s="12"/>
      <c r="AL551" s="12">
        <v>46182.0</v>
      </c>
      <c r="AM551" s="12"/>
      <c r="AN551" s="12"/>
      <c r="AO551" s="12"/>
      <c r="AP551" s="12"/>
      <c r="AQ551" s="12"/>
    </row>
    <row r="552">
      <c r="A552" s="5" t="s">
        <v>3293</v>
      </c>
      <c r="B552" s="5">
        <v>1.1398423E7</v>
      </c>
      <c r="C552" s="5" t="s">
        <v>37</v>
      </c>
      <c r="D552" s="5" t="s">
        <v>3294</v>
      </c>
      <c r="E552" s="5" t="s">
        <v>39</v>
      </c>
      <c r="F552" s="5" t="s">
        <v>708</v>
      </c>
      <c r="G552" s="15">
        <v>6.28521E17</v>
      </c>
      <c r="H552" s="5" t="s">
        <v>709</v>
      </c>
      <c r="I552" s="5" t="s">
        <v>42</v>
      </c>
      <c r="J552" s="5" t="s">
        <v>43</v>
      </c>
      <c r="K552" s="5">
        <v>8.7733785699E10</v>
      </c>
      <c r="L552" s="4" t="s">
        <v>44</v>
      </c>
      <c r="M552" s="5" t="s">
        <v>42</v>
      </c>
      <c r="N552" s="4" t="s">
        <v>45</v>
      </c>
      <c r="O552" s="4" t="s">
        <v>46</v>
      </c>
      <c r="P552" s="4" t="s">
        <v>47</v>
      </c>
      <c r="Q552" s="4">
        <v>16451.0</v>
      </c>
      <c r="R552" s="5" t="s">
        <v>3295</v>
      </c>
      <c r="S552" s="8">
        <v>46183.0</v>
      </c>
      <c r="T552" s="9">
        <v>0.375</v>
      </c>
      <c r="U552" s="9">
        <v>0.9166666666666666</v>
      </c>
      <c r="V552" s="4" t="s">
        <v>49</v>
      </c>
      <c r="W552" s="5">
        <v>1.0</v>
      </c>
      <c r="X552" s="5" t="b">
        <v>1</v>
      </c>
      <c r="Y552" s="5" t="s">
        <v>50</v>
      </c>
      <c r="Z552" s="5" t="b">
        <v>0</v>
      </c>
      <c r="AA552" s="10"/>
      <c r="AB552" s="4">
        <v>1.0</v>
      </c>
      <c r="AC552" s="11" t="s">
        <v>3296</v>
      </c>
      <c r="AD552" s="5">
        <v>0.0</v>
      </c>
      <c r="AE552" s="5">
        <v>1.0</v>
      </c>
      <c r="AF552" s="8">
        <v>46183.0</v>
      </c>
      <c r="AG552" s="9">
        <v>0.375</v>
      </c>
      <c r="AH552" s="9">
        <v>0.9166666666666666</v>
      </c>
      <c r="AI552" s="4" t="s">
        <v>49</v>
      </c>
      <c r="AJ552" s="5" t="s">
        <v>3297</v>
      </c>
      <c r="AK552" s="12"/>
      <c r="AL552" s="12">
        <v>46182.0</v>
      </c>
      <c r="AM552" s="12"/>
      <c r="AN552" s="12"/>
      <c r="AO552" s="12"/>
      <c r="AP552" s="12"/>
      <c r="AQ552" s="12"/>
    </row>
    <row r="553">
      <c r="A553" s="5" t="s">
        <v>3298</v>
      </c>
      <c r="B553" s="5">
        <v>1.1398423E7</v>
      </c>
      <c r="C553" s="5" t="s">
        <v>37</v>
      </c>
      <c r="D553" s="5" t="s">
        <v>2194</v>
      </c>
      <c r="E553" s="5" t="s">
        <v>39</v>
      </c>
      <c r="F553" s="5" t="s">
        <v>1708</v>
      </c>
      <c r="G553" s="15">
        <v>6.28578E17</v>
      </c>
      <c r="H553" s="5" t="s">
        <v>1709</v>
      </c>
      <c r="I553" s="5" t="s">
        <v>42</v>
      </c>
      <c r="J553" s="5" t="s">
        <v>43</v>
      </c>
      <c r="K553" s="5">
        <v>8.7733785699E10</v>
      </c>
      <c r="L553" s="4" t="s">
        <v>44</v>
      </c>
      <c r="M553" s="5" t="s">
        <v>42</v>
      </c>
      <c r="N553" s="4" t="s">
        <v>45</v>
      </c>
      <c r="O553" s="4" t="s">
        <v>46</v>
      </c>
      <c r="P553" s="4" t="s">
        <v>47</v>
      </c>
      <c r="Q553" s="4">
        <v>16451.0</v>
      </c>
      <c r="R553" s="5" t="s">
        <v>3299</v>
      </c>
      <c r="S553" s="8">
        <v>46183.0</v>
      </c>
      <c r="T553" s="9">
        <v>0.375</v>
      </c>
      <c r="U553" s="9">
        <v>0.9166666666666666</v>
      </c>
      <c r="V553" s="4" t="s">
        <v>49</v>
      </c>
      <c r="W553" s="5">
        <v>1.0</v>
      </c>
      <c r="X553" s="5" t="b">
        <v>1</v>
      </c>
      <c r="Y553" s="5" t="s">
        <v>50</v>
      </c>
      <c r="Z553" s="5" t="b">
        <v>0</v>
      </c>
      <c r="AA553" s="10"/>
      <c r="AB553" s="4">
        <v>1.0</v>
      </c>
      <c r="AC553" s="11" t="s">
        <v>3300</v>
      </c>
      <c r="AD553" s="5">
        <v>0.0</v>
      </c>
      <c r="AE553" s="5">
        <v>1.0</v>
      </c>
      <c r="AF553" s="8">
        <v>46183.0</v>
      </c>
      <c r="AG553" s="9">
        <v>0.375</v>
      </c>
      <c r="AH553" s="9">
        <v>0.9166666666666666</v>
      </c>
      <c r="AI553" s="4" t="s">
        <v>49</v>
      </c>
      <c r="AJ553" s="5" t="s">
        <v>3301</v>
      </c>
      <c r="AK553" s="12"/>
      <c r="AL553" s="12">
        <v>46182.0</v>
      </c>
      <c r="AM553" s="12"/>
      <c r="AN553" s="12"/>
      <c r="AO553" s="12"/>
      <c r="AP553" s="12"/>
      <c r="AQ553" s="12"/>
    </row>
    <row r="554">
      <c r="A554" s="5" t="s">
        <v>3302</v>
      </c>
      <c r="B554" s="5">
        <v>1.1398423E7</v>
      </c>
      <c r="C554" s="5" t="s">
        <v>37</v>
      </c>
      <c r="D554" s="5" t="s">
        <v>2130</v>
      </c>
      <c r="E554" s="5" t="s">
        <v>39</v>
      </c>
      <c r="F554" s="5" t="s">
        <v>3303</v>
      </c>
      <c r="G554" s="15">
        <v>6.28966E17</v>
      </c>
      <c r="H554" s="5" t="s">
        <v>3304</v>
      </c>
      <c r="I554" s="5" t="s">
        <v>42</v>
      </c>
      <c r="J554" s="5" t="s">
        <v>43</v>
      </c>
      <c r="K554" s="5">
        <v>8.7733785699E10</v>
      </c>
      <c r="L554" s="4" t="s">
        <v>44</v>
      </c>
      <c r="M554" s="5" t="s">
        <v>42</v>
      </c>
      <c r="N554" s="4" t="s">
        <v>45</v>
      </c>
      <c r="O554" s="4" t="s">
        <v>46</v>
      </c>
      <c r="P554" s="4" t="s">
        <v>47</v>
      </c>
      <c r="Q554" s="4">
        <v>16451.0</v>
      </c>
      <c r="R554" s="5" t="s">
        <v>3305</v>
      </c>
      <c r="S554" s="8">
        <v>46183.0</v>
      </c>
      <c r="T554" s="9">
        <v>0.375</v>
      </c>
      <c r="U554" s="9">
        <v>0.9166666666666666</v>
      </c>
      <c r="V554" s="4" t="s">
        <v>49</v>
      </c>
      <c r="W554" s="5">
        <v>1.0</v>
      </c>
      <c r="X554" s="5" t="b">
        <v>1</v>
      </c>
      <c r="Y554" s="5" t="s">
        <v>50</v>
      </c>
      <c r="Z554" s="5" t="b">
        <v>0</v>
      </c>
      <c r="AA554" s="10"/>
      <c r="AB554" s="4">
        <v>1.0</v>
      </c>
      <c r="AC554" s="11" t="s">
        <v>3306</v>
      </c>
      <c r="AD554" s="5">
        <v>0.0</v>
      </c>
      <c r="AE554" s="5">
        <v>1.0</v>
      </c>
      <c r="AF554" s="8">
        <v>46183.0</v>
      </c>
      <c r="AG554" s="9">
        <v>0.375</v>
      </c>
      <c r="AH554" s="9">
        <v>0.9166666666666666</v>
      </c>
      <c r="AI554" s="4" t="s">
        <v>49</v>
      </c>
      <c r="AJ554" s="5" t="s">
        <v>3307</v>
      </c>
      <c r="AK554" s="12"/>
      <c r="AL554" s="12">
        <v>46182.0</v>
      </c>
      <c r="AM554" s="12"/>
      <c r="AN554" s="12"/>
      <c r="AO554" s="12"/>
      <c r="AP554" s="12"/>
      <c r="AQ554" s="12"/>
    </row>
    <row r="555">
      <c r="A555" s="5" t="s">
        <v>3308</v>
      </c>
      <c r="B555" s="5">
        <v>1.1398423E7</v>
      </c>
      <c r="C555" s="5" t="s">
        <v>37</v>
      </c>
      <c r="D555" s="5" t="s">
        <v>3309</v>
      </c>
      <c r="E555" s="5" t="s">
        <v>39</v>
      </c>
      <c r="F555" s="5" t="s">
        <v>3310</v>
      </c>
      <c r="G555" s="15">
        <v>8.1291075997E10</v>
      </c>
      <c r="H555" s="5" t="s">
        <v>3311</v>
      </c>
      <c r="I555" s="5" t="s">
        <v>42</v>
      </c>
      <c r="J555" s="5" t="s">
        <v>43</v>
      </c>
      <c r="K555" s="5">
        <v>8.7733785699E10</v>
      </c>
      <c r="L555" s="4" t="s">
        <v>44</v>
      </c>
      <c r="M555" s="5" t="s">
        <v>42</v>
      </c>
      <c r="N555" s="4" t="s">
        <v>45</v>
      </c>
      <c r="O555" s="4" t="s">
        <v>46</v>
      </c>
      <c r="P555" s="4" t="s">
        <v>47</v>
      </c>
      <c r="Q555" s="4">
        <v>16451.0</v>
      </c>
      <c r="R555" s="5" t="s">
        <v>3312</v>
      </c>
      <c r="S555" s="8">
        <v>46183.0</v>
      </c>
      <c r="T555" s="9">
        <v>0.375</v>
      </c>
      <c r="U555" s="9">
        <v>0.9166666666666666</v>
      </c>
      <c r="V555" s="4" t="s">
        <v>49</v>
      </c>
      <c r="W555" s="5">
        <v>1.0</v>
      </c>
      <c r="X555" s="5" t="b">
        <v>1</v>
      </c>
      <c r="Y555" s="5" t="s">
        <v>50</v>
      </c>
      <c r="Z555" s="5" t="b">
        <v>0</v>
      </c>
      <c r="AA555" s="10"/>
      <c r="AB555" s="4">
        <v>1.0</v>
      </c>
      <c r="AC555" s="11" t="s">
        <v>3313</v>
      </c>
      <c r="AD555" s="5">
        <v>0.0</v>
      </c>
      <c r="AE555" s="5">
        <v>1.0</v>
      </c>
      <c r="AF555" s="8">
        <v>46183.0</v>
      </c>
      <c r="AG555" s="9">
        <v>0.375</v>
      </c>
      <c r="AH555" s="9">
        <v>0.9166666666666666</v>
      </c>
      <c r="AI555" s="4" t="s">
        <v>49</v>
      </c>
      <c r="AJ555" s="5" t="s">
        <v>3314</v>
      </c>
      <c r="AK555" s="12"/>
      <c r="AL555" s="12">
        <v>46182.0</v>
      </c>
      <c r="AM555" s="12"/>
      <c r="AN555" s="12"/>
      <c r="AO555" s="12"/>
      <c r="AP555" s="12"/>
      <c r="AQ555" s="12"/>
    </row>
    <row r="556">
      <c r="A556" s="5" t="s">
        <v>3315</v>
      </c>
      <c r="B556" s="5">
        <v>1.1398423E7</v>
      </c>
      <c r="C556" s="5" t="s">
        <v>37</v>
      </c>
      <c r="D556" s="5" t="s">
        <v>1653</v>
      </c>
      <c r="E556" s="5" t="s">
        <v>39</v>
      </c>
      <c r="F556" s="5" t="s">
        <v>1715</v>
      </c>
      <c r="G556" s="15">
        <v>6.2813E16</v>
      </c>
      <c r="H556" s="5" t="s">
        <v>1716</v>
      </c>
      <c r="I556" s="5" t="s">
        <v>42</v>
      </c>
      <c r="J556" s="5" t="s">
        <v>43</v>
      </c>
      <c r="K556" s="5">
        <v>8.7733785699E10</v>
      </c>
      <c r="L556" s="4" t="s">
        <v>44</v>
      </c>
      <c r="M556" s="5" t="s">
        <v>42</v>
      </c>
      <c r="N556" s="4" t="s">
        <v>45</v>
      </c>
      <c r="O556" s="4" t="s">
        <v>46</v>
      </c>
      <c r="P556" s="4" t="s">
        <v>47</v>
      </c>
      <c r="Q556" s="4">
        <v>16451.0</v>
      </c>
      <c r="R556" s="5" t="s">
        <v>3316</v>
      </c>
      <c r="S556" s="8">
        <v>46183.0</v>
      </c>
      <c r="T556" s="9">
        <v>0.375</v>
      </c>
      <c r="U556" s="9">
        <v>0.9166666666666666</v>
      </c>
      <c r="V556" s="4" t="s">
        <v>49</v>
      </c>
      <c r="W556" s="5">
        <v>1.0</v>
      </c>
      <c r="X556" s="5" t="b">
        <v>1</v>
      </c>
      <c r="Y556" s="5" t="s">
        <v>50</v>
      </c>
      <c r="Z556" s="5" t="b">
        <v>0</v>
      </c>
      <c r="AA556" s="10"/>
      <c r="AB556" s="4">
        <v>1.0</v>
      </c>
      <c r="AC556" s="11" t="s">
        <v>3317</v>
      </c>
      <c r="AD556" s="5">
        <v>0.0</v>
      </c>
      <c r="AE556" s="5">
        <v>1.0</v>
      </c>
      <c r="AF556" s="8">
        <v>46183.0</v>
      </c>
      <c r="AG556" s="9">
        <v>0.375</v>
      </c>
      <c r="AH556" s="9">
        <v>0.9166666666666666</v>
      </c>
      <c r="AI556" s="4" t="s">
        <v>49</v>
      </c>
      <c r="AJ556" s="5" t="s">
        <v>3318</v>
      </c>
      <c r="AK556" s="12"/>
      <c r="AL556" s="12">
        <v>46182.0</v>
      </c>
      <c r="AM556" s="12"/>
      <c r="AN556" s="12"/>
      <c r="AO556" s="12"/>
      <c r="AP556" s="12"/>
      <c r="AQ556" s="12"/>
    </row>
    <row r="557">
      <c r="A557" s="5" t="s">
        <v>3319</v>
      </c>
      <c r="B557" s="5">
        <v>1.1398423E7</v>
      </c>
      <c r="C557" s="5" t="s">
        <v>37</v>
      </c>
      <c r="D557" s="5" t="s">
        <v>3320</v>
      </c>
      <c r="E557" s="5" t="s">
        <v>39</v>
      </c>
      <c r="F557" s="5" t="s">
        <v>161</v>
      </c>
      <c r="G557" s="15">
        <v>6.28138E17</v>
      </c>
      <c r="H557" s="5" t="s">
        <v>162</v>
      </c>
      <c r="I557" s="5" t="s">
        <v>42</v>
      </c>
      <c r="J557" s="5" t="s">
        <v>43</v>
      </c>
      <c r="K557" s="5">
        <v>8.7733785699E10</v>
      </c>
      <c r="L557" s="4" t="s">
        <v>44</v>
      </c>
      <c r="M557" s="5" t="s">
        <v>42</v>
      </c>
      <c r="N557" s="4" t="s">
        <v>45</v>
      </c>
      <c r="O557" s="4" t="s">
        <v>46</v>
      </c>
      <c r="P557" s="4" t="s">
        <v>47</v>
      </c>
      <c r="Q557" s="4">
        <v>16451.0</v>
      </c>
      <c r="R557" s="5" t="s">
        <v>3321</v>
      </c>
      <c r="S557" s="8">
        <v>46183.0</v>
      </c>
      <c r="T557" s="9">
        <v>0.375</v>
      </c>
      <c r="U557" s="9">
        <v>0.9166666666666666</v>
      </c>
      <c r="V557" s="4" t="s">
        <v>49</v>
      </c>
      <c r="W557" s="5">
        <v>1.0</v>
      </c>
      <c r="X557" s="5" t="b">
        <v>1</v>
      </c>
      <c r="Y557" s="5" t="s">
        <v>50</v>
      </c>
      <c r="Z557" s="5" t="b">
        <v>0</v>
      </c>
      <c r="AA557" s="10"/>
      <c r="AB557" s="4">
        <v>1.0</v>
      </c>
      <c r="AC557" s="11" t="s">
        <v>3322</v>
      </c>
      <c r="AD557" s="5">
        <v>0.0</v>
      </c>
      <c r="AE557" s="5">
        <v>1.0</v>
      </c>
      <c r="AF557" s="8">
        <v>46183.0</v>
      </c>
      <c r="AG557" s="9">
        <v>0.375</v>
      </c>
      <c r="AH557" s="9">
        <v>0.9166666666666666</v>
      </c>
      <c r="AI557" s="4" t="s">
        <v>49</v>
      </c>
      <c r="AJ557" s="5" t="s">
        <v>3323</v>
      </c>
      <c r="AK557" s="12"/>
      <c r="AL557" s="12">
        <v>46182.0</v>
      </c>
      <c r="AM557" s="12"/>
      <c r="AN557" s="12"/>
      <c r="AO557" s="12"/>
      <c r="AP557" s="12"/>
      <c r="AQ557" s="12"/>
    </row>
    <row r="558">
      <c r="A558" s="5" t="s">
        <v>3324</v>
      </c>
      <c r="B558" s="5">
        <v>1.1398423E7</v>
      </c>
      <c r="C558" s="5" t="s">
        <v>37</v>
      </c>
      <c r="D558" s="5" t="s">
        <v>3325</v>
      </c>
      <c r="E558" s="5" t="s">
        <v>39</v>
      </c>
      <c r="F558" s="5" t="s">
        <v>3326</v>
      </c>
      <c r="G558" s="15">
        <v>8.7880007042E10</v>
      </c>
      <c r="H558" s="5" t="s">
        <v>3327</v>
      </c>
      <c r="I558" s="5" t="s">
        <v>42</v>
      </c>
      <c r="J558" s="5" t="s">
        <v>43</v>
      </c>
      <c r="K558" s="5">
        <v>8.7733785699E10</v>
      </c>
      <c r="L558" s="4" t="s">
        <v>44</v>
      </c>
      <c r="M558" s="5" t="s">
        <v>42</v>
      </c>
      <c r="N558" s="4" t="s">
        <v>45</v>
      </c>
      <c r="O558" s="4" t="s">
        <v>46</v>
      </c>
      <c r="P558" s="4" t="s">
        <v>47</v>
      </c>
      <c r="Q558" s="4">
        <v>16451.0</v>
      </c>
      <c r="R558" s="5" t="s">
        <v>3328</v>
      </c>
      <c r="S558" s="8">
        <v>46183.0</v>
      </c>
      <c r="T558" s="9">
        <v>0.375</v>
      </c>
      <c r="U558" s="9">
        <v>0.9166666666666666</v>
      </c>
      <c r="V558" s="4" t="s">
        <v>49</v>
      </c>
      <c r="W558" s="5">
        <v>1.0</v>
      </c>
      <c r="X558" s="5" t="b">
        <v>1</v>
      </c>
      <c r="Y558" s="5" t="s">
        <v>50</v>
      </c>
      <c r="Z558" s="5" t="b">
        <v>0</v>
      </c>
      <c r="AA558" s="10"/>
      <c r="AB558" s="4">
        <v>1.0</v>
      </c>
      <c r="AC558" s="11" t="s">
        <v>3329</v>
      </c>
      <c r="AD558" s="5">
        <v>0.0</v>
      </c>
      <c r="AE558" s="5">
        <v>1.0</v>
      </c>
      <c r="AF558" s="8">
        <v>46183.0</v>
      </c>
      <c r="AG558" s="9">
        <v>0.375</v>
      </c>
      <c r="AH558" s="9">
        <v>0.9166666666666666</v>
      </c>
      <c r="AI558" s="4" t="s">
        <v>49</v>
      </c>
      <c r="AJ558" s="5" t="s">
        <v>3330</v>
      </c>
      <c r="AK558" s="12"/>
      <c r="AL558" s="12">
        <v>46182.0</v>
      </c>
      <c r="AM558" s="12"/>
      <c r="AN558" s="12"/>
      <c r="AO558" s="12"/>
      <c r="AP558" s="12"/>
      <c r="AQ558" s="12"/>
    </row>
    <row r="559">
      <c r="A559" s="5" t="s">
        <v>3331</v>
      </c>
      <c r="B559" s="5">
        <v>1.1398423E7</v>
      </c>
      <c r="C559" s="5" t="s">
        <v>37</v>
      </c>
      <c r="D559" s="5" t="s">
        <v>1992</v>
      </c>
      <c r="E559" s="5" t="s">
        <v>39</v>
      </c>
      <c r="F559" s="5" t="s">
        <v>370</v>
      </c>
      <c r="G559" s="15">
        <v>2.177833109E9</v>
      </c>
      <c r="H559" s="5" t="s">
        <v>371</v>
      </c>
      <c r="I559" s="5" t="s">
        <v>42</v>
      </c>
      <c r="J559" s="5" t="s">
        <v>43</v>
      </c>
      <c r="K559" s="5">
        <v>8.7733785699E10</v>
      </c>
      <c r="L559" s="4" t="s">
        <v>44</v>
      </c>
      <c r="M559" s="5" t="s">
        <v>42</v>
      </c>
      <c r="N559" s="4" t="s">
        <v>45</v>
      </c>
      <c r="O559" s="4" t="s">
        <v>46</v>
      </c>
      <c r="P559" s="4" t="s">
        <v>47</v>
      </c>
      <c r="Q559" s="4">
        <v>16451.0</v>
      </c>
      <c r="R559" s="5" t="s">
        <v>3332</v>
      </c>
      <c r="S559" s="8">
        <v>46183.0</v>
      </c>
      <c r="T559" s="9">
        <v>0.375</v>
      </c>
      <c r="U559" s="9">
        <v>0.9166666666666666</v>
      </c>
      <c r="V559" s="4" t="s">
        <v>49</v>
      </c>
      <c r="W559" s="5">
        <v>1.0</v>
      </c>
      <c r="X559" s="5" t="b">
        <v>1</v>
      </c>
      <c r="Y559" s="5" t="s">
        <v>50</v>
      </c>
      <c r="Z559" s="5" t="b">
        <v>0</v>
      </c>
      <c r="AA559" s="10"/>
      <c r="AB559" s="4">
        <v>1.0</v>
      </c>
      <c r="AC559" s="11" t="s">
        <v>3333</v>
      </c>
      <c r="AD559" s="5">
        <v>0.0</v>
      </c>
      <c r="AE559" s="5">
        <v>1.0</v>
      </c>
      <c r="AF559" s="8">
        <v>46183.0</v>
      </c>
      <c r="AG559" s="9">
        <v>0.375</v>
      </c>
      <c r="AH559" s="9">
        <v>0.9166666666666666</v>
      </c>
      <c r="AI559" s="4" t="s">
        <v>49</v>
      </c>
      <c r="AJ559" s="5" t="s">
        <v>3334</v>
      </c>
      <c r="AK559" s="12"/>
      <c r="AL559" s="12">
        <v>46182.0</v>
      </c>
      <c r="AM559" s="12"/>
      <c r="AN559" s="12"/>
      <c r="AO559" s="12"/>
      <c r="AP559" s="12"/>
      <c r="AQ559" s="12"/>
    </row>
    <row r="560">
      <c r="A560" s="5" t="s">
        <v>3335</v>
      </c>
      <c r="B560" s="5">
        <v>1.1398423E7</v>
      </c>
      <c r="C560" s="5" t="s">
        <v>37</v>
      </c>
      <c r="D560" s="5" t="s">
        <v>1987</v>
      </c>
      <c r="E560" s="5" t="s">
        <v>39</v>
      </c>
      <c r="F560" s="5" t="s">
        <v>370</v>
      </c>
      <c r="G560" s="15">
        <v>2.177833109E9</v>
      </c>
      <c r="H560" s="5" t="s">
        <v>371</v>
      </c>
      <c r="I560" s="5" t="s">
        <v>42</v>
      </c>
      <c r="J560" s="5" t="s">
        <v>43</v>
      </c>
      <c r="K560" s="5">
        <v>8.7733785699E10</v>
      </c>
      <c r="L560" s="4" t="s">
        <v>44</v>
      </c>
      <c r="M560" s="5" t="s">
        <v>42</v>
      </c>
      <c r="N560" s="4" t="s">
        <v>45</v>
      </c>
      <c r="O560" s="4" t="s">
        <v>46</v>
      </c>
      <c r="P560" s="4" t="s">
        <v>47</v>
      </c>
      <c r="Q560" s="4">
        <v>16451.0</v>
      </c>
      <c r="R560" s="5" t="s">
        <v>3336</v>
      </c>
      <c r="S560" s="8">
        <v>46183.0</v>
      </c>
      <c r="T560" s="9">
        <v>0.375</v>
      </c>
      <c r="U560" s="9">
        <v>0.9166666666666666</v>
      </c>
      <c r="V560" s="4" t="s">
        <v>49</v>
      </c>
      <c r="W560" s="5">
        <v>1.0</v>
      </c>
      <c r="X560" s="5" t="b">
        <v>1</v>
      </c>
      <c r="Y560" s="5" t="s">
        <v>50</v>
      </c>
      <c r="Z560" s="5" t="b">
        <v>0</v>
      </c>
      <c r="AA560" s="10"/>
      <c r="AB560" s="4">
        <v>1.0</v>
      </c>
      <c r="AC560" s="11" t="s">
        <v>3337</v>
      </c>
      <c r="AD560" s="5">
        <v>0.0</v>
      </c>
      <c r="AE560" s="5">
        <v>1.0</v>
      </c>
      <c r="AF560" s="8">
        <v>46183.0</v>
      </c>
      <c r="AG560" s="9">
        <v>0.375</v>
      </c>
      <c r="AH560" s="9">
        <v>0.9166666666666666</v>
      </c>
      <c r="AI560" s="4" t="s">
        <v>49</v>
      </c>
      <c r="AJ560" s="5" t="s">
        <v>3338</v>
      </c>
      <c r="AK560" s="12"/>
      <c r="AL560" s="12">
        <v>46182.0</v>
      </c>
      <c r="AM560" s="12"/>
      <c r="AN560" s="12"/>
      <c r="AO560" s="12"/>
      <c r="AP560" s="12"/>
      <c r="AQ560" s="12"/>
    </row>
    <row r="561">
      <c r="A561" s="5" t="s">
        <v>3339</v>
      </c>
      <c r="B561" s="5">
        <v>1.1398423E7</v>
      </c>
      <c r="C561" s="5" t="s">
        <v>37</v>
      </c>
      <c r="D561" s="5" t="s">
        <v>2562</v>
      </c>
      <c r="E561" s="5" t="s">
        <v>39</v>
      </c>
      <c r="F561" s="5" t="s">
        <v>370</v>
      </c>
      <c r="G561" s="15">
        <v>2.177833109E9</v>
      </c>
      <c r="H561" s="5" t="s">
        <v>371</v>
      </c>
      <c r="I561" s="5" t="s">
        <v>42</v>
      </c>
      <c r="J561" s="5" t="s">
        <v>43</v>
      </c>
      <c r="K561" s="5">
        <v>8.7733785699E10</v>
      </c>
      <c r="L561" s="4" t="s">
        <v>44</v>
      </c>
      <c r="M561" s="5" t="s">
        <v>42</v>
      </c>
      <c r="N561" s="4" t="s">
        <v>45</v>
      </c>
      <c r="O561" s="4" t="s">
        <v>46</v>
      </c>
      <c r="P561" s="4" t="s">
        <v>47</v>
      </c>
      <c r="Q561" s="4">
        <v>16451.0</v>
      </c>
      <c r="R561" s="5" t="s">
        <v>3340</v>
      </c>
      <c r="S561" s="8">
        <v>46183.0</v>
      </c>
      <c r="T561" s="9">
        <v>0.375</v>
      </c>
      <c r="U561" s="9">
        <v>0.9166666666666666</v>
      </c>
      <c r="V561" s="4" t="s">
        <v>49</v>
      </c>
      <c r="W561" s="5">
        <v>1.0</v>
      </c>
      <c r="X561" s="5" t="b">
        <v>1</v>
      </c>
      <c r="Y561" s="5" t="s">
        <v>50</v>
      </c>
      <c r="Z561" s="5" t="b">
        <v>0</v>
      </c>
      <c r="AA561" s="10"/>
      <c r="AB561" s="4">
        <v>1.0</v>
      </c>
      <c r="AC561" s="11" t="s">
        <v>3341</v>
      </c>
      <c r="AD561" s="5">
        <v>0.0</v>
      </c>
      <c r="AE561" s="5">
        <v>1.0</v>
      </c>
      <c r="AF561" s="8">
        <v>46183.0</v>
      </c>
      <c r="AG561" s="9">
        <v>0.375</v>
      </c>
      <c r="AH561" s="9">
        <v>0.9166666666666666</v>
      </c>
      <c r="AI561" s="4" t="s">
        <v>49</v>
      </c>
      <c r="AJ561" s="5" t="s">
        <v>3342</v>
      </c>
      <c r="AK561" s="12"/>
      <c r="AL561" s="12">
        <v>46182.0</v>
      </c>
      <c r="AM561" s="12"/>
      <c r="AN561" s="12"/>
      <c r="AO561" s="12"/>
      <c r="AP561" s="12"/>
      <c r="AQ561" s="12"/>
    </row>
    <row r="562">
      <c r="A562" s="5" t="s">
        <v>3077</v>
      </c>
      <c r="B562" s="5">
        <v>1.1398423E7</v>
      </c>
      <c r="C562" s="5" t="s">
        <v>37</v>
      </c>
      <c r="D562" s="5" t="s">
        <v>3077</v>
      </c>
      <c r="E562" s="5" t="s">
        <v>39</v>
      </c>
      <c r="F562" s="5" t="s">
        <v>3343</v>
      </c>
      <c r="G562" s="15">
        <v>6.28126E17</v>
      </c>
      <c r="H562" s="5" t="s">
        <v>3344</v>
      </c>
      <c r="I562" s="5" t="s">
        <v>42</v>
      </c>
      <c r="J562" s="5" t="s">
        <v>43</v>
      </c>
      <c r="K562" s="5">
        <v>8.7733785699E10</v>
      </c>
      <c r="L562" s="4" t="s">
        <v>44</v>
      </c>
      <c r="M562" s="5" t="s">
        <v>42</v>
      </c>
      <c r="N562" s="4" t="s">
        <v>45</v>
      </c>
      <c r="O562" s="4" t="s">
        <v>46</v>
      </c>
      <c r="P562" s="4" t="s">
        <v>47</v>
      </c>
      <c r="Q562" s="4">
        <v>16451.0</v>
      </c>
      <c r="R562" s="5" t="s">
        <v>3345</v>
      </c>
      <c r="S562" s="8">
        <v>46183.0</v>
      </c>
      <c r="T562" s="9">
        <v>0.375</v>
      </c>
      <c r="U562" s="9">
        <v>0.9166666666666666</v>
      </c>
      <c r="V562" s="4" t="s">
        <v>49</v>
      </c>
      <c r="W562" s="5">
        <v>1.0</v>
      </c>
      <c r="X562" s="5" t="b">
        <v>1</v>
      </c>
      <c r="Y562" s="5" t="s">
        <v>50</v>
      </c>
      <c r="Z562" s="5" t="b">
        <v>0</v>
      </c>
      <c r="AA562" s="10"/>
      <c r="AB562" s="4">
        <v>1.0</v>
      </c>
      <c r="AC562" s="11" t="s">
        <v>3346</v>
      </c>
      <c r="AD562" s="5">
        <v>0.0</v>
      </c>
      <c r="AE562" s="5">
        <v>1.0</v>
      </c>
      <c r="AF562" s="8">
        <v>46183.0</v>
      </c>
      <c r="AG562" s="9">
        <v>0.375</v>
      </c>
      <c r="AH562" s="9">
        <v>0.9166666666666666</v>
      </c>
      <c r="AI562" s="4" t="s">
        <v>49</v>
      </c>
      <c r="AJ562" s="5" t="s">
        <v>3347</v>
      </c>
      <c r="AK562" s="12"/>
      <c r="AL562" s="12">
        <v>46182.0</v>
      </c>
      <c r="AM562" s="12"/>
      <c r="AN562" s="12"/>
      <c r="AO562" s="12"/>
      <c r="AP562" s="12"/>
      <c r="AQ562" s="12"/>
    </row>
    <row r="563">
      <c r="A563" s="5" t="s">
        <v>3348</v>
      </c>
      <c r="B563" s="5">
        <v>1.1398423E7</v>
      </c>
      <c r="C563" s="5" t="s">
        <v>37</v>
      </c>
      <c r="D563" s="5" t="s">
        <v>3349</v>
      </c>
      <c r="E563" s="5" t="s">
        <v>39</v>
      </c>
      <c r="F563" s="5" t="s">
        <v>3350</v>
      </c>
      <c r="G563" s="15">
        <v>6.28131E17</v>
      </c>
      <c r="H563" s="5" t="s">
        <v>3351</v>
      </c>
      <c r="I563" s="5" t="s">
        <v>42</v>
      </c>
      <c r="J563" s="5" t="s">
        <v>43</v>
      </c>
      <c r="K563" s="5">
        <v>8.7733785699E10</v>
      </c>
      <c r="L563" s="4" t="s">
        <v>44</v>
      </c>
      <c r="M563" s="5" t="s">
        <v>42</v>
      </c>
      <c r="N563" s="4" t="s">
        <v>45</v>
      </c>
      <c r="O563" s="4" t="s">
        <v>46</v>
      </c>
      <c r="P563" s="4" t="s">
        <v>47</v>
      </c>
      <c r="Q563" s="4">
        <v>16451.0</v>
      </c>
      <c r="R563" s="5" t="s">
        <v>3352</v>
      </c>
      <c r="S563" s="8">
        <v>46183.0</v>
      </c>
      <c r="T563" s="9">
        <v>0.375</v>
      </c>
      <c r="U563" s="9">
        <v>0.9166666666666666</v>
      </c>
      <c r="V563" s="4" t="s">
        <v>49</v>
      </c>
      <c r="W563" s="5">
        <v>1.0</v>
      </c>
      <c r="X563" s="5" t="b">
        <v>1</v>
      </c>
      <c r="Y563" s="5" t="s">
        <v>50</v>
      </c>
      <c r="Z563" s="5" t="b">
        <v>0</v>
      </c>
      <c r="AA563" s="10"/>
      <c r="AB563" s="4">
        <v>1.0</v>
      </c>
      <c r="AC563" s="11" t="s">
        <v>3353</v>
      </c>
      <c r="AD563" s="5">
        <v>0.0</v>
      </c>
      <c r="AE563" s="5">
        <v>1.0</v>
      </c>
      <c r="AF563" s="8">
        <v>46183.0</v>
      </c>
      <c r="AG563" s="9">
        <v>0.375</v>
      </c>
      <c r="AH563" s="9">
        <v>0.9166666666666666</v>
      </c>
      <c r="AI563" s="4" t="s">
        <v>49</v>
      </c>
      <c r="AJ563" s="5" t="s">
        <v>3354</v>
      </c>
      <c r="AK563" s="12"/>
      <c r="AL563" s="12">
        <v>46182.0</v>
      </c>
      <c r="AM563" s="12"/>
      <c r="AN563" s="12"/>
      <c r="AO563" s="12"/>
      <c r="AP563" s="12"/>
      <c r="AQ563" s="12"/>
    </row>
    <row r="564">
      <c r="A564" s="5" t="s">
        <v>3355</v>
      </c>
      <c r="B564" s="5">
        <v>1.1398423E7</v>
      </c>
      <c r="C564" s="5" t="s">
        <v>37</v>
      </c>
      <c r="D564" s="5" t="s">
        <v>1999</v>
      </c>
      <c r="E564" s="5" t="s">
        <v>39</v>
      </c>
      <c r="F564" s="5" t="s">
        <v>3356</v>
      </c>
      <c r="G564" s="15">
        <v>6.282E15</v>
      </c>
      <c r="H564" s="5" t="s">
        <v>3357</v>
      </c>
      <c r="I564" s="5" t="s">
        <v>42</v>
      </c>
      <c r="J564" s="5" t="s">
        <v>43</v>
      </c>
      <c r="K564" s="5">
        <v>8.7733785699E10</v>
      </c>
      <c r="L564" s="4" t="s">
        <v>44</v>
      </c>
      <c r="M564" s="5" t="s">
        <v>42</v>
      </c>
      <c r="N564" s="4" t="s">
        <v>45</v>
      </c>
      <c r="O564" s="4" t="s">
        <v>46</v>
      </c>
      <c r="P564" s="4" t="s">
        <v>47</v>
      </c>
      <c r="Q564" s="4">
        <v>16451.0</v>
      </c>
      <c r="R564" s="5" t="s">
        <v>3358</v>
      </c>
      <c r="S564" s="8">
        <v>46183.0</v>
      </c>
      <c r="T564" s="9">
        <v>0.375</v>
      </c>
      <c r="U564" s="9">
        <v>0.9166666666666666</v>
      </c>
      <c r="V564" s="4" t="s">
        <v>49</v>
      </c>
      <c r="W564" s="5">
        <v>1.0</v>
      </c>
      <c r="X564" s="5" t="b">
        <v>1</v>
      </c>
      <c r="Y564" s="5" t="s">
        <v>50</v>
      </c>
      <c r="Z564" s="5" t="b">
        <v>0</v>
      </c>
      <c r="AA564" s="10"/>
      <c r="AB564" s="4">
        <v>1.0</v>
      </c>
      <c r="AC564" s="11" t="s">
        <v>3359</v>
      </c>
      <c r="AD564" s="5">
        <v>0.0</v>
      </c>
      <c r="AE564" s="5">
        <v>1.0</v>
      </c>
      <c r="AF564" s="8">
        <v>46183.0</v>
      </c>
      <c r="AG564" s="9">
        <v>0.375</v>
      </c>
      <c r="AH564" s="9">
        <v>0.9166666666666666</v>
      </c>
      <c r="AI564" s="4" t="s">
        <v>49</v>
      </c>
      <c r="AJ564" s="5" t="s">
        <v>3360</v>
      </c>
      <c r="AK564" s="12"/>
      <c r="AL564" s="12">
        <v>46182.0</v>
      </c>
      <c r="AM564" s="12"/>
      <c r="AN564" s="12"/>
      <c r="AO564" s="12"/>
      <c r="AP564" s="12"/>
      <c r="AQ564" s="12"/>
    </row>
    <row r="565">
      <c r="A565" s="5" t="s">
        <v>3361</v>
      </c>
      <c r="B565" s="5">
        <v>1.1398423E7</v>
      </c>
      <c r="C565" s="5" t="s">
        <v>37</v>
      </c>
      <c r="D565" s="5" t="s">
        <v>3362</v>
      </c>
      <c r="E565" s="5" t="s">
        <v>39</v>
      </c>
      <c r="F565" s="5" t="s">
        <v>480</v>
      </c>
      <c r="G565" s="15">
        <v>8.17764E8</v>
      </c>
      <c r="H565" s="5" t="s">
        <v>481</v>
      </c>
      <c r="I565" s="5" t="s">
        <v>42</v>
      </c>
      <c r="J565" s="5" t="s">
        <v>43</v>
      </c>
      <c r="K565" s="5">
        <v>8.7733785699E10</v>
      </c>
      <c r="L565" s="4" t="s">
        <v>44</v>
      </c>
      <c r="M565" s="5" t="s">
        <v>42</v>
      </c>
      <c r="N565" s="4" t="s">
        <v>45</v>
      </c>
      <c r="O565" s="4" t="s">
        <v>46</v>
      </c>
      <c r="P565" s="4" t="s">
        <v>47</v>
      </c>
      <c r="Q565" s="4">
        <v>16451.0</v>
      </c>
      <c r="R565" s="5" t="s">
        <v>3363</v>
      </c>
      <c r="S565" s="8">
        <v>46183.0</v>
      </c>
      <c r="T565" s="9">
        <v>0.375</v>
      </c>
      <c r="U565" s="9">
        <v>0.9166666666666666</v>
      </c>
      <c r="V565" s="4" t="s">
        <v>49</v>
      </c>
      <c r="W565" s="5">
        <v>1.0</v>
      </c>
      <c r="X565" s="5" t="b">
        <v>1</v>
      </c>
      <c r="Y565" s="5" t="s">
        <v>50</v>
      </c>
      <c r="Z565" s="5" t="b">
        <v>0</v>
      </c>
      <c r="AA565" s="10"/>
      <c r="AB565" s="4">
        <v>1.0</v>
      </c>
      <c r="AC565" s="11" t="s">
        <v>3364</v>
      </c>
      <c r="AD565" s="5">
        <v>0.0</v>
      </c>
      <c r="AE565" s="5">
        <v>1.0</v>
      </c>
      <c r="AF565" s="8">
        <v>46183.0</v>
      </c>
      <c r="AG565" s="9">
        <v>0.375</v>
      </c>
      <c r="AH565" s="9">
        <v>0.9166666666666666</v>
      </c>
      <c r="AI565" s="4" t="s">
        <v>49</v>
      </c>
      <c r="AJ565" s="5" t="s">
        <v>3365</v>
      </c>
      <c r="AK565" s="12"/>
      <c r="AL565" s="12">
        <v>46182.0</v>
      </c>
      <c r="AM565" s="12"/>
      <c r="AN565" s="12"/>
      <c r="AO565" s="12"/>
      <c r="AP565" s="12"/>
      <c r="AQ565" s="12"/>
    </row>
    <row r="566">
      <c r="A566" s="5" t="s">
        <v>3082</v>
      </c>
      <c r="B566" s="5">
        <v>1.1398423E7</v>
      </c>
      <c r="C566" s="5" t="s">
        <v>37</v>
      </c>
      <c r="D566" s="5" t="s">
        <v>3082</v>
      </c>
      <c r="E566" s="5" t="s">
        <v>39</v>
      </c>
      <c r="F566" s="5" t="s">
        <v>2110</v>
      </c>
      <c r="G566" s="15">
        <v>6.2851E16</v>
      </c>
      <c r="H566" s="5" t="s">
        <v>2111</v>
      </c>
      <c r="I566" s="5" t="s">
        <v>42</v>
      </c>
      <c r="J566" s="5" t="s">
        <v>43</v>
      </c>
      <c r="K566" s="5">
        <v>8.7733785699E10</v>
      </c>
      <c r="L566" s="4" t="s">
        <v>44</v>
      </c>
      <c r="M566" s="5" t="s">
        <v>42</v>
      </c>
      <c r="N566" s="4" t="s">
        <v>45</v>
      </c>
      <c r="O566" s="4" t="s">
        <v>46</v>
      </c>
      <c r="P566" s="4" t="s">
        <v>47</v>
      </c>
      <c r="Q566" s="4">
        <v>16451.0</v>
      </c>
      <c r="R566" s="5" t="s">
        <v>3366</v>
      </c>
      <c r="S566" s="8">
        <v>46183.0</v>
      </c>
      <c r="T566" s="9">
        <v>0.375</v>
      </c>
      <c r="U566" s="9">
        <v>0.9166666666666666</v>
      </c>
      <c r="V566" s="4" t="s">
        <v>49</v>
      </c>
      <c r="W566" s="5">
        <v>1.0</v>
      </c>
      <c r="X566" s="5" t="b">
        <v>1</v>
      </c>
      <c r="Y566" s="5" t="s">
        <v>50</v>
      </c>
      <c r="Z566" s="5" t="b">
        <v>0</v>
      </c>
      <c r="AA566" s="10"/>
      <c r="AB566" s="4">
        <v>1.0</v>
      </c>
      <c r="AC566" s="11" t="s">
        <v>3367</v>
      </c>
      <c r="AD566" s="5">
        <v>0.0</v>
      </c>
      <c r="AE566" s="5">
        <v>1.0</v>
      </c>
      <c r="AF566" s="8">
        <v>46183.0</v>
      </c>
      <c r="AG566" s="9">
        <v>0.375</v>
      </c>
      <c r="AH566" s="9">
        <v>0.9166666666666666</v>
      </c>
      <c r="AI566" s="4" t="s">
        <v>49</v>
      </c>
      <c r="AJ566" s="5" t="s">
        <v>3368</v>
      </c>
      <c r="AK566" s="12"/>
      <c r="AL566" s="12">
        <v>46182.0</v>
      </c>
      <c r="AM566" s="12"/>
      <c r="AN566" s="12"/>
      <c r="AO566" s="12"/>
      <c r="AP566" s="12"/>
      <c r="AQ566" s="12"/>
    </row>
    <row r="567">
      <c r="A567" s="5" t="s">
        <v>3369</v>
      </c>
      <c r="B567" s="5">
        <v>1.1398423E7</v>
      </c>
      <c r="C567" s="5" t="s">
        <v>37</v>
      </c>
      <c r="D567" s="5" t="s">
        <v>2415</v>
      </c>
      <c r="E567" s="5" t="s">
        <v>39</v>
      </c>
      <c r="F567" s="5" t="s">
        <v>3370</v>
      </c>
      <c r="G567" s="15">
        <v>8.128141418E9</v>
      </c>
      <c r="H567" s="5" t="s">
        <v>3371</v>
      </c>
      <c r="I567" s="5" t="s">
        <v>42</v>
      </c>
      <c r="J567" s="5" t="s">
        <v>43</v>
      </c>
      <c r="K567" s="5">
        <v>8.7733785699E10</v>
      </c>
      <c r="L567" s="4" t="s">
        <v>44</v>
      </c>
      <c r="M567" s="5" t="s">
        <v>42</v>
      </c>
      <c r="N567" s="4" t="s">
        <v>45</v>
      </c>
      <c r="O567" s="4" t="s">
        <v>46</v>
      </c>
      <c r="P567" s="4" t="s">
        <v>47</v>
      </c>
      <c r="Q567" s="4">
        <v>16451.0</v>
      </c>
      <c r="R567" s="5" t="s">
        <v>3372</v>
      </c>
      <c r="S567" s="8">
        <v>46183.0</v>
      </c>
      <c r="T567" s="9">
        <v>0.375</v>
      </c>
      <c r="U567" s="9">
        <v>0.9166666666666666</v>
      </c>
      <c r="V567" s="4" t="s">
        <v>49</v>
      </c>
      <c r="W567" s="5">
        <v>1.0</v>
      </c>
      <c r="X567" s="5" t="b">
        <v>1</v>
      </c>
      <c r="Y567" s="5" t="s">
        <v>50</v>
      </c>
      <c r="Z567" s="5" t="b">
        <v>0</v>
      </c>
      <c r="AA567" s="10"/>
      <c r="AB567" s="4">
        <v>1.0</v>
      </c>
      <c r="AC567" s="11" t="s">
        <v>3373</v>
      </c>
      <c r="AD567" s="5">
        <v>0.0</v>
      </c>
      <c r="AE567" s="5">
        <v>1.0</v>
      </c>
      <c r="AF567" s="8">
        <v>46183.0</v>
      </c>
      <c r="AG567" s="9">
        <v>0.375</v>
      </c>
      <c r="AH567" s="9">
        <v>0.9166666666666666</v>
      </c>
      <c r="AI567" s="4" t="s">
        <v>49</v>
      </c>
      <c r="AJ567" s="5" t="s">
        <v>3374</v>
      </c>
      <c r="AK567" s="12"/>
      <c r="AL567" s="12">
        <v>46182.0</v>
      </c>
      <c r="AM567" s="12"/>
      <c r="AN567" s="12"/>
      <c r="AO567" s="12"/>
      <c r="AP567" s="12"/>
      <c r="AQ567" s="12"/>
    </row>
    <row r="568">
      <c r="A568" s="5" t="s">
        <v>3375</v>
      </c>
      <c r="B568" s="5">
        <v>1.1398423E7</v>
      </c>
      <c r="C568" s="5" t="s">
        <v>37</v>
      </c>
      <c r="D568" s="5" t="s">
        <v>2787</v>
      </c>
      <c r="E568" s="5" t="s">
        <v>39</v>
      </c>
      <c r="F568" s="5" t="s">
        <v>3376</v>
      </c>
      <c r="G568" s="15">
        <v>8.581465111E10</v>
      </c>
      <c r="H568" s="5" t="s">
        <v>3377</v>
      </c>
      <c r="I568" s="5" t="s">
        <v>42</v>
      </c>
      <c r="J568" s="5" t="s">
        <v>43</v>
      </c>
      <c r="K568" s="5">
        <v>8.7733785699E10</v>
      </c>
      <c r="L568" s="4" t="s">
        <v>44</v>
      </c>
      <c r="M568" s="5" t="s">
        <v>42</v>
      </c>
      <c r="N568" s="4" t="s">
        <v>45</v>
      </c>
      <c r="O568" s="4" t="s">
        <v>46</v>
      </c>
      <c r="P568" s="4" t="s">
        <v>47</v>
      </c>
      <c r="Q568" s="4">
        <v>16451.0</v>
      </c>
      <c r="R568" s="5" t="s">
        <v>3378</v>
      </c>
      <c r="S568" s="8">
        <v>46183.0</v>
      </c>
      <c r="T568" s="9">
        <v>0.375</v>
      </c>
      <c r="U568" s="9">
        <v>0.9166666666666666</v>
      </c>
      <c r="V568" s="4" t="s">
        <v>49</v>
      </c>
      <c r="W568" s="5">
        <v>1.0</v>
      </c>
      <c r="X568" s="5" t="b">
        <v>1</v>
      </c>
      <c r="Y568" s="5" t="s">
        <v>50</v>
      </c>
      <c r="Z568" s="5" t="b">
        <v>0</v>
      </c>
      <c r="AA568" s="10"/>
      <c r="AB568" s="4">
        <v>1.0</v>
      </c>
      <c r="AC568" s="11" t="s">
        <v>3379</v>
      </c>
      <c r="AD568" s="5">
        <v>0.0</v>
      </c>
      <c r="AE568" s="5">
        <v>1.0</v>
      </c>
      <c r="AF568" s="8">
        <v>46183.0</v>
      </c>
      <c r="AG568" s="9">
        <v>0.375</v>
      </c>
      <c r="AH568" s="9">
        <v>0.9166666666666666</v>
      </c>
      <c r="AI568" s="4" t="s">
        <v>49</v>
      </c>
      <c r="AJ568" s="5" t="s">
        <v>3380</v>
      </c>
      <c r="AK568" s="12"/>
      <c r="AL568" s="12">
        <v>46182.0</v>
      </c>
      <c r="AM568" s="12"/>
      <c r="AN568" s="12"/>
      <c r="AO568" s="12"/>
      <c r="AP568" s="12"/>
      <c r="AQ568" s="12"/>
    </row>
    <row r="569">
      <c r="A569" s="5" t="s">
        <v>3381</v>
      </c>
      <c r="B569" s="5">
        <v>1.1398423E7</v>
      </c>
      <c r="C569" s="5" t="s">
        <v>37</v>
      </c>
      <c r="D569" s="5" t="s">
        <v>3382</v>
      </c>
      <c r="E569" s="5" t="s">
        <v>39</v>
      </c>
      <c r="F569" s="5" t="s">
        <v>3383</v>
      </c>
      <c r="G569" s="15">
        <v>8.9679099392E10</v>
      </c>
      <c r="H569" s="5" t="s">
        <v>3384</v>
      </c>
      <c r="I569" s="5" t="s">
        <v>42</v>
      </c>
      <c r="J569" s="5" t="s">
        <v>43</v>
      </c>
      <c r="K569" s="5">
        <v>8.7733785699E10</v>
      </c>
      <c r="L569" s="4" t="s">
        <v>44</v>
      </c>
      <c r="M569" s="5" t="s">
        <v>42</v>
      </c>
      <c r="N569" s="4" t="s">
        <v>45</v>
      </c>
      <c r="O569" s="4" t="s">
        <v>46</v>
      </c>
      <c r="P569" s="4" t="s">
        <v>47</v>
      </c>
      <c r="Q569" s="4">
        <v>16451.0</v>
      </c>
      <c r="R569" s="5" t="s">
        <v>3051</v>
      </c>
      <c r="S569" s="8">
        <v>46183.0</v>
      </c>
      <c r="T569" s="9">
        <v>0.375</v>
      </c>
      <c r="U569" s="9">
        <v>0.9166666666666666</v>
      </c>
      <c r="V569" s="4" t="s">
        <v>49</v>
      </c>
      <c r="W569" s="5">
        <v>1.0</v>
      </c>
      <c r="X569" s="5" t="b">
        <v>1</v>
      </c>
      <c r="Y569" s="5" t="s">
        <v>50</v>
      </c>
      <c r="Z569" s="5" t="b">
        <v>0</v>
      </c>
      <c r="AA569" s="10"/>
      <c r="AB569" s="4">
        <v>1.0</v>
      </c>
      <c r="AC569" s="11" t="s">
        <v>3385</v>
      </c>
      <c r="AD569" s="5">
        <v>0.0</v>
      </c>
      <c r="AE569" s="5">
        <v>1.0</v>
      </c>
      <c r="AF569" s="8">
        <v>46183.0</v>
      </c>
      <c r="AG569" s="9">
        <v>0.375</v>
      </c>
      <c r="AH569" s="9">
        <v>0.9166666666666666</v>
      </c>
      <c r="AI569" s="4" t="s">
        <v>49</v>
      </c>
      <c r="AJ569" s="5" t="s">
        <v>3386</v>
      </c>
      <c r="AK569" s="12"/>
      <c r="AL569" s="12">
        <v>46182.0</v>
      </c>
      <c r="AM569" s="12"/>
      <c r="AN569" s="12"/>
      <c r="AO569" s="12"/>
      <c r="AP569" s="12"/>
      <c r="AQ569" s="12"/>
    </row>
    <row r="570">
      <c r="A570" s="5" t="s">
        <v>3387</v>
      </c>
      <c r="B570" s="5">
        <v>1.1398423E7</v>
      </c>
      <c r="C570" s="5" t="s">
        <v>37</v>
      </c>
      <c r="D570" s="5" t="s">
        <v>3388</v>
      </c>
      <c r="E570" s="5" t="s">
        <v>39</v>
      </c>
      <c r="F570" s="5" t="s">
        <v>3389</v>
      </c>
      <c r="G570" s="15">
        <v>8.9628594757E10</v>
      </c>
      <c r="H570" s="5" t="s">
        <v>3390</v>
      </c>
      <c r="I570" s="5" t="s">
        <v>42</v>
      </c>
      <c r="J570" s="5" t="s">
        <v>43</v>
      </c>
      <c r="K570" s="5">
        <v>8.7733785699E10</v>
      </c>
      <c r="L570" s="4" t="s">
        <v>44</v>
      </c>
      <c r="M570" s="5" t="s">
        <v>42</v>
      </c>
      <c r="N570" s="4" t="s">
        <v>45</v>
      </c>
      <c r="O570" s="4" t="s">
        <v>46</v>
      </c>
      <c r="P570" s="4" t="s">
        <v>47</v>
      </c>
      <c r="Q570" s="4">
        <v>16451.0</v>
      </c>
      <c r="R570" s="5" t="s">
        <v>3391</v>
      </c>
      <c r="S570" s="8">
        <v>46183.0</v>
      </c>
      <c r="T570" s="9">
        <v>0.375</v>
      </c>
      <c r="U570" s="9">
        <v>0.9166666666666666</v>
      </c>
      <c r="V570" s="4" t="s">
        <v>49</v>
      </c>
      <c r="W570" s="5">
        <v>1.0</v>
      </c>
      <c r="X570" s="5" t="b">
        <v>1</v>
      </c>
      <c r="Y570" s="5" t="s">
        <v>50</v>
      </c>
      <c r="Z570" s="5" t="b">
        <v>0</v>
      </c>
      <c r="AA570" s="10"/>
      <c r="AB570" s="4">
        <v>1.0</v>
      </c>
      <c r="AC570" s="11" t="s">
        <v>3392</v>
      </c>
      <c r="AD570" s="5">
        <v>0.0</v>
      </c>
      <c r="AE570" s="5">
        <v>1.0</v>
      </c>
      <c r="AF570" s="8">
        <v>46183.0</v>
      </c>
      <c r="AG570" s="9">
        <v>0.375</v>
      </c>
      <c r="AH570" s="9">
        <v>0.9166666666666666</v>
      </c>
      <c r="AI570" s="4" t="s">
        <v>49</v>
      </c>
      <c r="AJ570" s="5" t="s">
        <v>3393</v>
      </c>
      <c r="AK570" s="12"/>
      <c r="AL570" s="12">
        <v>46182.0</v>
      </c>
      <c r="AM570" s="12"/>
      <c r="AN570" s="12"/>
      <c r="AO570" s="12"/>
      <c r="AP570" s="12"/>
      <c r="AQ570" s="12"/>
    </row>
    <row r="571">
      <c r="A571" s="5" t="s">
        <v>3394</v>
      </c>
      <c r="B571" s="5">
        <v>1.1398423E7</v>
      </c>
      <c r="C571" s="5" t="s">
        <v>37</v>
      </c>
      <c r="D571" s="5" t="s">
        <v>1752</v>
      </c>
      <c r="E571" s="5" t="s">
        <v>39</v>
      </c>
      <c r="F571" s="5" t="s">
        <v>1458</v>
      </c>
      <c r="G571" s="15">
        <v>6.28212E17</v>
      </c>
      <c r="H571" s="5" t="s">
        <v>1459</v>
      </c>
      <c r="I571" s="5" t="s">
        <v>42</v>
      </c>
      <c r="J571" s="5" t="s">
        <v>43</v>
      </c>
      <c r="K571" s="5">
        <v>8.7733785699E10</v>
      </c>
      <c r="L571" s="4" t="s">
        <v>44</v>
      </c>
      <c r="M571" s="5" t="s">
        <v>42</v>
      </c>
      <c r="N571" s="4" t="s">
        <v>45</v>
      </c>
      <c r="O571" s="4" t="s">
        <v>46</v>
      </c>
      <c r="P571" s="4" t="s">
        <v>47</v>
      </c>
      <c r="Q571" s="4">
        <v>16451.0</v>
      </c>
      <c r="R571" s="5" t="s">
        <v>3395</v>
      </c>
      <c r="S571" s="8">
        <v>46183.0</v>
      </c>
      <c r="T571" s="9">
        <v>0.375</v>
      </c>
      <c r="U571" s="9">
        <v>0.9166666666666666</v>
      </c>
      <c r="V571" s="4" t="s">
        <v>49</v>
      </c>
      <c r="W571" s="5">
        <v>1.0</v>
      </c>
      <c r="X571" s="5" t="b">
        <v>1</v>
      </c>
      <c r="Y571" s="5" t="s">
        <v>50</v>
      </c>
      <c r="Z571" s="5" t="b">
        <v>0</v>
      </c>
      <c r="AA571" s="10"/>
      <c r="AB571" s="4">
        <v>1.0</v>
      </c>
      <c r="AC571" s="11" t="s">
        <v>3396</v>
      </c>
      <c r="AD571" s="5">
        <v>0.0</v>
      </c>
      <c r="AE571" s="5">
        <v>1.0</v>
      </c>
      <c r="AF571" s="8">
        <v>46183.0</v>
      </c>
      <c r="AG571" s="9">
        <v>0.375</v>
      </c>
      <c r="AH571" s="9">
        <v>0.9166666666666666</v>
      </c>
      <c r="AI571" s="4" t="s">
        <v>49</v>
      </c>
      <c r="AJ571" s="5" t="s">
        <v>3397</v>
      </c>
      <c r="AK571" s="12"/>
      <c r="AL571" s="12">
        <v>46182.0</v>
      </c>
      <c r="AM571" s="12"/>
      <c r="AN571" s="12"/>
      <c r="AO571" s="12"/>
      <c r="AP571" s="12"/>
      <c r="AQ571" s="12"/>
    </row>
    <row r="572">
      <c r="A572" s="5" t="s">
        <v>3398</v>
      </c>
      <c r="B572" s="5">
        <v>1.1398423E7</v>
      </c>
      <c r="C572" s="5" t="s">
        <v>37</v>
      </c>
      <c r="D572" s="5" t="s">
        <v>3399</v>
      </c>
      <c r="E572" s="5" t="s">
        <v>39</v>
      </c>
      <c r="F572" s="5" t="s">
        <v>1746</v>
      </c>
      <c r="G572" s="15">
        <v>6.28572E17</v>
      </c>
      <c r="H572" s="5" t="s">
        <v>1747</v>
      </c>
      <c r="I572" s="5" t="s">
        <v>42</v>
      </c>
      <c r="J572" s="5" t="s">
        <v>43</v>
      </c>
      <c r="K572" s="5">
        <v>8.7733785699E10</v>
      </c>
      <c r="L572" s="4" t="s">
        <v>44</v>
      </c>
      <c r="M572" s="5" t="s">
        <v>42</v>
      </c>
      <c r="N572" s="4" t="s">
        <v>45</v>
      </c>
      <c r="O572" s="4" t="s">
        <v>46</v>
      </c>
      <c r="P572" s="4" t="s">
        <v>47</v>
      </c>
      <c r="Q572" s="4">
        <v>16451.0</v>
      </c>
      <c r="R572" s="5" t="s">
        <v>3400</v>
      </c>
      <c r="S572" s="8">
        <v>46183.0</v>
      </c>
      <c r="T572" s="9">
        <v>0.375</v>
      </c>
      <c r="U572" s="9">
        <v>0.9166666666666666</v>
      </c>
      <c r="V572" s="4" t="s">
        <v>49</v>
      </c>
      <c r="W572" s="5">
        <v>1.0</v>
      </c>
      <c r="X572" s="5" t="b">
        <v>1</v>
      </c>
      <c r="Y572" s="5" t="s">
        <v>50</v>
      </c>
      <c r="Z572" s="5" t="b">
        <v>0</v>
      </c>
      <c r="AA572" s="10"/>
      <c r="AB572" s="4">
        <v>1.0</v>
      </c>
      <c r="AC572" s="11" t="s">
        <v>3401</v>
      </c>
      <c r="AD572" s="5">
        <v>0.0</v>
      </c>
      <c r="AE572" s="5">
        <v>1.0</v>
      </c>
      <c r="AF572" s="8">
        <v>46183.0</v>
      </c>
      <c r="AG572" s="9">
        <v>0.375</v>
      </c>
      <c r="AH572" s="9">
        <v>0.9166666666666666</v>
      </c>
      <c r="AI572" s="4" t="s">
        <v>49</v>
      </c>
      <c r="AJ572" s="5" t="s">
        <v>3402</v>
      </c>
      <c r="AK572" s="12"/>
      <c r="AL572" s="12">
        <v>46182.0</v>
      </c>
      <c r="AM572" s="12"/>
      <c r="AN572" s="12"/>
      <c r="AO572" s="12"/>
      <c r="AP572" s="12"/>
      <c r="AQ572" s="12"/>
    </row>
    <row r="573">
      <c r="A573" s="5" t="s">
        <v>3403</v>
      </c>
      <c r="B573" s="5">
        <v>1.1398423E7</v>
      </c>
      <c r="C573" s="5" t="s">
        <v>37</v>
      </c>
      <c r="D573" s="5" t="s">
        <v>3404</v>
      </c>
      <c r="E573" s="5" t="s">
        <v>39</v>
      </c>
      <c r="F573" s="5" t="s">
        <v>1746</v>
      </c>
      <c r="G573" s="15">
        <v>6.28572E17</v>
      </c>
      <c r="H573" s="5" t="s">
        <v>1747</v>
      </c>
      <c r="I573" s="5" t="s">
        <v>42</v>
      </c>
      <c r="J573" s="5" t="s">
        <v>43</v>
      </c>
      <c r="K573" s="5">
        <v>8.7733785699E10</v>
      </c>
      <c r="L573" s="4" t="s">
        <v>44</v>
      </c>
      <c r="M573" s="5" t="s">
        <v>42</v>
      </c>
      <c r="N573" s="4" t="s">
        <v>45</v>
      </c>
      <c r="O573" s="4" t="s">
        <v>46</v>
      </c>
      <c r="P573" s="4" t="s">
        <v>47</v>
      </c>
      <c r="Q573" s="4">
        <v>16451.0</v>
      </c>
      <c r="R573" s="5" t="s">
        <v>3222</v>
      </c>
      <c r="S573" s="8">
        <v>46183.0</v>
      </c>
      <c r="T573" s="9">
        <v>0.375</v>
      </c>
      <c r="U573" s="9">
        <v>0.9166666666666666</v>
      </c>
      <c r="V573" s="4" t="s">
        <v>49</v>
      </c>
      <c r="W573" s="5">
        <v>1.0</v>
      </c>
      <c r="X573" s="5" t="b">
        <v>1</v>
      </c>
      <c r="Y573" s="5" t="s">
        <v>50</v>
      </c>
      <c r="Z573" s="5" t="b">
        <v>0</v>
      </c>
      <c r="AA573" s="10"/>
      <c r="AB573" s="4">
        <v>1.0</v>
      </c>
      <c r="AC573" s="11" t="s">
        <v>3405</v>
      </c>
      <c r="AD573" s="5">
        <v>0.0</v>
      </c>
      <c r="AE573" s="5">
        <v>1.0</v>
      </c>
      <c r="AF573" s="8">
        <v>46183.0</v>
      </c>
      <c r="AG573" s="9">
        <v>0.375</v>
      </c>
      <c r="AH573" s="9">
        <v>0.9166666666666666</v>
      </c>
      <c r="AI573" s="4" t="s">
        <v>49</v>
      </c>
      <c r="AJ573" s="5" t="s">
        <v>3406</v>
      </c>
      <c r="AK573" s="12"/>
      <c r="AL573" s="12">
        <v>46182.0</v>
      </c>
      <c r="AM573" s="12"/>
      <c r="AN573" s="12"/>
      <c r="AO573" s="12"/>
      <c r="AP573" s="12"/>
      <c r="AQ573" s="12"/>
    </row>
    <row r="574">
      <c r="A574" s="5" t="s">
        <v>3407</v>
      </c>
      <c r="B574" s="5">
        <v>1.1398423E7</v>
      </c>
      <c r="C574" s="5" t="s">
        <v>37</v>
      </c>
      <c r="D574" s="5" t="s">
        <v>1483</v>
      </c>
      <c r="E574" s="5" t="s">
        <v>39</v>
      </c>
      <c r="F574" s="5" t="s">
        <v>1753</v>
      </c>
      <c r="G574" s="15">
        <v>6.2813E16</v>
      </c>
      <c r="H574" s="5" t="s">
        <v>1754</v>
      </c>
      <c r="I574" s="5" t="s">
        <v>42</v>
      </c>
      <c r="J574" s="5" t="s">
        <v>43</v>
      </c>
      <c r="K574" s="5">
        <v>8.7733785699E10</v>
      </c>
      <c r="L574" s="4" t="s">
        <v>44</v>
      </c>
      <c r="M574" s="5" t="s">
        <v>42</v>
      </c>
      <c r="N574" s="4" t="s">
        <v>45</v>
      </c>
      <c r="O574" s="4" t="s">
        <v>46</v>
      </c>
      <c r="P574" s="4" t="s">
        <v>47</v>
      </c>
      <c r="Q574" s="4">
        <v>16451.0</v>
      </c>
      <c r="R574" s="5" t="s">
        <v>3090</v>
      </c>
      <c r="S574" s="8">
        <v>46183.0</v>
      </c>
      <c r="T574" s="9">
        <v>0.375</v>
      </c>
      <c r="U574" s="9">
        <v>0.9166666666666666</v>
      </c>
      <c r="V574" s="4" t="s">
        <v>49</v>
      </c>
      <c r="W574" s="5">
        <v>1.0</v>
      </c>
      <c r="X574" s="5" t="b">
        <v>1</v>
      </c>
      <c r="Y574" s="5" t="s">
        <v>50</v>
      </c>
      <c r="Z574" s="5" t="b">
        <v>0</v>
      </c>
      <c r="AA574" s="10"/>
      <c r="AB574" s="4">
        <v>1.0</v>
      </c>
      <c r="AC574" s="11" t="s">
        <v>3408</v>
      </c>
      <c r="AD574" s="5">
        <v>0.0</v>
      </c>
      <c r="AE574" s="5">
        <v>1.0</v>
      </c>
      <c r="AF574" s="8">
        <v>46183.0</v>
      </c>
      <c r="AG574" s="9">
        <v>0.375</v>
      </c>
      <c r="AH574" s="9">
        <v>0.9166666666666666</v>
      </c>
      <c r="AI574" s="4" t="s">
        <v>49</v>
      </c>
      <c r="AJ574" s="5" t="s">
        <v>3409</v>
      </c>
      <c r="AK574" s="12"/>
      <c r="AL574" s="12">
        <v>46182.0</v>
      </c>
      <c r="AM574" s="12"/>
      <c r="AN574" s="12"/>
      <c r="AO574" s="12"/>
      <c r="AP574" s="12"/>
      <c r="AQ574" s="12"/>
    </row>
    <row r="575">
      <c r="A575" s="5" t="s">
        <v>3410</v>
      </c>
      <c r="B575" s="5">
        <v>1.1398423E7</v>
      </c>
      <c r="C575" s="5" t="s">
        <v>37</v>
      </c>
      <c r="D575" s="5" t="s">
        <v>1771</v>
      </c>
      <c r="E575" s="5" t="s">
        <v>39</v>
      </c>
      <c r="F575" s="5" t="s">
        <v>834</v>
      </c>
      <c r="G575" s="15">
        <v>6.28121E17</v>
      </c>
      <c r="H575" s="5" t="s">
        <v>835</v>
      </c>
      <c r="I575" s="5" t="s">
        <v>42</v>
      </c>
      <c r="J575" s="5" t="s">
        <v>43</v>
      </c>
      <c r="K575" s="5">
        <v>8.7733785699E10</v>
      </c>
      <c r="L575" s="4" t="s">
        <v>44</v>
      </c>
      <c r="M575" s="5" t="s">
        <v>42</v>
      </c>
      <c r="N575" s="4" t="s">
        <v>45</v>
      </c>
      <c r="O575" s="4" t="s">
        <v>46</v>
      </c>
      <c r="P575" s="4" t="s">
        <v>47</v>
      </c>
      <c r="Q575" s="4">
        <v>16451.0</v>
      </c>
      <c r="R575" s="5" t="s">
        <v>3411</v>
      </c>
      <c r="S575" s="8">
        <v>46183.0</v>
      </c>
      <c r="T575" s="9">
        <v>0.375</v>
      </c>
      <c r="U575" s="9">
        <v>0.9166666666666666</v>
      </c>
      <c r="V575" s="4" t="s">
        <v>49</v>
      </c>
      <c r="W575" s="5">
        <v>1.0</v>
      </c>
      <c r="X575" s="5" t="b">
        <v>1</v>
      </c>
      <c r="Y575" s="5" t="s">
        <v>50</v>
      </c>
      <c r="Z575" s="5" t="b">
        <v>0</v>
      </c>
      <c r="AA575" s="10"/>
      <c r="AB575" s="4">
        <v>1.0</v>
      </c>
      <c r="AC575" s="11" t="s">
        <v>3412</v>
      </c>
      <c r="AD575" s="5">
        <v>0.0</v>
      </c>
      <c r="AE575" s="5">
        <v>1.0</v>
      </c>
      <c r="AF575" s="8">
        <v>46183.0</v>
      </c>
      <c r="AG575" s="9">
        <v>0.375</v>
      </c>
      <c r="AH575" s="9">
        <v>0.9166666666666666</v>
      </c>
      <c r="AI575" s="4" t="s">
        <v>49</v>
      </c>
      <c r="AJ575" s="5" t="s">
        <v>3413</v>
      </c>
      <c r="AK575" s="12"/>
      <c r="AL575" s="12">
        <v>46182.0</v>
      </c>
      <c r="AM575" s="12"/>
      <c r="AN575" s="12"/>
      <c r="AO575" s="12"/>
      <c r="AP575" s="12"/>
      <c r="AQ575" s="12"/>
    </row>
    <row r="576">
      <c r="A576" s="5" t="s">
        <v>3414</v>
      </c>
      <c r="B576" s="5">
        <v>1.1398423E7</v>
      </c>
      <c r="C576" s="5" t="s">
        <v>37</v>
      </c>
      <c r="D576" s="5" t="s">
        <v>2502</v>
      </c>
      <c r="E576" s="5" t="s">
        <v>39</v>
      </c>
      <c r="F576" s="5" t="s">
        <v>3415</v>
      </c>
      <c r="G576" s="15">
        <v>6.28522E17</v>
      </c>
      <c r="H576" s="5" t="s">
        <v>3416</v>
      </c>
      <c r="I576" s="5" t="s">
        <v>42</v>
      </c>
      <c r="J576" s="5" t="s">
        <v>43</v>
      </c>
      <c r="K576" s="5">
        <v>8.7733785699E10</v>
      </c>
      <c r="L576" s="4" t="s">
        <v>44</v>
      </c>
      <c r="M576" s="5" t="s">
        <v>42</v>
      </c>
      <c r="N576" s="4" t="s">
        <v>45</v>
      </c>
      <c r="O576" s="4" t="s">
        <v>46</v>
      </c>
      <c r="P576" s="4" t="s">
        <v>47</v>
      </c>
      <c r="Q576" s="4">
        <v>16451.0</v>
      </c>
      <c r="R576" s="5" t="s">
        <v>3417</v>
      </c>
      <c r="S576" s="8">
        <v>46183.0</v>
      </c>
      <c r="T576" s="9">
        <v>0.375</v>
      </c>
      <c r="U576" s="9">
        <v>0.9166666666666666</v>
      </c>
      <c r="V576" s="4" t="s">
        <v>49</v>
      </c>
      <c r="W576" s="5">
        <v>1.0</v>
      </c>
      <c r="X576" s="5" t="b">
        <v>1</v>
      </c>
      <c r="Y576" s="5" t="s">
        <v>50</v>
      </c>
      <c r="Z576" s="5" t="b">
        <v>0</v>
      </c>
      <c r="AA576" s="10"/>
      <c r="AB576" s="4">
        <v>1.0</v>
      </c>
      <c r="AC576" s="11" t="s">
        <v>3418</v>
      </c>
      <c r="AD576" s="5">
        <v>0.0</v>
      </c>
      <c r="AE576" s="5">
        <v>1.0</v>
      </c>
      <c r="AF576" s="8">
        <v>46183.0</v>
      </c>
      <c r="AG576" s="9">
        <v>0.375</v>
      </c>
      <c r="AH576" s="9">
        <v>0.9166666666666666</v>
      </c>
      <c r="AI576" s="4" t="s">
        <v>49</v>
      </c>
      <c r="AJ576" s="5" t="s">
        <v>3419</v>
      </c>
      <c r="AK576" s="12"/>
      <c r="AL576" s="12">
        <v>46182.0</v>
      </c>
      <c r="AM576" s="12"/>
      <c r="AN576" s="12"/>
      <c r="AO576" s="12"/>
      <c r="AP576" s="12"/>
      <c r="AQ576" s="12"/>
    </row>
    <row r="577">
      <c r="A577" s="5" t="s">
        <v>3420</v>
      </c>
      <c r="B577" s="5">
        <v>1.1398423E7</v>
      </c>
      <c r="C577" s="5" t="s">
        <v>37</v>
      </c>
      <c r="D577" s="5" t="s">
        <v>3421</v>
      </c>
      <c r="E577" s="5" t="s">
        <v>39</v>
      </c>
      <c r="F577" s="5" t="s">
        <v>1760</v>
      </c>
      <c r="G577" s="15">
        <v>8.1327050527E10</v>
      </c>
      <c r="H577" s="5" t="s">
        <v>1761</v>
      </c>
      <c r="I577" s="5" t="s">
        <v>42</v>
      </c>
      <c r="J577" s="5" t="s">
        <v>43</v>
      </c>
      <c r="K577" s="5">
        <v>8.7733785699E10</v>
      </c>
      <c r="L577" s="4" t="s">
        <v>44</v>
      </c>
      <c r="M577" s="5" t="s">
        <v>42</v>
      </c>
      <c r="N577" s="4" t="s">
        <v>45</v>
      </c>
      <c r="O577" s="4" t="s">
        <v>46</v>
      </c>
      <c r="P577" s="4" t="s">
        <v>47</v>
      </c>
      <c r="Q577" s="4">
        <v>16451.0</v>
      </c>
      <c r="R577" s="5" t="s">
        <v>3422</v>
      </c>
      <c r="S577" s="8">
        <v>46183.0</v>
      </c>
      <c r="T577" s="9">
        <v>0.375</v>
      </c>
      <c r="U577" s="9">
        <v>0.9166666666666666</v>
      </c>
      <c r="V577" s="4" t="s">
        <v>49</v>
      </c>
      <c r="W577" s="5">
        <v>1.0</v>
      </c>
      <c r="X577" s="5" t="b">
        <v>1</v>
      </c>
      <c r="Y577" s="5" t="s">
        <v>50</v>
      </c>
      <c r="Z577" s="5" t="b">
        <v>0</v>
      </c>
      <c r="AA577" s="10"/>
      <c r="AB577" s="4">
        <v>1.0</v>
      </c>
      <c r="AC577" s="11" t="s">
        <v>3423</v>
      </c>
      <c r="AD577" s="5">
        <v>0.0</v>
      </c>
      <c r="AE577" s="5">
        <v>1.0</v>
      </c>
      <c r="AF577" s="8">
        <v>46183.0</v>
      </c>
      <c r="AG577" s="9">
        <v>0.375</v>
      </c>
      <c r="AH577" s="9">
        <v>0.9166666666666666</v>
      </c>
      <c r="AI577" s="4" t="s">
        <v>49</v>
      </c>
      <c r="AJ577" s="5" t="s">
        <v>3424</v>
      </c>
      <c r="AK577" s="12"/>
      <c r="AL577" s="12">
        <v>46182.0</v>
      </c>
      <c r="AM577" s="12"/>
      <c r="AN577" s="12"/>
      <c r="AO577" s="12"/>
      <c r="AP577" s="12"/>
      <c r="AQ577" s="12"/>
    </row>
    <row r="578">
      <c r="A578" s="5" t="s">
        <v>3425</v>
      </c>
      <c r="B578" s="5">
        <v>1.1398423E7</v>
      </c>
      <c r="C578" s="5" t="s">
        <v>37</v>
      </c>
      <c r="D578" s="5" t="s">
        <v>1686</v>
      </c>
      <c r="E578" s="5" t="s">
        <v>39</v>
      </c>
      <c r="F578" s="5" t="s">
        <v>1363</v>
      </c>
      <c r="G578" s="15">
        <v>6.28217E17</v>
      </c>
      <c r="H578" s="5" t="s">
        <v>1364</v>
      </c>
      <c r="I578" s="5" t="s">
        <v>42</v>
      </c>
      <c r="J578" s="5" t="s">
        <v>43</v>
      </c>
      <c r="K578" s="5">
        <v>8.7733785699E10</v>
      </c>
      <c r="L578" s="4" t="s">
        <v>44</v>
      </c>
      <c r="M578" s="5" t="s">
        <v>42</v>
      </c>
      <c r="N578" s="4" t="s">
        <v>45</v>
      </c>
      <c r="O578" s="4" t="s">
        <v>46</v>
      </c>
      <c r="P578" s="4" t="s">
        <v>47</v>
      </c>
      <c r="Q578" s="4">
        <v>16451.0</v>
      </c>
      <c r="R578" s="5" t="s">
        <v>3426</v>
      </c>
      <c r="S578" s="8">
        <v>46183.0</v>
      </c>
      <c r="T578" s="9">
        <v>0.375</v>
      </c>
      <c r="U578" s="9">
        <v>0.9166666666666666</v>
      </c>
      <c r="V578" s="4" t="s">
        <v>49</v>
      </c>
      <c r="W578" s="5">
        <v>1.0</v>
      </c>
      <c r="X578" s="5" t="b">
        <v>1</v>
      </c>
      <c r="Y578" s="5" t="s">
        <v>50</v>
      </c>
      <c r="Z578" s="5" t="b">
        <v>0</v>
      </c>
      <c r="AA578" s="10"/>
      <c r="AB578" s="4">
        <v>1.0</v>
      </c>
      <c r="AC578" s="11" t="s">
        <v>3427</v>
      </c>
      <c r="AD578" s="5">
        <v>0.0</v>
      </c>
      <c r="AE578" s="5">
        <v>1.0</v>
      </c>
      <c r="AF578" s="8">
        <v>46183.0</v>
      </c>
      <c r="AG578" s="9">
        <v>0.375</v>
      </c>
      <c r="AH578" s="9">
        <v>0.9166666666666666</v>
      </c>
      <c r="AI578" s="4" t="s">
        <v>49</v>
      </c>
      <c r="AJ578" s="5" t="s">
        <v>3428</v>
      </c>
      <c r="AK578" s="12"/>
      <c r="AL578" s="12">
        <v>46182.0</v>
      </c>
      <c r="AM578" s="12"/>
      <c r="AN578" s="12"/>
      <c r="AO578" s="12"/>
      <c r="AP578" s="12"/>
      <c r="AQ578" s="12"/>
    </row>
    <row r="579">
      <c r="A579" s="5" t="s">
        <v>3429</v>
      </c>
      <c r="B579" s="5">
        <v>1.1398423E7</v>
      </c>
      <c r="C579" s="5" t="s">
        <v>37</v>
      </c>
      <c r="D579" s="5" t="s">
        <v>2796</v>
      </c>
      <c r="E579" s="5" t="s">
        <v>39</v>
      </c>
      <c r="F579" s="5" t="s">
        <v>3430</v>
      </c>
      <c r="G579" s="15">
        <v>6.2814E16</v>
      </c>
      <c r="H579" s="5" t="s">
        <v>3431</v>
      </c>
      <c r="I579" s="5" t="s">
        <v>42</v>
      </c>
      <c r="J579" s="5" t="s">
        <v>43</v>
      </c>
      <c r="K579" s="5">
        <v>8.7733785699E10</v>
      </c>
      <c r="L579" s="4" t="s">
        <v>44</v>
      </c>
      <c r="M579" s="5" t="s">
        <v>42</v>
      </c>
      <c r="N579" s="4" t="s">
        <v>45</v>
      </c>
      <c r="O579" s="4" t="s">
        <v>46</v>
      </c>
      <c r="P579" s="4" t="s">
        <v>47</v>
      </c>
      <c r="Q579" s="4">
        <v>16451.0</v>
      </c>
      <c r="R579" s="5" t="s">
        <v>3432</v>
      </c>
      <c r="S579" s="8">
        <v>46183.0</v>
      </c>
      <c r="T579" s="9">
        <v>0.375</v>
      </c>
      <c r="U579" s="9">
        <v>0.9166666666666666</v>
      </c>
      <c r="V579" s="4" t="s">
        <v>49</v>
      </c>
      <c r="W579" s="5">
        <v>1.0</v>
      </c>
      <c r="X579" s="5" t="b">
        <v>1</v>
      </c>
      <c r="Y579" s="5" t="s">
        <v>50</v>
      </c>
      <c r="Z579" s="5" t="b">
        <v>0</v>
      </c>
      <c r="AA579" s="10"/>
      <c r="AB579" s="4">
        <v>1.0</v>
      </c>
      <c r="AC579" s="11" t="s">
        <v>3433</v>
      </c>
      <c r="AD579" s="5">
        <v>0.0</v>
      </c>
      <c r="AE579" s="5">
        <v>1.0</v>
      </c>
      <c r="AF579" s="8">
        <v>46183.0</v>
      </c>
      <c r="AG579" s="9">
        <v>0.375</v>
      </c>
      <c r="AH579" s="9">
        <v>0.9166666666666666</v>
      </c>
      <c r="AI579" s="4" t="s">
        <v>49</v>
      </c>
      <c r="AJ579" s="5" t="s">
        <v>3434</v>
      </c>
      <c r="AK579" s="12"/>
      <c r="AL579" s="12">
        <v>46182.0</v>
      </c>
      <c r="AM579" s="12"/>
      <c r="AN579" s="12"/>
      <c r="AO579" s="12"/>
      <c r="AP579" s="12"/>
      <c r="AQ579" s="12"/>
    </row>
    <row r="580">
      <c r="A580" s="5" t="s">
        <v>3435</v>
      </c>
      <c r="B580" s="5">
        <v>1.1398423E7</v>
      </c>
      <c r="C580" s="5" t="s">
        <v>37</v>
      </c>
      <c r="D580" s="5" t="s">
        <v>1707</v>
      </c>
      <c r="E580" s="5" t="s">
        <v>39</v>
      </c>
      <c r="F580" s="5" t="s">
        <v>2314</v>
      </c>
      <c r="G580" s="15">
        <v>6.28199E17</v>
      </c>
      <c r="H580" s="5" t="s">
        <v>2315</v>
      </c>
      <c r="I580" s="5" t="s">
        <v>42</v>
      </c>
      <c r="J580" s="5" t="s">
        <v>43</v>
      </c>
      <c r="K580" s="5">
        <v>8.7733785699E10</v>
      </c>
      <c r="L580" s="4" t="s">
        <v>44</v>
      </c>
      <c r="M580" s="5" t="s">
        <v>42</v>
      </c>
      <c r="N580" s="4" t="s">
        <v>45</v>
      </c>
      <c r="O580" s="4" t="s">
        <v>46</v>
      </c>
      <c r="P580" s="4" t="s">
        <v>47</v>
      </c>
      <c r="Q580" s="4">
        <v>16451.0</v>
      </c>
      <c r="R580" s="5" t="s">
        <v>3436</v>
      </c>
      <c r="S580" s="8">
        <v>46183.0</v>
      </c>
      <c r="T580" s="9">
        <v>0.375</v>
      </c>
      <c r="U580" s="9">
        <v>0.9166666666666666</v>
      </c>
      <c r="V580" s="4" t="s">
        <v>49</v>
      </c>
      <c r="W580" s="5">
        <v>1.0</v>
      </c>
      <c r="X580" s="5" t="b">
        <v>1</v>
      </c>
      <c r="Y580" s="5" t="s">
        <v>50</v>
      </c>
      <c r="Z580" s="5" t="b">
        <v>0</v>
      </c>
      <c r="AA580" s="10"/>
      <c r="AB580" s="4">
        <v>1.0</v>
      </c>
      <c r="AC580" s="11" t="s">
        <v>3437</v>
      </c>
      <c r="AD580" s="5">
        <v>0.0</v>
      </c>
      <c r="AE580" s="5">
        <v>1.0</v>
      </c>
      <c r="AF580" s="8">
        <v>46183.0</v>
      </c>
      <c r="AG580" s="9">
        <v>0.375</v>
      </c>
      <c r="AH580" s="9">
        <v>0.9166666666666666</v>
      </c>
      <c r="AI580" s="4" t="s">
        <v>49</v>
      </c>
      <c r="AJ580" s="5" t="s">
        <v>3438</v>
      </c>
      <c r="AK580" s="12"/>
      <c r="AL580" s="12">
        <v>46182.0</v>
      </c>
      <c r="AM580" s="12"/>
      <c r="AN580" s="12"/>
      <c r="AO580" s="12"/>
      <c r="AP580" s="12"/>
      <c r="AQ580" s="12"/>
    </row>
    <row r="581">
      <c r="A581" s="5" t="s">
        <v>3439</v>
      </c>
      <c r="B581" s="5">
        <v>1.1398423E7</v>
      </c>
      <c r="C581" s="5" t="s">
        <v>37</v>
      </c>
      <c r="D581" s="5" t="s">
        <v>2526</v>
      </c>
      <c r="E581" s="5" t="s">
        <v>39</v>
      </c>
      <c r="F581" s="5" t="s">
        <v>3440</v>
      </c>
      <c r="G581" s="15">
        <v>6.28129E17</v>
      </c>
      <c r="H581" s="5" t="s">
        <v>3441</v>
      </c>
      <c r="I581" s="5" t="s">
        <v>42</v>
      </c>
      <c r="J581" s="5" t="s">
        <v>43</v>
      </c>
      <c r="K581" s="5">
        <v>8.7733785699E10</v>
      </c>
      <c r="L581" s="4" t="s">
        <v>44</v>
      </c>
      <c r="M581" s="5" t="s">
        <v>42</v>
      </c>
      <c r="N581" s="4" t="s">
        <v>45</v>
      </c>
      <c r="O581" s="4" t="s">
        <v>46</v>
      </c>
      <c r="P581" s="4" t="s">
        <v>47</v>
      </c>
      <c r="Q581" s="4">
        <v>16451.0</v>
      </c>
      <c r="R581" s="5" t="s">
        <v>3442</v>
      </c>
      <c r="S581" s="8">
        <v>46183.0</v>
      </c>
      <c r="T581" s="9">
        <v>0.375</v>
      </c>
      <c r="U581" s="9">
        <v>0.9166666666666666</v>
      </c>
      <c r="V581" s="4" t="s">
        <v>49</v>
      </c>
      <c r="W581" s="5">
        <v>1.0</v>
      </c>
      <c r="X581" s="5" t="b">
        <v>1</v>
      </c>
      <c r="Y581" s="5" t="s">
        <v>50</v>
      </c>
      <c r="Z581" s="5" t="b">
        <v>0</v>
      </c>
      <c r="AA581" s="10"/>
      <c r="AB581" s="4">
        <v>1.0</v>
      </c>
      <c r="AC581" s="11" t="s">
        <v>3443</v>
      </c>
      <c r="AD581" s="5">
        <v>0.0</v>
      </c>
      <c r="AE581" s="5">
        <v>1.0</v>
      </c>
      <c r="AF581" s="8">
        <v>46183.0</v>
      </c>
      <c r="AG581" s="9">
        <v>0.375</v>
      </c>
      <c r="AH581" s="9">
        <v>0.9166666666666666</v>
      </c>
      <c r="AI581" s="4" t="s">
        <v>49</v>
      </c>
      <c r="AJ581" s="5" t="s">
        <v>3444</v>
      </c>
      <c r="AK581" s="12"/>
      <c r="AL581" s="12">
        <v>46182.0</v>
      </c>
      <c r="AM581" s="12"/>
      <c r="AN581" s="12"/>
      <c r="AO581" s="12"/>
      <c r="AP581" s="12"/>
      <c r="AQ581" s="12"/>
    </row>
    <row r="582">
      <c r="A582" s="5" t="s">
        <v>3445</v>
      </c>
      <c r="B582" s="5">
        <v>1.1398423E7</v>
      </c>
      <c r="C582" s="5" t="s">
        <v>37</v>
      </c>
      <c r="D582" s="5" t="s">
        <v>3446</v>
      </c>
      <c r="E582" s="5" t="s">
        <v>39</v>
      </c>
      <c r="F582" s="5" t="s">
        <v>3447</v>
      </c>
      <c r="G582" s="15">
        <v>6.28778E17</v>
      </c>
      <c r="H582" s="5" t="s">
        <v>3448</v>
      </c>
      <c r="I582" s="5" t="s">
        <v>42</v>
      </c>
      <c r="J582" s="5" t="s">
        <v>43</v>
      </c>
      <c r="K582" s="5">
        <v>8.7733785699E10</v>
      </c>
      <c r="L582" s="4" t="s">
        <v>44</v>
      </c>
      <c r="M582" s="5" t="s">
        <v>42</v>
      </c>
      <c r="N582" s="4" t="s">
        <v>45</v>
      </c>
      <c r="O582" s="4" t="s">
        <v>46</v>
      </c>
      <c r="P582" s="4" t="s">
        <v>47</v>
      </c>
      <c r="Q582" s="4">
        <v>16451.0</v>
      </c>
      <c r="R582" s="5" t="s">
        <v>3449</v>
      </c>
      <c r="S582" s="8">
        <v>46183.0</v>
      </c>
      <c r="T582" s="9">
        <v>0.375</v>
      </c>
      <c r="U582" s="9">
        <v>0.9166666666666666</v>
      </c>
      <c r="V582" s="4" t="s">
        <v>49</v>
      </c>
      <c r="W582" s="5">
        <v>1.0</v>
      </c>
      <c r="X582" s="5" t="b">
        <v>1</v>
      </c>
      <c r="Y582" s="5" t="s">
        <v>50</v>
      </c>
      <c r="Z582" s="5" t="b">
        <v>0</v>
      </c>
      <c r="AA582" s="10"/>
      <c r="AB582" s="4">
        <v>1.0</v>
      </c>
      <c r="AC582" s="11" t="s">
        <v>3450</v>
      </c>
      <c r="AD582" s="5">
        <v>0.0</v>
      </c>
      <c r="AE582" s="5">
        <v>1.0</v>
      </c>
      <c r="AF582" s="8">
        <v>46183.0</v>
      </c>
      <c r="AG582" s="9">
        <v>0.375</v>
      </c>
      <c r="AH582" s="9">
        <v>0.9166666666666666</v>
      </c>
      <c r="AI582" s="4" t="s">
        <v>49</v>
      </c>
      <c r="AJ582" s="5" t="s">
        <v>3451</v>
      </c>
      <c r="AK582" s="12"/>
      <c r="AL582" s="12">
        <v>46182.0</v>
      </c>
      <c r="AM582" s="12"/>
      <c r="AN582" s="12"/>
      <c r="AO582" s="12"/>
      <c r="AP582" s="12"/>
      <c r="AQ582" s="12"/>
    </row>
    <row r="583">
      <c r="A583" s="5" t="s">
        <v>3452</v>
      </c>
      <c r="B583" s="5">
        <v>1.1398423E7</v>
      </c>
      <c r="C583" s="5" t="s">
        <v>37</v>
      </c>
      <c r="D583" s="5" t="s">
        <v>3453</v>
      </c>
      <c r="E583" s="5" t="s">
        <v>39</v>
      </c>
      <c r="F583" s="5" t="s">
        <v>3454</v>
      </c>
      <c r="G583" s="15">
        <v>8.1288242508E10</v>
      </c>
      <c r="H583" s="5" t="s">
        <v>3455</v>
      </c>
      <c r="I583" s="5" t="s">
        <v>42</v>
      </c>
      <c r="J583" s="5" t="s">
        <v>43</v>
      </c>
      <c r="K583" s="5">
        <v>8.7733785699E10</v>
      </c>
      <c r="L583" s="4" t="s">
        <v>44</v>
      </c>
      <c r="M583" s="5" t="s">
        <v>42</v>
      </c>
      <c r="N583" s="4" t="s">
        <v>45</v>
      </c>
      <c r="O583" s="4" t="s">
        <v>46</v>
      </c>
      <c r="P583" s="4" t="s">
        <v>47</v>
      </c>
      <c r="Q583" s="4">
        <v>16451.0</v>
      </c>
      <c r="R583" s="5" t="s">
        <v>3456</v>
      </c>
      <c r="S583" s="8">
        <v>46183.0</v>
      </c>
      <c r="T583" s="9">
        <v>0.375</v>
      </c>
      <c r="U583" s="9">
        <v>0.9166666666666666</v>
      </c>
      <c r="V583" s="4" t="s">
        <v>49</v>
      </c>
      <c r="W583" s="5">
        <v>1.0</v>
      </c>
      <c r="X583" s="5" t="b">
        <v>1</v>
      </c>
      <c r="Y583" s="5" t="s">
        <v>50</v>
      </c>
      <c r="Z583" s="5" t="b">
        <v>0</v>
      </c>
      <c r="AA583" s="10"/>
      <c r="AB583" s="4">
        <v>1.0</v>
      </c>
      <c r="AC583" s="11" t="s">
        <v>3457</v>
      </c>
      <c r="AD583" s="5">
        <v>0.0</v>
      </c>
      <c r="AE583" s="5">
        <v>1.0</v>
      </c>
      <c r="AF583" s="8">
        <v>46183.0</v>
      </c>
      <c r="AG583" s="9">
        <v>0.375</v>
      </c>
      <c r="AH583" s="9">
        <v>0.9166666666666666</v>
      </c>
      <c r="AI583" s="4" t="s">
        <v>49</v>
      </c>
      <c r="AJ583" s="5" t="s">
        <v>3458</v>
      </c>
      <c r="AK583" s="12"/>
      <c r="AL583" s="12">
        <v>46182.0</v>
      </c>
      <c r="AM583" s="12"/>
      <c r="AN583" s="12"/>
      <c r="AO583" s="12"/>
      <c r="AP583" s="12"/>
      <c r="AQ583" s="12"/>
    </row>
    <row r="584">
      <c r="A584" s="5" t="s">
        <v>3459</v>
      </c>
      <c r="B584" s="5">
        <v>1.1398423E7</v>
      </c>
      <c r="C584" s="5" t="s">
        <v>37</v>
      </c>
      <c r="D584" s="5" t="s">
        <v>1497</v>
      </c>
      <c r="E584" s="5" t="s">
        <v>39</v>
      </c>
      <c r="F584" s="5" t="s">
        <v>1484</v>
      </c>
      <c r="G584" s="15">
        <v>6.28132E17</v>
      </c>
      <c r="H584" s="5" t="s">
        <v>1485</v>
      </c>
      <c r="I584" s="5" t="s">
        <v>42</v>
      </c>
      <c r="J584" s="5" t="s">
        <v>43</v>
      </c>
      <c r="K584" s="5">
        <v>8.7733785699E10</v>
      </c>
      <c r="L584" s="4" t="s">
        <v>44</v>
      </c>
      <c r="M584" s="5" t="s">
        <v>42</v>
      </c>
      <c r="N584" s="4" t="s">
        <v>45</v>
      </c>
      <c r="O584" s="4" t="s">
        <v>46</v>
      </c>
      <c r="P584" s="4" t="s">
        <v>47</v>
      </c>
      <c r="Q584" s="4">
        <v>16451.0</v>
      </c>
      <c r="R584" s="5" t="s">
        <v>3460</v>
      </c>
      <c r="S584" s="8">
        <v>46183.0</v>
      </c>
      <c r="T584" s="9">
        <v>0.375</v>
      </c>
      <c r="U584" s="9">
        <v>0.9166666666666666</v>
      </c>
      <c r="V584" s="4" t="s">
        <v>49</v>
      </c>
      <c r="W584" s="5">
        <v>1.0</v>
      </c>
      <c r="X584" s="5" t="b">
        <v>1</v>
      </c>
      <c r="Y584" s="5" t="s">
        <v>50</v>
      </c>
      <c r="Z584" s="5" t="b">
        <v>0</v>
      </c>
      <c r="AA584" s="10"/>
      <c r="AB584" s="4">
        <v>1.0</v>
      </c>
      <c r="AC584" s="11" t="s">
        <v>3461</v>
      </c>
      <c r="AD584" s="5">
        <v>0.0</v>
      </c>
      <c r="AE584" s="5">
        <v>1.0</v>
      </c>
      <c r="AF584" s="8">
        <v>46183.0</v>
      </c>
      <c r="AG584" s="9">
        <v>0.375</v>
      </c>
      <c r="AH584" s="9">
        <v>0.9166666666666666</v>
      </c>
      <c r="AI584" s="4" t="s">
        <v>49</v>
      </c>
      <c r="AJ584" s="5" t="s">
        <v>3462</v>
      </c>
      <c r="AK584" s="12"/>
      <c r="AL584" s="12">
        <v>46182.0</v>
      </c>
      <c r="AM584" s="12"/>
      <c r="AN584" s="12"/>
      <c r="AO584" s="12"/>
      <c r="AP584" s="12"/>
      <c r="AQ584" s="12"/>
    </row>
    <row r="585">
      <c r="A585" s="5" t="s">
        <v>3089</v>
      </c>
      <c r="B585" s="5">
        <v>1.1398423E7</v>
      </c>
      <c r="C585" s="5" t="s">
        <v>37</v>
      </c>
      <c r="D585" s="5" t="s">
        <v>3089</v>
      </c>
      <c r="E585" s="5" t="s">
        <v>39</v>
      </c>
      <c r="F585" s="5" t="s">
        <v>1926</v>
      </c>
      <c r="G585" s="15">
        <v>6.28132E17</v>
      </c>
      <c r="H585" s="5" t="s">
        <v>1927</v>
      </c>
      <c r="I585" s="5" t="s">
        <v>42</v>
      </c>
      <c r="J585" s="5" t="s">
        <v>43</v>
      </c>
      <c r="K585" s="5">
        <v>8.7733785699E10</v>
      </c>
      <c r="L585" s="4" t="s">
        <v>44</v>
      </c>
      <c r="M585" s="5" t="s">
        <v>42</v>
      </c>
      <c r="N585" s="4" t="s">
        <v>45</v>
      </c>
      <c r="O585" s="4" t="s">
        <v>46</v>
      </c>
      <c r="P585" s="4" t="s">
        <v>47</v>
      </c>
      <c r="Q585" s="4">
        <v>16451.0</v>
      </c>
      <c r="R585" s="5" t="s">
        <v>3463</v>
      </c>
      <c r="S585" s="8">
        <v>46183.0</v>
      </c>
      <c r="T585" s="9">
        <v>0.375</v>
      </c>
      <c r="U585" s="9">
        <v>0.9166666666666666</v>
      </c>
      <c r="V585" s="4" t="s">
        <v>49</v>
      </c>
      <c r="W585" s="5">
        <v>1.0</v>
      </c>
      <c r="X585" s="5" t="b">
        <v>1</v>
      </c>
      <c r="Y585" s="5" t="s">
        <v>50</v>
      </c>
      <c r="Z585" s="5" t="b">
        <v>0</v>
      </c>
      <c r="AA585" s="10"/>
      <c r="AB585" s="4">
        <v>1.0</v>
      </c>
      <c r="AC585" s="11" t="s">
        <v>3464</v>
      </c>
      <c r="AD585" s="5">
        <v>0.0</v>
      </c>
      <c r="AE585" s="5">
        <v>1.0</v>
      </c>
      <c r="AF585" s="8">
        <v>46183.0</v>
      </c>
      <c r="AG585" s="9">
        <v>0.375</v>
      </c>
      <c r="AH585" s="9">
        <v>0.9166666666666666</v>
      </c>
      <c r="AI585" s="4" t="s">
        <v>49</v>
      </c>
      <c r="AJ585" s="5" t="s">
        <v>3465</v>
      </c>
      <c r="AK585" s="12"/>
      <c r="AL585" s="12">
        <v>46182.0</v>
      </c>
      <c r="AM585" s="12"/>
      <c r="AN585" s="12"/>
      <c r="AO585" s="12"/>
      <c r="AP585" s="12"/>
      <c r="AQ585" s="12"/>
    </row>
    <row r="586">
      <c r="A586" s="5" t="s">
        <v>3466</v>
      </c>
      <c r="B586" s="5">
        <v>1.1398423E7</v>
      </c>
      <c r="C586" s="5" t="s">
        <v>37</v>
      </c>
      <c r="D586" s="5" t="s">
        <v>2780</v>
      </c>
      <c r="E586" s="5" t="s">
        <v>39</v>
      </c>
      <c r="F586" s="5" t="s">
        <v>3467</v>
      </c>
      <c r="G586" s="15">
        <v>8.5237305596E10</v>
      </c>
      <c r="H586" s="5" t="s">
        <v>3468</v>
      </c>
      <c r="I586" s="5" t="s">
        <v>42</v>
      </c>
      <c r="J586" s="5" t="s">
        <v>43</v>
      </c>
      <c r="K586" s="5">
        <v>8.7733785699E10</v>
      </c>
      <c r="L586" s="4" t="s">
        <v>44</v>
      </c>
      <c r="M586" s="5" t="s">
        <v>42</v>
      </c>
      <c r="N586" s="4" t="s">
        <v>45</v>
      </c>
      <c r="O586" s="4" t="s">
        <v>46</v>
      </c>
      <c r="P586" s="4" t="s">
        <v>47</v>
      </c>
      <c r="Q586" s="4">
        <v>16451.0</v>
      </c>
      <c r="R586" s="5" t="s">
        <v>3469</v>
      </c>
      <c r="S586" s="8">
        <v>46183.0</v>
      </c>
      <c r="T586" s="9">
        <v>0.375</v>
      </c>
      <c r="U586" s="9">
        <v>0.9166666666666666</v>
      </c>
      <c r="V586" s="4" t="s">
        <v>49</v>
      </c>
      <c r="W586" s="5">
        <v>1.0</v>
      </c>
      <c r="X586" s="5" t="b">
        <v>1</v>
      </c>
      <c r="Y586" s="5" t="s">
        <v>50</v>
      </c>
      <c r="Z586" s="5" t="b">
        <v>0</v>
      </c>
      <c r="AA586" s="10"/>
      <c r="AB586" s="4">
        <v>1.0</v>
      </c>
      <c r="AC586" s="11" t="s">
        <v>3470</v>
      </c>
      <c r="AD586" s="5">
        <v>0.0</v>
      </c>
      <c r="AE586" s="5">
        <v>1.0</v>
      </c>
      <c r="AF586" s="8">
        <v>46183.0</v>
      </c>
      <c r="AG586" s="9">
        <v>0.375</v>
      </c>
      <c r="AH586" s="9">
        <v>0.9166666666666666</v>
      </c>
      <c r="AI586" s="4" t="s">
        <v>49</v>
      </c>
      <c r="AJ586" s="5" t="s">
        <v>3471</v>
      </c>
      <c r="AK586" s="12"/>
      <c r="AL586" s="12">
        <v>46182.0</v>
      </c>
      <c r="AM586" s="12"/>
      <c r="AN586" s="12"/>
      <c r="AO586" s="12"/>
      <c r="AP586" s="12"/>
      <c r="AQ586" s="12"/>
    </row>
    <row r="587">
      <c r="A587" s="5" t="s">
        <v>3472</v>
      </c>
      <c r="B587" s="5">
        <v>1.1398423E7</v>
      </c>
      <c r="C587" s="5" t="s">
        <v>37</v>
      </c>
      <c r="D587" s="5" t="s">
        <v>1681</v>
      </c>
      <c r="E587" s="5" t="s">
        <v>39</v>
      </c>
      <c r="F587" s="5" t="s">
        <v>3473</v>
      </c>
      <c r="G587" s="15">
        <v>6.28132E17</v>
      </c>
      <c r="H587" s="5" t="s">
        <v>3474</v>
      </c>
      <c r="I587" s="5" t="s">
        <v>42</v>
      </c>
      <c r="J587" s="5" t="s">
        <v>43</v>
      </c>
      <c r="K587" s="5">
        <v>8.7733785699E10</v>
      </c>
      <c r="L587" s="4" t="s">
        <v>44</v>
      </c>
      <c r="M587" s="5" t="s">
        <v>42</v>
      </c>
      <c r="N587" s="4" t="s">
        <v>45</v>
      </c>
      <c r="O587" s="4" t="s">
        <v>46</v>
      </c>
      <c r="P587" s="4" t="s">
        <v>47</v>
      </c>
      <c r="Q587" s="4">
        <v>16451.0</v>
      </c>
      <c r="R587" s="5" t="s">
        <v>3475</v>
      </c>
      <c r="S587" s="8">
        <v>46183.0</v>
      </c>
      <c r="T587" s="9">
        <v>0.375</v>
      </c>
      <c r="U587" s="9">
        <v>0.9166666666666666</v>
      </c>
      <c r="V587" s="4" t="s">
        <v>49</v>
      </c>
      <c r="W587" s="5">
        <v>1.0</v>
      </c>
      <c r="X587" s="5" t="b">
        <v>1</v>
      </c>
      <c r="Y587" s="5" t="s">
        <v>50</v>
      </c>
      <c r="Z587" s="5" t="b">
        <v>0</v>
      </c>
      <c r="AA587" s="10"/>
      <c r="AB587" s="4">
        <v>1.0</v>
      </c>
      <c r="AC587" s="11" t="s">
        <v>3476</v>
      </c>
      <c r="AD587" s="5">
        <v>0.0</v>
      </c>
      <c r="AE587" s="5">
        <v>1.0</v>
      </c>
      <c r="AF587" s="8">
        <v>46183.0</v>
      </c>
      <c r="AG587" s="9">
        <v>0.375</v>
      </c>
      <c r="AH587" s="9">
        <v>0.9166666666666666</v>
      </c>
      <c r="AI587" s="4" t="s">
        <v>49</v>
      </c>
      <c r="AJ587" s="5" t="s">
        <v>3477</v>
      </c>
      <c r="AK587" s="12"/>
      <c r="AL587" s="12">
        <v>46182.0</v>
      </c>
      <c r="AM587" s="12"/>
      <c r="AN587" s="12"/>
      <c r="AO587" s="12"/>
      <c r="AP587" s="12"/>
      <c r="AQ587" s="12"/>
    </row>
    <row r="588">
      <c r="A588" s="5" t="s">
        <v>3478</v>
      </c>
      <c r="B588" s="5">
        <v>1.1398423E7</v>
      </c>
      <c r="C588" s="5" t="s">
        <v>37</v>
      </c>
      <c r="D588" s="5" t="s">
        <v>1778</v>
      </c>
      <c r="E588" s="5" t="s">
        <v>39</v>
      </c>
      <c r="F588" s="5" t="s">
        <v>3479</v>
      </c>
      <c r="G588" s="15">
        <v>8.129613974E10</v>
      </c>
      <c r="H588" s="5" t="s">
        <v>3480</v>
      </c>
      <c r="I588" s="5" t="s">
        <v>42</v>
      </c>
      <c r="J588" s="5" t="s">
        <v>43</v>
      </c>
      <c r="K588" s="5">
        <v>8.7733785699E10</v>
      </c>
      <c r="L588" s="4" t="s">
        <v>44</v>
      </c>
      <c r="M588" s="5" t="s">
        <v>42</v>
      </c>
      <c r="N588" s="4" t="s">
        <v>45</v>
      </c>
      <c r="O588" s="4" t="s">
        <v>46</v>
      </c>
      <c r="P588" s="4" t="s">
        <v>47</v>
      </c>
      <c r="Q588" s="4">
        <v>16451.0</v>
      </c>
      <c r="R588" s="5" t="s">
        <v>3481</v>
      </c>
      <c r="S588" s="8">
        <v>46183.0</v>
      </c>
      <c r="T588" s="9">
        <v>0.375</v>
      </c>
      <c r="U588" s="9">
        <v>0.9166666666666666</v>
      </c>
      <c r="V588" s="4" t="s">
        <v>49</v>
      </c>
      <c r="W588" s="5">
        <v>1.0</v>
      </c>
      <c r="X588" s="5" t="b">
        <v>1</v>
      </c>
      <c r="Y588" s="5" t="s">
        <v>50</v>
      </c>
      <c r="Z588" s="5" t="b">
        <v>0</v>
      </c>
      <c r="AA588" s="10"/>
      <c r="AB588" s="4">
        <v>1.0</v>
      </c>
      <c r="AC588" s="11" t="s">
        <v>3482</v>
      </c>
      <c r="AD588" s="5">
        <v>0.0</v>
      </c>
      <c r="AE588" s="5">
        <v>1.0</v>
      </c>
      <c r="AF588" s="8">
        <v>46183.0</v>
      </c>
      <c r="AG588" s="9">
        <v>0.375</v>
      </c>
      <c r="AH588" s="9">
        <v>0.9166666666666666</v>
      </c>
      <c r="AI588" s="4" t="s">
        <v>49</v>
      </c>
      <c r="AJ588" s="5" t="s">
        <v>3483</v>
      </c>
      <c r="AK588" s="12"/>
      <c r="AL588" s="12">
        <v>46182.0</v>
      </c>
      <c r="AM588" s="12"/>
      <c r="AN588" s="12"/>
      <c r="AO588" s="12"/>
      <c r="AP588" s="12"/>
      <c r="AQ588" s="12"/>
    </row>
    <row r="589">
      <c r="A589" s="5" t="s">
        <v>3484</v>
      </c>
      <c r="B589" s="5">
        <v>1.1398423E7</v>
      </c>
      <c r="C589" s="5" t="s">
        <v>37</v>
      </c>
      <c r="D589" s="5" t="s">
        <v>3485</v>
      </c>
      <c r="E589" s="5" t="s">
        <v>39</v>
      </c>
      <c r="F589" s="5" t="s">
        <v>200</v>
      </c>
      <c r="G589" s="15">
        <v>8.121956247E10</v>
      </c>
      <c r="H589" s="5" t="s">
        <v>201</v>
      </c>
      <c r="I589" s="5" t="s">
        <v>42</v>
      </c>
      <c r="J589" s="5" t="s">
        <v>43</v>
      </c>
      <c r="K589" s="5">
        <v>8.7733785699E10</v>
      </c>
      <c r="L589" s="4" t="s">
        <v>44</v>
      </c>
      <c r="M589" s="5" t="s">
        <v>42</v>
      </c>
      <c r="N589" s="4" t="s">
        <v>45</v>
      </c>
      <c r="O589" s="4" t="s">
        <v>46</v>
      </c>
      <c r="P589" s="4" t="s">
        <v>47</v>
      </c>
      <c r="Q589" s="4">
        <v>16451.0</v>
      </c>
      <c r="R589" s="5" t="s">
        <v>3486</v>
      </c>
      <c r="S589" s="8">
        <v>46183.0</v>
      </c>
      <c r="T589" s="9">
        <v>0.375</v>
      </c>
      <c r="U589" s="9">
        <v>0.9166666666666666</v>
      </c>
      <c r="V589" s="4" t="s">
        <v>49</v>
      </c>
      <c r="W589" s="5">
        <v>1.0</v>
      </c>
      <c r="X589" s="5" t="b">
        <v>1</v>
      </c>
      <c r="Y589" s="5" t="s">
        <v>50</v>
      </c>
      <c r="Z589" s="5" t="b">
        <v>0</v>
      </c>
      <c r="AA589" s="10"/>
      <c r="AB589" s="4">
        <v>1.0</v>
      </c>
      <c r="AC589" s="11" t="s">
        <v>3487</v>
      </c>
      <c r="AD589" s="5">
        <v>0.0</v>
      </c>
      <c r="AE589" s="5">
        <v>1.0</v>
      </c>
      <c r="AF589" s="8">
        <v>46183.0</v>
      </c>
      <c r="AG589" s="9">
        <v>0.375</v>
      </c>
      <c r="AH589" s="9">
        <v>0.9166666666666666</v>
      </c>
      <c r="AI589" s="4" t="s">
        <v>49</v>
      </c>
      <c r="AJ589" s="5" t="s">
        <v>3488</v>
      </c>
      <c r="AK589" s="12"/>
      <c r="AL589" s="12">
        <v>46182.0</v>
      </c>
      <c r="AM589" s="12"/>
      <c r="AN589" s="12"/>
      <c r="AO589" s="12"/>
      <c r="AP589" s="12"/>
      <c r="AQ589" s="12"/>
    </row>
    <row r="590">
      <c r="A590" s="5" t="s">
        <v>3489</v>
      </c>
      <c r="B590" s="5">
        <v>1.1398423E7</v>
      </c>
      <c r="C590" s="5" t="s">
        <v>37</v>
      </c>
      <c r="D590" s="5" t="s">
        <v>3490</v>
      </c>
      <c r="E590" s="5" t="s">
        <v>39</v>
      </c>
      <c r="F590" s="5" t="s">
        <v>2012</v>
      </c>
      <c r="G590" s="15">
        <v>6.28191E17</v>
      </c>
      <c r="H590" s="5" t="s">
        <v>2013</v>
      </c>
      <c r="I590" s="5" t="s">
        <v>42</v>
      </c>
      <c r="J590" s="5" t="s">
        <v>43</v>
      </c>
      <c r="K590" s="5">
        <v>8.7733785699E10</v>
      </c>
      <c r="L590" s="4" t="s">
        <v>44</v>
      </c>
      <c r="M590" s="5" t="s">
        <v>42</v>
      </c>
      <c r="N590" s="4" t="s">
        <v>45</v>
      </c>
      <c r="O590" s="4" t="s">
        <v>46</v>
      </c>
      <c r="P590" s="4" t="s">
        <v>47</v>
      </c>
      <c r="Q590" s="4">
        <v>16451.0</v>
      </c>
      <c r="R590" s="5" t="s">
        <v>3491</v>
      </c>
      <c r="S590" s="8">
        <v>46183.0</v>
      </c>
      <c r="T590" s="9">
        <v>0.375</v>
      </c>
      <c r="U590" s="9">
        <v>0.9166666666666666</v>
      </c>
      <c r="V590" s="4" t="s">
        <v>49</v>
      </c>
      <c r="W590" s="5">
        <v>1.0</v>
      </c>
      <c r="X590" s="5" t="b">
        <v>1</v>
      </c>
      <c r="Y590" s="5" t="s">
        <v>50</v>
      </c>
      <c r="Z590" s="5" t="b">
        <v>0</v>
      </c>
      <c r="AA590" s="10"/>
      <c r="AB590" s="4">
        <v>1.0</v>
      </c>
      <c r="AC590" s="11" t="s">
        <v>3492</v>
      </c>
      <c r="AD590" s="5">
        <v>0.0</v>
      </c>
      <c r="AE590" s="5">
        <v>1.0</v>
      </c>
      <c r="AF590" s="8">
        <v>46183.0</v>
      </c>
      <c r="AG590" s="9">
        <v>0.375</v>
      </c>
      <c r="AH590" s="9">
        <v>0.9166666666666666</v>
      </c>
      <c r="AI590" s="4" t="s">
        <v>49</v>
      </c>
      <c r="AJ590" s="5" t="s">
        <v>3493</v>
      </c>
      <c r="AK590" s="12"/>
      <c r="AL590" s="12">
        <v>46182.0</v>
      </c>
      <c r="AM590" s="12"/>
      <c r="AN590" s="12"/>
      <c r="AO590" s="12"/>
      <c r="AP590" s="12"/>
      <c r="AQ590" s="12"/>
    </row>
    <row r="591">
      <c r="A591" s="5" t="s">
        <v>3094</v>
      </c>
      <c r="B591" s="5">
        <v>1.1398423E7</v>
      </c>
      <c r="C591" s="5" t="s">
        <v>37</v>
      </c>
      <c r="D591" s="5" t="s">
        <v>3094</v>
      </c>
      <c r="E591" s="5" t="s">
        <v>39</v>
      </c>
      <c r="F591" s="5" t="s">
        <v>2012</v>
      </c>
      <c r="G591" s="15">
        <v>6.28191E17</v>
      </c>
      <c r="H591" s="5" t="s">
        <v>2013</v>
      </c>
      <c r="I591" s="5" t="s">
        <v>42</v>
      </c>
      <c r="J591" s="5" t="s">
        <v>43</v>
      </c>
      <c r="K591" s="5">
        <v>8.7733785699E10</v>
      </c>
      <c r="L591" s="4" t="s">
        <v>44</v>
      </c>
      <c r="M591" s="5" t="s">
        <v>42</v>
      </c>
      <c r="N591" s="4" t="s">
        <v>45</v>
      </c>
      <c r="O591" s="4" t="s">
        <v>46</v>
      </c>
      <c r="P591" s="4" t="s">
        <v>47</v>
      </c>
      <c r="Q591" s="4">
        <v>16451.0</v>
      </c>
      <c r="R591" s="5" t="s">
        <v>3494</v>
      </c>
      <c r="S591" s="8">
        <v>46183.0</v>
      </c>
      <c r="T591" s="9">
        <v>0.375</v>
      </c>
      <c r="U591" s="9">
        <v>0.9166666666666666</v>
      </c>
      <c r="V591" s="4" t="s">
        <v>49</v>
      </c>
      <c r="W591" s="5">
        <v>1.0</v>
      </c>
      <c r="X591" s="5" t="b">
        <v>1</v>
      </c>
      <c r="Y591" s="5" t="s">
        <v>50</v>
      </c>
      <c r="Z591" s="5" t="b">
        <v>0</v>
      </c>
      <c r="AA591" s="10"/>
      <c r="AB591" s="4">
        <v>1.0</v>
      </c>
      <c r="AC591" s="11" t="s">
        <v>3495</v>
      </c>
      <c r="AD591" s="5">
        <v>0.0</v>
      </c>
      <c r="AE591" s="5">
        <v>1.0</v>
      </c>
      <c r="AF591" s="8">
        <v>46183.0</v>
      </c>
      <c r="AG591" s="9">
        <v>0.375</v>
      </c>
      <c r="AH591" s="9">
        <v>0.9166666666666666</v>
      </c>
      <c r="AI591" s="4" t="s">
        <v>49</v>
      </c>
      <c r="AJ591" s="5" t="s">
        <v>3496</v>
      </c>
      <c r="AK591" s="12"/>
      <c r="AL591" s="12">
        <v>46182.0</v>
      </c>
      <c r="AM591" s="12"/>
      <c r="AN591" s="12"/>
      <c r="AO591" s="12"/>
      <c r="AP591" s="12"/>
      <c r="AQ591" s="12"/>
    </row>
    <row r="592">
      <c r="A592" s="5" t="s">
        <v>3497</v>
      </c>
      <c r="B592" s="5">
        <v>1.1398423E7</v>
      </c>
      <c r="C592" s="5" t="s">
        <v>37</v>
      </c>
      <c r="D592" s="5" t="s">
        <v>2320</v>
      </c>
      <c r="E592" s="5" t="s">
        <v>39</v>
      </c>
      <c r="F592" s="5" t="s">
        <v>2012</v>
      </c>
      <c r="G592" s="15">
        <v>6.28191E17</v>
      </c>
      <c r="H592" s="5" t="s">
        <v>2013</v>
      </c>
      <c r="I592" s="5" t="s">
        <v>42</v>
      </c>
      <c r="J592" s="5" t="s">
        <v>43</v>
      </c>
      <c r="K592" s="5">
        <v>8.7733785699E10</v>
      </c>
      <c r="L592" s="4" t="s">
        <v>44</v>
      </c>
      <c r="M592" s="5" t="s">
        <v>42</v>
      </c>
      <c r="N592" s="4" t="s">
        <v>45</v>
      </c>
      <c r="O592" s="4" t="s">
        <v>46</v>
      </c>
      <c r="P592" s="4" t="s">
        <v>47</v>
      </c>
      <c r="Q592" s="4">
        <v>16451.0</v>
      </c>
      <c r="R592" s="5" t="s">
        <v>3498</v>
      </c>
      <c r="S592" s="8">
        <v>46183.0</v>
      </c>
      <c r="T592" s="9">
        <v>0.375</v>
      </c>
      <c r="U592" s="9">
        <v>0.9166666666666666</v>
      </c>
      <c r="V592" s="4" t="s">
        <v>49</v>
      </c>
      <c r="W592" s="5">
        <v>1.0</v>
      </c>
      <c r="X592" s="5" t="b">
        <v>1</v>
      </c>
      <c r="Y592" s="5" t="s">
        <v>50</v>
      </c>
      <c r="Z592" s="5" t="b">
        <v>0</v>
      </c>
      <c r="AA592" s="10"/>
      <c r="AB592" s="4">
        <v>1.0</v>
      </c>
      <c r="AC592" s="11" t="s">
        <v>3499</v>
      </c>
      <c r="AD592" s="5">
        <v>0.0</v>
      </c>
      <c r="AE592" s="5">
        <v>1.0</v>
      </c>
      <c r="AF592" s="8">
        <v>46183.0</v>
      </c>
      <c r="AG592" s="9">
        <v>0.375</v>
      </c>
      <c r="AH592" s="9">
        <v>0.9166666666666666</v>
      </c>
      <c r="AI592" s="4" t="s">
        <v>49</v>
      </c>
      <c r="AJ592" s="5" t="s">
        <v>3500</v>
      </c>
      <c r="AK592" s="12"/>
      <c r="AL592" s="12">
        <v>46182.0</v>
      </c>
      <c r="AM592" s="12"/>
      <c r="AN592" s="12"/>
      <c r="AO592" s="12"/>
      <c r="AP592" s="12"/>
      <c r="AQ592" s="12"/>
    </row>
    <row r="593">
      <c r="A593" s="5" t="s">
        <v>3501</v>
      </c>
      <c r="B593" s="5">
        <v>1.1398423E7</v>
      </c>
      <c r="C593" s="5" t="s">
        <v>37</v>
      </c>
      <c r="D593" s="5" t="s">
        <v>1598</v>
      </c>
      <c r="E593" s="5" t="s">
        <v>39</v>
      </c>
      <c r="F593" s="5" t="s">
        <v>2012</v>
      </c>
      <c r="G593" s="15">
        <v>6.28191E17</v>
      </c>
      <c r="H593" s="5" t="s">
        <v>2013</v>
      </c>
      <c r="I593" s="5" t="s">
        <v>42</v>
      </c>
      <c r="J593" s="5" t="s">
        <v>43</v>
      </c>
      <c r="K593" s="5">
        <v>8.7733785699E10</v>
      </c>
      <c r="L593" s="4" t="s">
        <v>44</v>
      </c>
      <c r="M593" s="5" t="s">
        <v>42</v>
      </c>
      <c r="N593" s="4" t="s">
        <v>45</v>
      </c>
      <c r="O593" s="4" t="s">
        <v>46</v>
      </c>
      <c r="P593" s="4" t="s">
        <v>47</v>
      </c>
      <c r="Q593" s="4">
        <v>16451.0</v>
      </c>
      <c r="R593" s="5" t="s">
        <v>3502</v>
      </c>
      <c r="S593" s="8">
        <v>46183.0</v>
      </c>
      <c r="T593" s="9">
        <v>0.375</v>
      </c>
      <c r="U593" s="9">
        <v>0.9166666666666666</v>
      </c>
      <c r="V593" s="4" t="s">
        <v>49</v>
      </c>
      <c r="W593" s="5">
        <v>1.0</v>
      </c>
      <c r="X593" s="5" t="b">
        <v>1</v>
      </c>
      <c r="Y593" s="5" t="s">
        <v>50</v>
      </c>
      <c r="Z593" s="5" t="b">
        <v>0</v>
      </c>
      <c r="AA593" s="10"/>
      <c r="AB593" s="4">
        <v>1.0</v>
      </c>
      <c r="AC593" s="11" t="s">
        <v>3503</v>
      </c>
      <c r="AD593" s="5">
        <v>0.0</v>
      </c>
      <c r="AE593" s="5">
        <v>1.0</v>
      </c>
      <c r="AF593" s="8">
        <v>46183.0</v>
      </c>
      <c r="AG593" s="9">
        <v>0.375</v>
      </c>
      <c r="AH593" s="9">
        <v>0.9166666666666666</v>
      </c>
      <c r="AI593" s="4" t="s">
        <v>49</v>
      </c>
      <c r="AJ593" s="5" t="s">
        <v>3504</v>
      </c>
      <c r="AK593" s="12"/>
      <c r="AL593" s="12">
        <v>46182.0</v>
      </c>
      <c r="AM593" s="12"/>
      <c r="AN593" s="12"/>
      <c r="AO593" s="12"/>
      <c r="AP593" s="12"/>
      <c r="AQ593" s="12"/>
    </row>
    <row r="594">
      <c r="A594" s="5" t="s">
        <v>3099</v>
      </c>
      <c r="B594" s="5">
        <v>1.1398423E7</v>
      </c>
      <c r="C594" s="5" t="s">
        <v>37</v>
      </c>
      <c r="D594" s="5" t="s">
        <v>3099</v>
      </c>
      <c r="E594" s="5" t="s">
        <v>39</v>
      </c>
      <c r="F594" s="5" t="s">
        <v>3505</v>
      </c>
      <c r="G594" s="15">
        <v>6.28577E17</v>
      </c>
      <c r="H594" s="5" t="s">
        <v>3506</v>
      </c>
      <c r="I594" s="5" t="s">
        <v>42</v>
      </c>
      <c r="J594" s="5" t="s">
        <v>43</v>
      </c>
      <c r="K594" s="5">
        <v>8.7733785699E10</v>
      </c>
      <c r="L594" s="4" t="s">
        <v>44</v>
      </c>
      <c r="M594" s="5" t="s">
        <v>42</v>
      </c>
      <c r="N594" s="4" t="s">
        <v>45</v>
      </c>
      <c r="O594" s="4" t="s">
        <v>46</v>
      </c>
      <c r="P594" s="4" t="s">
        <v>47</v>
      </c>
      <c r="Q594" s="4">
        <v>16451.0</v>
      </c>
      <c r="R594" s="5" t="s">
        <v>3507</v>
      </c>
      <c r="S594" s="8">
        <v>46183.0</v>
      </c>
      <c r="T594" s="9">
        <v>0.375</v>
      </c>
      <c r="U594" s="9">
        <v>0.9166666666666666</v>
      </c>
      <c r="V594" s="4" t="s">
        <v>49</v>
      </c>
      <c r="W594" s="5">
        <v>1.0</v>
      </c>
      <c r="X594" s="5" t="b">
        <v>1</v>
      </c>
      <c r="Y594" s="5" t="s">
        <v>50</v>
      </c>
      <c r="Z594" s="5" t="b">
        <v>0</v>
      </c>
      <c r="AA594" s="10"/>
      <c r="AB594" s="4">
        <v>1.0</v>
      </c>
      <c r="AC594" s="11" t="s">
        <v>3508</v>
      </c>
      <c r="AD594" s="5">
        <v>0.0</v>
      </c>
      <c r="AE594" s="5">
        <v>1.0</v>
      </c>
      <c r="AF594" s="8">
        <v>46183.0</v>
      </c>
      <c r="AG594" s="9">
        <v>0.375</v>
      </c>
      <c r="AH594" s="9">
        <v>0.9166666666666666</v>
      </c>
      <c r="AI594" s="4" t="s">
        <v>49</v>
      </c>
      <c r="AJ594" s="5" t="s">
        <v>3509</v>
      </c>
      <c r="AK594" s="12"/>
      <c r="AL594" s="12">
        <v>46182.0</v>
      </c>
      <c r="AM594" s="12"/>
      <c r="AN594" s="12"/>
      <c r="AO594" s="12"/>
      <c r="AP594" s="12"/>
      <c r="AQ594" s="12"/>
    </row>
    <row r="595">
      <c r="A595" s="5" t="s">
        <v>3510</v>
      </c>
      <c r="B595" s="5">
        <v>1.1398423E7</v>
      </c>
      <c r="C595" s="5" t="s">
        <v>37</v>
      </c>
      <c r="D595" s="5" t="s">
        <v>3511</v>
      </c>
      <c r="E595" s="5" t="s">
        <v>39</v>
      </c>
      <c r="F595" s="5" t="s">
        <v>3512</v>
      </c>
      <c r="G595" s="15">
        <v>8.138122177E10</v>
      </c>
      <c r="H595" s="5" t="s">
        <v>3513</v>
      </c>
      <c r="I595" s="5" t="s">
        <v>42</v>
      </c>
      <c r="J595" s="5" t="s">
        <v>43</v>
      </c>
      <c r="K595" s="5">
        <v>8.7733785699E10</v>
      </c>
      <c r="L595" s="4" t="s">
        <v>44</v>
      </c>
      <c r="M595" s="5" t="s">
        <v>42</v>
      </c>
      <c r="N595" s="4" t="s">
        <v>45</v>
      </c>
      <c r="O595" s="4" t="s">
        <v>46</v>
      </c>
      <c r="P595" s="4" t="s">
        <v>47</v>
      </c>
      <c r="Q595" s="4">
        <v>16451.0</v>
      </c>
      <c r="R595" s="5" t="s">
        <v>3514</v>
      </c>
      <c r="S595" s="8">
        <v>46183.0</v>
      </c>
      <c r="T595" s="9">
        <v>0.375</v>
      </c>
      <c r="U595" s="9">
        <v>0.9166666666666666</v>
      </c>
      <c r="V595" s="4" t="s">
        <v>49</v>
      </c>
      <c r="W595" s="5">
        <v>1.0</v>
      </c>
      <c r="X595" s="5" t="b">
        <v>1</v>
      </c>
      <c r="Y595" s="5" t="s">
        <v>50</v>
      </c>
      <c r="Z595" s="5" t="b">
        <v>0</v>
      </c>
      <c r="AA595" s="10"/>
      <c r="AB595" s="4">
        <v>1.0</v>
      </c>
      <c r="AC595" s="11" t="s">
        <v>3515</v>
      </c>
      <c r="AD595" s="5">
        <v>0.0</v>
      </c>
      <c r="AE595" s="5">
        <v>1.0</v>
      </c>
      <c r="AF595" s="8">
        <v>46183.0</v>
      </c>
      <c r="AG595" s="9">
        <v>0.375</v>
      </c>
      <c r="AH595" s="9">
        <v>0.9166666666666666</v>
      </c>
      <c r="AI595" s="4" t="s">
        <v>49</v>
      </c>
      <c r="AJ595" s="5" t="s">
        <v>3516</v>
      </c>
      <c r="AK595" s="12"/>
      <c r="AL595" s="12">
        <v>46182.0</v>
      </c>
      <c r="AM595" s="12"/>
      <c r="AN595" s="12"/>
      <c r="AO595" s="12"/>
      <c r="AP595" s="12"/>
      <c r="AQ595" s="12"/>
    </row>
    <row r="596">
      <c r="A596" s="5" t="s">
        <v>3517</v>
      </c>
      <c r="B596" s="5">
        <v>1.1398423E7</v>
      </c>
      <c r="C596" s="5" t="s">
        <v>37</v>
      </c>
      <c r="D596" s="5" t="s">
        <v>3518</v>
      </c>
      <c r="E596" s="5" t="s">
        <v>39</v>
      </c>
      <c r="F596" s="5" t="s">
        <v>3512</v>
      </c>
      <c r="G596" s="15">
        <v>8.138122177E10</v>
      </c>
      <c r="H596" s="5" t="s">
        <v>3513</v>
      </c>
      <c r="I596" s="5" t="s">
        <v>42</v>
      </c>
      <c r="J596" s="5" t="s">
        <v>43</v>
      </c>
      <c r="K596" s="5">
        <v>8.7733785699E10</v>
      </c>
      <c r="L596" s="4" t="s">
        <v>44</v>
      </c>
      <c r="M596" s="5" t="s">
        <v>42</v>
      </c>
      <c r="N596" s="4" t="s">
        <v>45</v>
      </c>
      <c r="O596" s="4" t="s">
        <v>46</v>
      </c>
      <c r="P596" s="4" t="s">
        <v>47</v>
      </c>
      <c r="Q596" s="4">
        <v>16451.0</v>
      </c>
      <c r="R596" s="5" t="s">
        <v>3519</v>
      </c>
      <c r="S596" s="8">
        <v>46183.0</v>
      </c>
      <c r="T596" s="9">
        <v>0.375</v>
      </c>
      <c r="U596" s="9">
        <v>0.9166666666666666</v>
      </c>
      <c r="V596" s="4" t="s">
        <v>49</v>
      </c>
      <c r="W596" s="5">
        <v>1.0</v>
      </c>
      <c r="X596" s="5" t="b">
        <v>1</v>
      </c>
      <c r="Y596" s="5" t="s">
        <v>50</v>
      </c>
      <c r="Z596" s="5" t="b">
        <v>0</v>
      </c>
      <c r="AA596" s="10"/>
      <c r="AB596" s="4">
        <v>1.0</v>
      </c>
      <c r="AC596" s="11" t="s">
        <v>3520</v>
      </c>
      <c r="AD596" s="5">
        <v>0.0</v>
      </c>
      <c r="AE596" s="5">
        <v>1.0</v>
      </c>
      <c r="AF596" s="8">
        <v>46183.0</v>
      </c>
      <c r="AG596" s="9">
        <v>0.375</v>
      </c>
      <c r="AH596" s="9">
        <v>0.9166666666666666</v>
      </c>
      <c r="AI596" s="4" t="s">
        <v>49</v>
      </c>
      <c r="AJ596" s="5" t="s">
        <v>3521</v>
      </c>
      <c r="AK596" s="12"/>
      <c r="AL596" s="12">
        <v>46182.0</v>
      </c>
      <c r="AM596" s="12"/>
      <c r="AN596" s="12"/>
      <c r="AO596" s="12"/>
      <c r="AP596" s="12"/>
      <c r="AQ596" s="12"/>
    </row>
    <row r="597">
      <c r="A597" s="5" t="s">
        <v>3522</v>
      </c>
      <c r="B597" s="5">
        <v>1.1398423E7</v>
      </c>
      <c r="C597" s="5" t="s">
        <v>37</v>
      </c>
      <c r="D597" s="5" t="s">
        <v>3523</v>
      </c>
      <c r="E597" s="5" t="s">
        <v>39</v>
      </c>
      <c r="F597" s="5" t="s">
        <v>895</v>
      </c>
      <c r="G597" s="15">
        <v>6.28822E17</v>
      </c>
      <c r="H597" s="5" t="s">
        <v>896</v>
      </c>
      <c r="I597" s="5" t="s">
        <v>42</v>
      </c>
      <c r="J597" s="5" t="s">
        <v>43</v>
      </c>
      <c r="K597" s="5">
        <v>8.7733785699E10</v>
      </c>
      <c r="L597" s="4" t="s">
        <v>44</v>
      </c>
      <c r="M597" s="5" t="s">
        <v>42</v>
      </c>
      <c r="N597" s="4" t="s">
        <v>45</v>
      </c>
      <c r="O597" s="4" t="s">
        <v>46</v>
      </c>
      <c r="P597" s="4" t="s">
        <v>47</v>
      </c>
      <c r="Q597" s="4">
        <v>16451.0</v>
      </c>
      <c r="R597" s="5" t="s">
        <v>3524</v>
      </c>
      <c r="S597" s="8">
        <v>46183.0</v>
      </c>
      <c r="T597" s="9">
        <v>0.375</v>
      </c>
      <c r="U597" s="9">
        <v>0.9166666666666666</v>
      </c>
      <c r="V597" s="4" t="s">
        <v>49</v>
      </c>
      <c r="W597" s="5">
        <v>1.0</v>
      </c>
      <c r="X597" s="5" t="b">
        <v>1</v>
      </c>
      <c r="Y597" s="5" t="s">
        <v>50</v>
      </c>
      <c r="Z597" s="5" t="b">
        <v>0</v>
      </c>
      <c r="AA597" s="10"/>
      <c r="AB597" s="4">
        <v>1.0</v>
      </c>
      <c r="AC597" s="11" t="s">
        <v>3525</v>
      </c>
      <c r="AD597" s="5">
        <v>0.0</v>
      </c>
      <c r="AE597" s="5">
        <v>1.0</v>
      </c>
      <c r="AF597" s="8">
        <v>46183.0</v>
      </c>
      <c r="AG597" s="9">
        <v>0.375</v>
      </c>
      <c r="AH597" s="9">
        <v>0.9166666666666666</v>
      </c>
      <c r="AI597" s="4" t="s">
        <v>49</v>
      </c>
      <c r="AJ597" s="5" t="s">
        <v>3526</v>
      </c>
      <c r="AK597" s="12"/>
      <c r="AL597" s="12">
        <v>46182.0</v>
      </c>
      <c r="AM597" s="12"/>
      <c r="AN597" s="12"/>
      <c r="AO597" s="12"/>
      <c r="AP597" s="12"/>
      <c r="AQ597" s="12"/>
    </row>
    <row r="598">
      <c r="A598" s="5" t="s">
        <v>3527</v>
      </c>
      <c r="B598" s="5">
        <v>1.1398423E7</v>
      </c>
      <c r="C598" s="5" t="s">
        <v>37</v>
      </c>
      <c r="D598" s="5" t="s">
        <v>3528</v>
      </c>
      <c r="E598" s="5" t="s">
        <v>39</v>
      </c>
      <c r="F598" s="5" t="s">
        <v>3529</v>
      </c>
      <c r="G598" s="15">
        <v>8.5921532156E10</v>
      </c>
      <c r="H598" s="5" t="s">
        <v>3530</v>
      </c>
      <c r="I598" s="5" t="s">
        <v>42</v>
      </c>
      <c r="J598" s="5" t="s">
        <v>43</v>
      </c>
      <c r="K598" s="5">
        <v>8.7733785699E10</v>
      </c>
      <c r="L598" s="4" t="s">
        <v>44</v>
      </c>
      <c r="M598" s="5" t="s">
        <v>42</v>
      </c>
      <c r="N598" s="4" t="s">
        <v>45</v>
      </c>
      <c r="O598" s="4" t="s">
        <v>46</v>
      </c>
      <c r="P598" s="4" t="s">
        <v>47</v>
      </c>
      <c r="Q598" s="4">
        <v>16451.0</v>
      </c>
      <c r="R598" s="5" t="s">
        <v>3531</v>
      </c>
      <c r="S598" s="8">
        <v>46184.0</v>
      </c>
      <c r="T598" s="9">
        <v>0.375</v>
      </c>
      <c r="U598" s="9">
        <v>0.9166666666666666</v>
      </c>
      <c r="V598" s="4" t="s">
        <v>49</v>
      </c>
      <c r="W598" s="5">
        <v>1.0</v>
      </c>
      <c r="X598" s="5" t="b">
        <v>1</v>
      </c>
      <c r="Y598" s="5" t="s">
        <v>50</v>
      </c>
      <c r="Z598" s="5" t="b">
        <v>0</v>
      </c>
      <c r="AA598" s="10"/>
      <c r="AB598" s="4">
        <v>1.0</v>
      </c>
      <c r="AC598" s="11" t="s">
        <v>3532</v>
      </c>
      <c r="AD598" s="5">
        <v>0.0</v>
      </c>
      <c r="AE598" s="5">
        <v>1.0</v>
      </c>
      <c r="AF598" s="8">
        <v>46184.0</v>
      </c>
      <c r="AG598" s="9">
        <v>0.375</v>
      </c>
      <c r="AH598" s="9">
        <v>0.9166666666666666</v>
      </c>
      <c r="AI598" s="4" t="s">
        <v>49</v>
      </c>
      <c r="AJ598" s="5" t="s">
        <v>3533</v>
      </c>
      <c r="AK598" s="12"/>
      <c r="AL598" s="12"/>
      <c r="AM598" s="12"/>
      <c r="AN598" s="12"/>
      <c r="AO598" s="12"/>
      <c r="AP598" s="12"/>
      <c r="AQ598" s="12"/>
    </row>
    <row r="599">
      <c r="A599" s="5" t="s">
        <v>3534</v>
      </c>
      <c r="B599" s="5">
        <v>1.1398423E7</v>
      </c>
      <c r="C599" s="5" t="s">
        <v>37</v>
      </c>
      <c r="D599" s="5" t="s">
        <v>3535</v>
      </c>
      <c r="E599" s="5" t="s">
        <v>39</v>
      </c>
      <c r="F599" s="5" t="s">
        <v>3536</v>
      </c>
      <c r="G599" s="15">
        <v>8.1380008951E10</v>
      </c>
      <c r="H599" s="5" t="s">
        <v>3537</v>
      </c>
      <c r="I599" s="5" t="s">
        <v>42</v>
      </c>
      <c r="J599" s="5" t="s">
        <v>43</v>
      </c>
      <c r="K599" s="5">
        <v>8.7733785699E10</v>
      </c>
      <c r="L599" s="4" t="s">
        <v>44</v>
      </c>
      <c r="M599" s="5" t="s">
        <v>42</v>
      </c>
      <c r="N599" s="4" t="s">
        <v>45</v>
      </c>
      <c r="O599" s="4" t="s">
        <v>46</v>
      </c>
      <c r="P599" s="4" t="s">
        <v>47</v>
      </c>
      <c r="Q599" s="4">
        <v>16451.0</v>
      </c>
      <c r="R599" s="5" t="s">
        <v>3538</v>
      </c>
      <c r="S599" s="8">
        <v>46184.0</v>
      </c>
      <c r="T599" s="9">
        <v>0.375</v>
      </c>
      <c r="U599" s="9">
        <v>0.9166666666666666</v>
      </c>
      <c r="V599" s="4" t="s">
        <v>49</v>
      </c>
      <c r="W599" s="5">
        <v>1.0</v>
      </c>
      <c r="X599" s="5" t="b">
        <v>1</v>
      </c>
      <c r="Y599" s="5" t="s">
        <v>50</v>
      </c>
      <c r="Z599" s="5" t="b">
        <v>0</v>
      </c>
      <c r="AA599" s="10"/>
      <c r="AB599" s="4">
        <v>1.0</v>
      </c>
      <c r="AC599" s="11" t="s">
        <v>3539</v>
      </c>
      <c r="AD599" s="5">
        <v>0.0</v>
      </c>
      <c r="AE599" s="5">
        <v>1.0</v>
      </c>
      <c r="AF599" s="8">
        <v>46184.0</v>
      </c>
      <c r="AG599" s="9">
        <v>0.375</v>
      </c>
      <c r="AH599" s="9">
        <v>0.9166666666666666</v>
      </c>
      <c r="AI599" s="4" t="s">
        <v>49</v>
      </c>
      <c r="AJ599" s="5" t="s">
        <v>3540</v>
      </c>
      <c r="AK599" s="12"/>
      <c r="AL599" s="12"/>
      <c r="AM599" s="12"/>
      <c r="AN599" s="12"/>
      <c r="AO599" s="12"/>
      <c r="AP599" s="12"/>
      <c r="AQ599" s="12"/>
    </row>
    <row r="600">
      <c r="A600" s="5" t="s">
        <v>3541</v>
      </c>
      <c r="B600" s="5">
        <v>1.1398423E7</v>
      </c>
      <c r="C600" s="5" t="s">
        <v>37</v>
      </c>
      <c r="D600" s="5" t="s">
        <v>3542</v>
      </c>
      <c r="E600" s="5" t="s">
        <v>39</v>
      </c>
      <c r="F600" s="5" t="s">
        <v>3536</v>
      </c>
      <c r="G600" s="15">
        <v>8.1380008951E10</v>
      </c>
      <c r="H600" s="5" t="s">
        <v>3537</v>
      </c>
      <c r="I600" s="5" t="s">
        <v>42</v>
      </c>
      <c r="J600" s="5" t="s">
        <v>43</v>
      </c>
      <c r="K600" s="5">
        <v>8.7733785699E10</v>
      </c>
      <c r="L600" s="4" t="s">
        <v>44</v>
      </c>
      <c r="M600" s="5" t="s">
        <v>42</v>
      </c>
      <c r="N600" s="4" t="s">
        <v>45</v>
      </c>
      <c r="O600" s="4" t="s">
        <v>46</v>
      </c>
      <c r="P600" s="4" t="s">
        <v>47</v>
      </c>
      <c r="Q600" s="4">
        <v>16451.0</v>
      </c>
      <c r="R600" s="5" t="s">
        <v>3543</v>
      </c>
      <c r="S600" s="8">
        <v>46184.0</v>
      </c>
      <c r="T600" s="9">
        <v>0.375</v>
      </c>
      <c r="U600" s="9">
        <v>0.9166666666666666</v>
      </c>
      <c r="V600" s="4" t="s">
        <v>49</v>
      </c>
      <c r="W600" s="5">
        <v>1.0</v>
      </c>
      <c r="X600" s="5" t="b">
        <v>1</v>
      </c>
      <c r="Y600" s="5" t="s">
        <v>50</v>
      </c>
      <c r="Z600" s="5" t="b">
        <v>0</v>
      </c>
      <c r="AA600" s="10"/>
      <c r="AB600" s="4">
        <v>1.0</v>
      </c>
      <c r="AC600" s="11" t="s">
        <v>3544</v>
      </c>
      <c r="AD600" s="5">
        <v>0.0</v>
      </c>
      <c r="AE600" s="5">
        <v>1.0</v>
      </c>
      <c r="AF600" s="8">
        <v>46184.0</v>
      </c>
      <c r="AG600" s="9">
        <v>0.375</v>
      </c>
      <c r="AH600" s="9">
        <v>0.9166666666666666</v>
      </c>
      <c r="AI600" s="4" t="s">
        <v>49</v>
      </c>
      <c r="AJ600" s="5" t="s">
        <v>3545</v>
      </c>
      <c r="AK600" s="12"/>
      <c r="AL600" s="12"/>
      <c r="AM600" s="12"/>
      <c r="AN600" s="12"/>
      <c r="AO600" s="12"/>
      <c r="AP600" s="12"/>
      <c r="AQ600" s="12"/>
    </row>
    <row r="601">
      <c r="A601" s="5" t="s">
        <v>3546</v>
      </c>
      <c r="B601" s="5">
        <v>1.1398423E7</v>
      </c>
      <c r="C601" s="5" t="s">
        <v>37</v>
      </c>
      <c r="D601" s="5" t="s">
        <v>3547</v>
      </c>
      <c r="E601" s="5" t="s">
        <v>39</v>
      </c>
      <c r="F601" s="5" t="s">
        <v>3548</v>
      </c>
      <c r="G601" s="15">
        <v>8.131010856E10</v>
      </c>
      <c r="H601" s="5" t="s">
        <v>3549</v>
      </c>
      <c r="I601" s="5" t="s">
        <v>42</v>
      </c>
      <c r="J601" s="5" t="s">
        <v>43</v>
      </c>
      <c r="K601" s="5">
        <v>8.7733785699E10</v>
      </c>
      <c r="L601" s="4" t="s">
        <v>44</v>
      </c>
      <c r="M601" s="5" t="s">
        <v>42</v>
      </c>
      <c r="N601" s="4" t="s">
        <v>45</v>
      </c>
      <c r="O601" s="4" t="s">
        <v>46</v>
      </c>
      <c r="P601" s="4" t="s">
        <v>47</v>
      </c>
      <c r="Q601" s="4">
        <v>16451.0</v>
      </c>
      <c r="R601" s="5" t="s">
        <v>3550</v>
      </c>
      <c r="S601" s="8">
        <v>46184.0</v>
      </c>
      <c r="T601" s="9">
        <v>0.375</v>
      </c>
      <c r="U601" s="9">
        <v>0.9166666666666666</v>
      </c>
      <c r="V601" s="4" t="s">
        <v>49</v>
      </c>
      <c r="W601" s="5">
        <v>1.0</v>
      </c>
      <c r="X601" s="5" t="b">
        <v>1</v>
      </c>
      <c r="Y601" s="5" t="s">
        <v>50</v>
      </c>
      <c r="Z601" s="5" t="b">
        <v>0</v>
      </c>
      <c r="AA601" s="10"/>
      <c r="AB601" s="4">
        <v>1.0</v>
      </c>
      <c r="AC601" s="11" t="s">
        <v>3551</v>
      </c>
      <c r="AD601" s="5">
        <v>0.0</v>
      </c>
      <c r="AE601" s="5">
        <v>1.0</v>
      </c>
      <c r="AF601" s="8">
        <v>46184.0</v>
      </c>
      <c r="AG601" s="9">
        <v>0.375</v>
      </c>
      <c r="AH601" s="9">
        <v>0.9166666666666666</v>
      </c>
      <c r="AI601" s="4" t="s">
        <v>49</v>
      </c>
      <c r="AJ601" s="5" t="s">
        <v>3552</v>
      </c>
      <c r="AK601" s="12"/>
      <c r="AL601" s="12"/>
      <c r="AM601" s="12"/>
      <c r="AN601" s="12"/>
      <c r="AO601" s="12"/>
      <c r="AP601" s="12"/>
      <c r="AQ601" s="12"/>
    </row>
    <row r="602">
      <c r="A602" s="5" t="s">
        <v>3553</v>
      </c>
      <c r="B602" s="5">
        <v>1.1398423E7</v>
      </c>
      <c r="C602" s="5" t="s">
        <v>37</v>
      </c>
      <c r="D602" s="5" t="s">
        <v>3554</v>
      </c>
      <c r="E602" s="5" t="s">
        <v>39</v>
      </c>
      <c r="F602" s="5" t="s">
        <v>3555</v>
      </c>
      <c r="G602" s="15">
        <v>8.1386012303E10</v>
      </c>
      <c r="H602" s="5" t="s">
        <v>3556</v>
      </c>
      <c r="I602" s="5" t="s">
        <v>42</v>
      </c>
      <c r="J602" s="5" t="s">
        <v>43</v>
      </c>
      <c r="K602" s="5">
        <v>8.7733785699E10</v>
      </c>
      <c r="L602" s="4" t="s">
        <v>44</v>
      </c>
      <c r="M602" s="5" t="s">
        <v>42</v>
      </c>
      <c r="N602" s="4" t="s">
        <v>45</v>
      </c>
      <c r="O602" s="4" t="s">
        <v>46</v>
      </c>
      <c r="P602" s="4" t="s">
        <v>47</v>
      </c>
      <c r="Q602" s="4">
        <v>16451.0</v>
      </c>
      <c r="R602" s="5" t="s">
        <v>3557</v>
      </c>
      <c r="S602" s="8">
        <v>46184.0</v>
      </c>
      <c r="T602" s="9">
        <v>0.375</v>
      </c>
      <c r="U602" s="9">
        <v>0.9166666666666666</v>
      </c>
      <c r="V602" s="4" t="s">
        <v>49</v>
      </c>
      <c r="W602" s="5">
        <v>1.0</v>
      </c>
      <c r="X602" s="5" t="b">
        <v>1</v>
      </c>
      <c r="Y602" s="5" t="s">
        <v>50</v>
      </c>
      <c r="Z602" s="5" t="b">
        <v>0</v>
      </c>
      <c r="AA602" s="10"/>
      <c r="AB602" s="4">
        <v>1.0</v>
      </c>
      <c r="AC602" s="11" t="s">
        <v>3558</v>
      </c>
      <c r="AD602" s="5">
        <v>0.0</v>
      </c>
      <c r="AE602" s="5">
        <v>1.0</v>
      </c>
      <c r="AF602" s="8">
        <v>46184.0</v>
      </c>
      <c r="AG602" s="9">
        <v>0.375</v>
      </c>
      <c r="AH602" s="9">
        <v>0.9166666666666666</v>
      </c>
      <c r="AI602" s="4" t="s">
        <v>49</v>
      </c>
      <c r="AJ602" s="5" t="s">
        <v>3559</v>
      </c>
      <c r="AK602" s="12"/>
      <c r="AL602" s="12"/>
      <c r="AM602" s="12"/>
      <c r="AN602" s="12"/>
      <c r="AO602" s="12"/>
      <c r="AP602" s="12"/>
      <c r="AQ602" s="12"/>
    </row>
    <row r="603">
      <c r="A603" s="5" t="s">
        <v>3560</v>
      </c>
      <c r="B603" s="5">
        <v>1.1398423E7</v>
      </c>
      <c r="C603" s="5" t="s">
        <v>37</v>
      </c>
      <c r="D603" s="5" t="s">
        <v>3561</v>
      </c>
      <c r="E603" s="5" t="s">
        <v>39</v>
      </c>
      <c r="F603" s="5" t="s">
        <v>3562</v>
      </c>
      <c r="G603" s="15">
        <v>8.1287727501E10</v>
      </c>
      <c r="H603" s="5" t="s">
        <v>3563</v>
      </c>
      <c r="I603" s="5" t="s">
        <v>42</v>
      </c>
      <c r="J603" s="5" t="s">
        <v>43</v>
      </c>
      <c r="K603" s="5">
        <v>8.7733785699E10</v>
      </c>
      <c r="L603" s="4" t="s">
        <v>44</v>
      </c>
      <c r="M603" s="5" t="s">
        <v>42</v>
      </c>
      <c r="N603" s="4" t="s">
        <v>45</v>
      </c>
      <c r="O603" s="4" t="s">
        <v>46</v>
      </c>
      <c r="P603" s="4" t="s">
        <v>47</v>
      </c>
      <c r="Q603" s="4">
        <v>16451.0</v>
      </c>
      <c r="R603" s="5" t="s">
        <v>3564</v>
      </c>
      <c r="S603" s="8">
        <v>46184.0</v>
      </c>
      <c r="T603" s="9">
        <v>0.375</v>
      </c>
      <c r="U603" s="9">
        <v>0.9166666666666666</v>
      </c>
      <c r="V603" s="4" t="s">
        <v>49</v>
      </c>
      <c r="W603" s="5">
        <v>1.0</v>
      </c>
      <c r="X603" s="5" t="b">
        <v>1</v>
      </c>
      <c r="Y603" s="5" t="s">
        <v>50</v>
      </c>
      <c r="Z603" s="5" t="b">
        <v>0</v>
      </c>
      <c r="AA603" s="10"/>
      <c r="AB603" s="4">
        <v>1.0</v>
      </c>
      <c r="AC603" s="11" t="s">
        <v>3565</v>
      </c>
      <c r="AD603" s="5">
        <v>0.0</v>
      </c>
      <c r="AE603" s="5">
        <v>1.0</v>
      </c>
      <c r="AF603" s="8">
        <v>46184.0</v>
      </c>
      <c r="AG603" s="9">
        <v>0.375</v>
      </c>
      <c r="AH603" s="9">
        <v>0.9166666666666666</v>
      </c>
      <c r="AI603" s="4" t="s">
        <v>49</v>
      </c>
      <c r="AJ603" s="5" t="s">
        <v>3566</v>
      </c>
      <c r="AK603" s="12"/>
      <c r="AL603" s="12"/>
      <c r="AM603" s="12"/>
      <c r="AN603" s="12"/>
      <c r="AO603" s="12"/>
      <c r="AP603" s="12"/>
      <c r="AQ603" s="12"/>
    </row>
    <row r="604">
      <c r="A604" s="5" t="s">
        <v>3567</v>
      </c>
      <c r="B604" s="5">
        <v>1.1398423E7</v>
      </c>
      <c r="C604" s="5" t="s">
        <v>37</v>
      </c>
      <c r="D604" s="5" t="s">
        <v>3568</v>
      </c>
      <c r="E604" s="5" t="s">
        <v>39</v>
      </c>
      <c r="F604" s="5" t="s">
        <v>376</v>
      </c>
      <c r="G604" s="15">
        <v>8.121925699E9</v>
      </c>
      <c r="H604" s="5" t="s">
        <v>377</v>
      </c>
      <c r="I604" s="5" t="s">
        <v>42</v>
      </c>
      <c r="J604" s="5" t="s">
        <v>43</v>
      </c>
      <c r="K604" s="5">
        <v>8.7733785699E10</v>
      </c>
      <c r="L604" s="4" t="s">
        <v>44</v>
      </c>
      <c r="M604" s="5" t="s">
        <v>42</v>
      </c>
      <c r="N604" s="4" t="s">
        <v>45</v>
      </c>
      <c r="O604" s="4" t="s">
        <v>46</v>
      </c>
      <c r="P604" s="4" t="s">
        <v>47</v>
      </c>
      <c r="Q604" s="4">
        <v>16451.0</v>
      </c>
      <c r="R604" s="5" t="s">
        <v>3569</v>
      </c>
      <c r="S604" s="8">
        <v>46184.0</v>
      </c>
      <c r="T604" s="9">
        <v>0.375</v>
      </c>
      <c r="U604" s="9">
        <v>0.9166666666666666</v>
      </c>
      <c r="V604" s="4" t="s">
        <v>49</v>
      </c>
      <c r="W604" s="5">
        <v>1.0</v>
      </c>
      <c r="X604" s="5" t="b">
        <v>1</v>
      </c>
      <c r="Y604" s="5" t="s">
        <v>50</v>
      </c>
      <c r="Z604" s="5" t="b">
        <v>0</v>
      </c>
      <c r="AA604" s="10"/>
      <c r="AB604" s="4">
        <v>1.0</v>
      </c>
      <c r="AC604" s="11" t="s">
        <v>3570</v>
      </c>
      <c r="AD604" s="5">
        <v>0.0</v>
      </c>
      <c r="AE604" s="5">
        <v>1.0</v>
      </c>
      <c r="AF604" s="8">
        <v>46184.0</v>
      </c>
      <c r="AG604" s="9">
        <v>0.375</v>
      </c>
      <c r="AH604" s="9">
        <v>0.9166666666666666</v>
      </c>
      <c r="AI604" s="4" t="s">
        <v>49</v>
      </c>
      <c r="AJ604" s="5" t="s">
        <v>3571</v>
      </c>
      <c r="AK604" s="12"/>
      <c r="AL604" s="12"/>
      <c r="AM604" s="12"/>
      <c r="AN604" s="12"/>
      <c r="AO604" s="12"/>
      <c r="AP604" s="12"/>
      <c r="AQ604" s="12"/>
    </row>
    <row r="605">
      <c r="A605" s="5" t="s">
        <v>3572</v>
      </c>
      <c r="B605" s="5">
        <v>1.1398423E7</v>
      </c>
      <c r="C605" s="5" t="s">
        <v>37</v>
      </c>
      <c r="D605" s="5" t="s">
        <v>3573</v>
      </c>
      <c r="E605" s="5" t="s">
        <v>39</v>
      </c>
      <c r="F605" s="5" t="s">
        <v>3574</v>
      </c>
      <c r="G605" s="15">
        <v>8.1285996785E10</v>
      </c>
      <c r="H605" s="5" t="s">
        <v>3575</v>
      </c>
      <c r="I605" s="5" t="s">
        <v>42</v>
      </c>
      <c r="J605" s="5" t="s">
        <v>43</v>
      </c>
      <c r="K605" s="5">
        <v>8.7733785699E10</v>
      </c>
      <c r="L605" s="4" t="s">
        <v>44</v>
      </c>
      <c r="M605" s="5" t="s">
        <v>42</v>
      </c>
      <c r="N605" s="4" t="s">
        <v>45</v>
      </c>
      <c r="O605" s="4" t="s">
        <v>46</v>
      </c>
      <c r="P605" s="4" t="s">
        <v>47</v>
      </c>
      <c r="Q605" s="4">
        <v>16451.0</v>
      </c>
      <c r="R605" s="5" t="s">
        <v>3576</v>
      </c>
      <c r="S605" s="8">
        <v>46184.0</v>
      </c>
      <c r="T605" s="9">
        <v>0.375</v>
      </c>
      <c r="U605" s="9">
        <v>0.9166666666666666</v>
      </c>
      <c r="V605" s="4" t="s">
        <v>49</v>
      </c>
      <c r="W605" s="5">
        <v>1.0</v>
      </c>
      <c r="X605" s="5" t="b">
        <v>1</v>
      </c>
      <c r="Y605" s="5" t="s">
        <v>50</v>
      </c>
      <c r="Z605" s="5" t="b">
        <v>0</v>
      </c>
      <c r="AA605" s="10"/>
      <c r="AB605" s="4">
        <v>1.0</v>
      </c>
      <c r="AC605" s="11" t="s">
        <v>3577</v>
      </c>
      <c r="AD605" s="5">
        <v>0.0</v>
      </c>
      <c r="AE605" s="5">
        <v>1.0</v>
      </c>
      <c r="AF605" s="8">
        <v>46184.0</v>
      </c>
      <c r="AG605" s="9">
        <v>0.375</v>
      </c>
      <c r="AH605" s="9">
        <v>0.9166666666666666</v>
      </c>
      <c r="AI605" s="4" t="s">
        <v>49</v>
      </c>
      <c r="AJ605" s="5" t="s">
        <v>3578</v>
      </c>
      <c r="AK605" s="12"/>
      <c r="AL605" s="12"/>
      <c r="AM605" s="12"/>
      <c r="AN605" s="12"/>
      <c r="AO605" s="12"/>
      <c r="AP605" s="12"/>
      <c r="AQ605" s="12"/>
    </row>
    <row r="606">
      <c r="A606" s="5" t="s">
        <v>3579</v>
      </c>
      <c r="B606" s="5">
        <v>1.1398423E7</v>
      </c>
      <c r="C606" s="5" t="s">
        <v>37</v>
      </c>
      <c r="D606" s="5" t="s">
        <v>3580</v>
      </c>
      <c r="E606" s="5" t="s">
        <v>39</v>
      </c>
      <c r="F606" s="5" t="s">
        <v>3581</v>
      </c>
      <c r="G606" s="15">
        <v>8.129407857E9</v>
      </c>
      <c r="H606" s="5" t="s">
        <v>3582</v>
      </c>
      <c r="I606" s="5" t="s">
        <v>42</v>
      </c>
      <c r="J606" s="5" t="s">
        <v>43</v>
      </c>
      <c r="K606" s="5">
        <v>8.7733785699E10</v>
      </c>
      <c r="L606" s="4" t="s">
        <v>44</v>
      </c>
      <c r="M606" s="5" t="s">
        <v>42</v>
      </c>
      <c r="N606" s="4" t="s">
        <v>45</v>
      </c>
      <c r="O606" s="4" t="s">
        <v>46</v>
      </c>
      <c r="P606" s="4" t="s">
        <v>47</v>
      </c>
      <c r="Q606" s="4">
        <v>16451.0</v>
      </c>
      <c r="R606" s="5" t="s">
        <v>3583</v>
      </c>
      <c r="S606" s="8">
        <v>46184.0</v>
      </c>
      <c r="T606" s="9">
        <v>0.375</v>
      </c>
      <c r="U606" s="9">
        <v>0.9166666666666666</v>
      </c>
      <c r="V606" s="4" t="s">
        <v>49</v>
      </c>
      <c r="W606" s="5">
        <v>1.0</v>
      </c>
      <c r="X606" s="5" t="b">
        <v>1</v>
      </c>
      <c r="Y606" s="5" t="s">
        <v>50</v>
      </c>
      <c r="Z606" s="5" t="b">
        <v>0</v>
      </c>
      <c r="AA606" s="10"/>
      <c r="AB606" s="4">
        <v>1.0</v>
      </c>
      <c r="AC606" s="11" t="s">
        <v>3584</v>
      </c>
      <c r="AD606" s="5">
        <v>0.0</v>
      </c>
      <c r="AE606" s="5">
        <v>1.0</v>
      </c>
      <c r="AF606" s="8">
        <v>46184.0</v>
      </c>
      <c r="AG606" s="9">
        <v>0.375</v>
      </c>
      <c r="AH606" s="9">
        <v>0.9166666666666666</v>
      </c>
      <c r="AI606" s="4" t="s">
        <v>49</v>
      </c>
      <c r="AJ606" s="5" t="s">
        <v>3585</v>
      </c>
      <c r="AK606" s="12"/>
      <c r="AL606" s="12"/>
      <c r="AM606" s="12"/>
      <c r="AN606" s="12"/>
      <c r="AO606" s="12"/>
      <c r="AP606" s="12"/>
      <c r="AQ606" s="12"/>
    </row>
    <row r="607">
      <c r="A607" s="5" t="s">
        <v>3586</v>
      </c>
      <c r="B607" s="5">
        <v>1.1398423E7</v>
      </c>
      <c r="C607" s="5" t="s">
        <v>37</v>
      </c>
      <c r="D607" s="5" t="s">
        <v>3587</v>
      </c>
      <c r="E607" s="5" t="s">
        <v>39</v>
      </c>
      <c r="F607" s="5" t="s">
        <v>3588</v>
      </c>
      <c r="G607" s="15">
        <v>8.1386125514E10</v>
      </c>
      <c r="H607" s="5" t="s">
        <v>3589</v>
      </c>
      <c r="I607" s="5" t="s">
        <v>42</v>
      </c>
      <c r="J607" s="5" t="s">
        <v>43</v>
      </c>
      <c r="K607" s="5">
        <v>8.7733785699E10</v>
      </c>
      <c r="L607" s="4" t="s">
        <v>44</v>
      </c>
      <c r="M607" s="5" t="s">
        <v>42</v>
      </c>
      <c r="N607" s="4" t="s">
        <v>45</v>
      </c>
      <c r="O607" s="4" t="s">
        <v>46</v>
      </c>
      <c r="P607" s="4" t="s">
        <v>47</v>
      </c>
      <c r="Q607" s="4">
        <v>16451.0</v>
      </c>
      <c r="R607" s="5" t="s">
        <v>3590</v>
      </c>
      <c r="S607" s="8">
        <v>46184.0</v>
      </c>
      <c r="T607" s="9">
        <v>0.375</v>
      </c>
      <c r="U607" s="9">
        <v>0.9166666666666666</v>
      </c>
      <c r="V607" s="4" t="s">
        <v>49</v>
      </c>
      <c r="W607" s="5">
        <v>1.0</v>
      </c>
      <c r="X607" s="5" t="b">
        <v>1</v>
      </c>
      <c r="Y607" s="5" t="s">
        <v>50</v>
      </c>
      <c r="Z607" s="5" t="b">
        <v>0</v>
      </c>
      <c r="AA607" s="10"/>
      <c r="AB607" s="4">
        <v>1.0</v>
      </c>
      <c r="AC607" s="11" t="s">
        <v>3591</v>
      </c>
      <c r="AD607" s="5">
        <v>0.0</v>
      </c>
      <c r="AE607" s="5">
        <v>1.0</v>
      </c>
      <c r="AF607" s="8">
        <v>46184.0</v>
      </c>
      <c r="AG607" s="9">
        <v>0.375</v>
      </c>
      <c r="AH607" s="9">
        <v>0.9166666666666666</v>
      </c>
      <c r="AI607" s="4" t="s">
        <v>49</v>
      </c>
      <c r="AJ607" s="5" t="s">
        <v>3592</v>
      </c>
      <c r="AK607" s="12"/>
      <c r="AL607" s="12"/>
      <c r="AM607" s="12"/>
      <c r="AN607" s="12"/>
      <c r="AO607" s="12"/>
      <c r="AP607" s="12"/>
      <c r="AQ607" s="12"/>
    </row>
    <row r="608">
      <c r="A608" s="5" t="s">
        <v>3593</v>
      </c>
      <c r="B608" s="5">
        <v>1.1398423E7</v>
      </c>
      <c r="C608" s="5" t="s">
        <v>37</v>
      </c>
      <c r="D608" s="5" t="s">
        <v>3594</v>
      </c>
      <c r="E608" s="5" t="s">
        <v>39</v>
      </c>
      <c r="F608" s="5" t="s">
        <v>738</v>
      </c>
      <c r="G608" s="15">
        <v>8.12670075E9</v>
      </c>
      <c r="H608" s="5" t="s">
        <v>739</v>
      </c>
      <c r="I608" s="5" t="s">
        <v>42</v>
      </c>
      <c r="J608" s="5" t="s">
        <v>43</v>
      </c>
      <c r="K608" s="5">
        <v>8.7733785699E10</v>
      </c>
      <c r="L608" s="4" t="s">
        <v>44</v>
      </c>
      <c r="M608" s="5" t="s">
        <v>42</v>
      </c>
      <c r="N608" s="4" t="s">
        <v>45</v>
      </c>
      <c r="O608" s="4" t="s">
        <v>46</v>
      </c>
      <c r="P608" s="4" t="s">
        <v>47</v>
      </c>
      <c r="Q608" s="4">
        <v>16451.0</v>
      </c>
      <c r="R608" s="5" t="s">
        <v>3595</v>
      </c>
      <c r="S608" s="8">
        <v>46184.0</v>
      </c>
      <c r="T608" s="9">
        <v>0.375</v>
      </c>
      <c r="U608" s="9">
        <v>0.9166666666666666</v>
      </c>
      <c r="V608" s="4" t="s">
        <v>49</v>
      </c>
      <c r="W608" s="5">
        <v>1.0</v>
      </c>
      <c r="X608" s="5" t="b">
        <v>1</v>
      </c>
      <c r="Y608" s="5" t="s">
        <v>50</v>
      </c>
      <c r="Z608" s="5" t="b">
        <v>0</v>
      </c>
      <c r="AA608" s="10"/>
      <c r="AB608" s="4">
        <v>1.0</v>
      </c>
      <c r="AC608" s="11" t="s">
        <v>3596</v>
      </c>
      <c r="AD608" s="5">
        <v>0.0</v>
      </c>
      <c r="AE608" s="5">
        <v>1.0</v>
      </c>
      <c r="AF608" s="8">
        <v>46184.0</v>
      </c>
      <c r="AG608" s="9">
        <v>0.375</v>
      </c>
      <c r="AH608" s="9">
        <v>0.9166666666666666</v>
      </c>
      <c r="AI608" s="4" t="s">
        <v>49</v>
      </c>
      <c r="AJ608" s="5" t="s">
        <v>3597</v>
      </c>
      <c r="AK608" s="12"/>
      <c r="AL608" s="12"/>
      <c r="AM608" s="12"/>
      <c r="AN608" s="12"/>
      <c r="AO608" s="12"/>
      <c r="AP608" s="12"/>
      <c r="AQ608" s="12"/>
    </row>
    <row r="609">
      <c r="A609" s="5" t="s">
        <v>3598</v>
      </c>
      <c r="B609" s="5">
        <v>1.1398423E7</v>
      </c>
      <c r="C609" s="5" t="s">
        <v>37</v>
      </c>
      <c r="D609" s="5" t="s">
        <v>3599</v>
      </c>
      <c r="E609" s="5" t="s">
        <v>39</v>
      </c>
      <c r="F609" s="5" t="s">
        <v>3600</v>
      </c>
      <c r="G609" s="15">
        <v>8.1211118997E10</v>
      </c>
      <c r="H609" s="5" t="s">
        <v>3601</v>
      </c>
      <c r="I609" s="5" t="s">
        <v>42</v>
      </c>
      <c r="J609" s="5" t="s">
        <v>43</v>
      </c>
      <c r="K609" s="5">
        <v>8.7733785699E10</v>
      </c>
      <c r="L609" s="4" t="s">
        <v>44</v>
      </c>
      <c r="M609" s="5" t="s">
        <v>42</v>
      </c>
      <c r="N609" s="4" t="s">
        <v>45</v>
      </c>
      <c r="O609" s="4" t="s">
        <v>46</v>
      </c>
      <c r="P609" s="4" t="s">
        <v>47</v>
      </c>
      <c r="Q609" s="4">
        <v>16451.0</v>
      </c>
      <c r="R609" s="5" t="s">
        <v>3602</v>
      </c>
      <c r="S609" s="8">
        <v>46184.0</v>
      </c>
      <c r="T609" s="9">
        <v>0.375</v>
      </c>
      <c r="U609" s="9">
        <v>0.9166666666666666</v>
      </c>
      <c r="V609" s="4" t="s">
        <v>49</v>
      </c>
      <c r="W609" s="5">
        <v>1.0</v>
      </c>
      <c r="X609" s="5" t="b">
        <v>1</v>
      </c>
      <c r="Y609" s="5" t="s">
        <v>50</v>
      </c>
      <c r="Z609" s="5" t="b">
        <v>0</v>
      </c>
      <c r="AA609" s="10"/>
      <c r="AB609" s="4">
        <v>1.0</v>
      </c>
      <c r="AC609" s="11" t="s">
        <v>3603</v>
      </c>
      <c r="AD609" s="5">
        <v>0.0</v>
      </c>
      <c r="AE609" s="5">
        <v>1.0</v>
      </c>
      <c r="AF609" s="8">
        <v>46184.0</v>
      </c>
      <c r="AG609" s="9">
        <v>0.375</v>
      </c>
      <c r="AH609" s="9">
        <v>0.9166666666666666</v>
      </c>
      <c r="AI609" s="4" t="s">
        <v>49</v>
      </c>
      <c r="AJ609" s="5" t="s">
        <v>3604</v>
      </c>
      <c r="AK609" s="12"/>
      <c r="AL609" s="12"/>
      <c r="AM609" s="12"/>
      <c r="AN609" s="12"/>
      <c r="AO609" s="12"/>
      <c r="AP609" s="12"/>
      <c r="AQ609" s="12"/>
    </row>
    <row r="610">
      <c r="A610" s="5" t="s">
        <v>3605</v>
      </c>
      <c r="B610" s="5">
        <v>1.1398423E7</v>
      </c>
      <c r="C610" s="5" t="s">
        <v>37</v>
      </c>
      <c r="D610" s="5" t="s">
        <v>3606</v>
      </c>
      <c r="E610" s="5" t="s">
        <v>39</v>
      </c>
      <c r="F610" s="5" t="s">
        <v>3607</v>
      </c>
      <c r="G610" s="15">
        <v>8.787950604E10</v>
      </c>
      <c r="H610" s="5" t="s">
        <v>3608</v>
      </c>
      <c r="I610" s="5" t="s">
        <v>42</v>
      </c>
      <c r="J610" s="5" t="s">
        <v>43</v>
      </c>
      <c r="K610" s="5">
        <v>8.7733785699E10</v>
      </c>
      <c r="L610" s="4" t="s">
        <v>44</v>
      </c>
      <c r="M610" s="5" t="s">
        <v>42</v>
      </c>
      <c r="N610" s="4" t="s">
        <v>45</v>
      </c>
      <c r="O610" s="4" t="s">
        <v>46</v>
      </c>
      <c r="P610" s="4" t="s">
        <v>47</v>
      </c>
      <c r="Q610" s="4">
        <v>16451.0</v>
      </c>
      <c r="R610" s="5" t="s">
        <v>3609</v>
      </c>
      <c r="S610" s="8">
        <v>46184.0</v>
      </c>
      <c r="T610" s="9">
        <v>0.375</v>
      </c>
      <c r="U610" s="9">
        <v>0.9166666666666666</v>
      </c>
      <c r="V610" s="4" t="s">
        <v>49</v>
      </c>
      <c r="W610" s="5">
        <v>1.0</v>
      </c>
      <c r="X610" s="5" t="b">
        <v>1</v>
      </c>
      <c r="Y610" s="5" t="s">
        <v>50</v>
      </c>
      <c r="Z610" s="5" t="b">
        <v>0</v>
      </c>
      <c r="AA610" s="10"/>
      <c r="AB610" s="4">
        <v>1.0</v>
      </c>
      <c r="AC610" s="11" t="s">
        <v>3610</v>
      </c>
      <c r="AD610" s="5">
        <v>0.0</v>
      </c>
      <c r="AE610" s="5">
        <v>1.0</v>
      </c>
      <c r="AF610" s="8">
        <v>46184.0</v>
      </c>
      <c r="AG610" s="9">
        <v>0.375</v>
      </c>
      <c r="AH610" s="9">
        <v>0.9166666666666666</v>
      </c>
      <c r="AI610" s="4" t="s">
        <v>49</v>
      </c>
      <c r="AJ610" s="5" t="s">
        <v>3611</v>
      </c>
      <c r="AK610" s="12"/>
      <c r="AL610" s="12"/>
      <c r="AM610" s="12"/>
      <c r="AN610" s="12"/>
      <c r="AO610" s="12"/>
      <c r="AP610" s="12"/>
      <c r="AQ610" s="12"/>
    </row>
    <row r="611">
      <c r="A611" s="5" t="s">
        <v>3612</v>
      </c>
      <c r="B611" s="5">
        <v>1.1398423E7</v>
      </c>
      <c r="C611" s="5" t="s">
        <v>37</v>
      </c>
      <c r="D611" s="5" t="s">
        <v>3613</v>
      </c>
      <c r="E611" s="5" t="s">
        <v>39</v>
      </c>
      <c r="F611" s="5" t="s">
        <v>3614</v>
      </c>
      <c r="G611" s="15">
        <v>2.164711185E9</v>
      </c>
      <c r="H611" s="5" t="s">
        <v>3615</v>
      </c>
      <c r="I611" s="5" t="s">
        <v>42</v>
      </c>
      <c r="J611" s="5" t="s">
        <v>43</v>
      </c>
      <c r="K611" s="5">
        <v>8.7733785699E10</v>
      </c>
      <c r="L611" s="4" t="s">
        <v>44</v>
      </c>
      <c r="M611" s="5" t="s">
        <v>42</v>
      </c>
      <c r="N611" s="4" t="s">
        <v>45</v>
      </c>
      <c r="O611" s="4" t="s">
        <v>46</v>
      </c>
      <c r="P611" s="4" t="s">
        <v>47</v>
      </c>
      <c r="Q611" s="4">
        <v>16451.0</v>
      </c>
      <c r="R611" s="5" t="s">
        <v>3616</v>
      </c>
      <c r="S611" s="8">
        <v>46184.0</v>
      </c>
      <c r="T611" s="9">
        <v>0.375</v>
      </c>
      <c r="U611" s="9">
        <v>0.9166666666666666</v>
      </c>
      <c r="V611" s="4" t="s">
        <v>49</v>
      </c>
      <c r="W611" s="5">
        <v>1.0</v>
      </c>
      <c r="X611" s="5" t="b">
        <v>1</v>
      </c>
      <c r="Y611" s="5" t="s">
        <v>50</v>
      </c>
      <c r="Z611" s="5" t="b">
        <v>0</v>
      </c>
      <c r="AA611" s="10"/>
      <c r="AB611" s="4">
        <v>1.0</v>
      </c>
      <c r="AC611" s="11" t="s">
        <v>3617</v>
      </c>
      <c r="AD611" s="5">
        <v>0.0</v>
      </c>
      <c r="AE611" s="5">
        <v>1.0</v>
      </c>
      <c r="AF611" s="8">
        <v>46184.0</v>
      </c>
      <c r="AG611" s="9">
        <v>0.375</v>
      </c>
      <c r="AH611" s="9">
        <v>0.9166666666666666</v>
      </c>
      <c r="AI611" s="4" t="s">
        <v>49</v>
      </c>
      <c r="AJ611" s="5" t="s">
        <v>3618</v>
      </c>
      <c r="AK611" s="12"/>
      <c r="AL611" s="12"/>
      <c r="AM611" s="12"/>
      <c r="AN611" s="12"/>
      <c r="AO611" s="12"/>
      <c r="AP611" s="12"/>
      <c r="AQ611" s="12"/>
    </row>
    <row r="612">
      <c r="A612" s="5" t="s">
        <v>3619</v>
      </c>
      <c r="B612" s="5">
        <v>1.1398423E7</v>
      </c>
      <c r="C612" s="5" t="s">
        <v>37</v>
      </c>
      <c r="D612" s="5" t="s">
        <v>3620</v>
      </c>
      <c r="E612" s="5" t="s">
        <v>39</v>
      </c>
      <c r="F612" s="5" t="s">
        <v>3621</v>
      </c>
      <c r="G612" s="15">
        <v>8.126566753E9</v>
      </c>
      <c r="H612" s="5" t="s">
        <v>3622</v>
      </c>
      <c r="I612" s="5" t="s">
        <v>42</v>
      </c>
      <c r="J612" s="5" t="s">
        <v>43</v>
      </c>
      <c r="K612" s="5">
        <v>8.7733785699E10</v>
      </c>
      <c r="L612" s="4" t="s">
        <v>44</v>
      </c>
      <c r="M612" s="5" t="s">
        <v>42</v>
      </c>
      <c r="N612" s="4" t="s">
        <v>45</v>
      </c>
      <c r="O612" s="4" t="s">
        <v>46</v>
      </c>
      <c r="P612" s="4" t="s">
        <v>47</v>
      </c>
      <c r="Q612" s="4">
        <v>16451.0</v>
      </c>
      <c r="R612" s="5" t="s">
        <v>3623</v>
      </c>
      <c r="S612" s="8">
        <v>46184.0</v>
      </c>
      <c r="T612" s="9">
        <v>0.375</v>
      </c>
      <c r="U612" s="9">
        <v>0.9166666666666666</v>
      </c>
      <c r="V612" s="4" t="s">
        <v>49</v>
      </c>
      <c r="W612" s="5">
        <v>1.0</v>
      </c>
      <c r="X612" s="5" t="b">
        <v>1</v>
      </c>
      <c r="Y612" s="5" t="s">
        <v>50</v>
      </c>
      <c r="Z612" s="5" t="b">
        <v>0</v>
      </c>
      <c r="AA612" s="10"/>
      <c r="AB612" s="4">
        <v>1.0</v>
      </c>
      <c r="AC612" s="11" t="s">
        <v>3624</v>
      </c>
      <c r="AD612" s="5">
        <v>0.0</v>
      </c>
      <c r="AE612" s="5">
        <v>1.0</v>
      </c>
      <c r="AF612" s="8">
        <v>46184.0</v>
      </c>
      <c r="AG612" s="9">
        <v>0.375</v>
      </c>
      <c r="AH612" s="9">
        <v>0.9166666666666666</v>
      </c>
      <c r="AI612" s="4" t="s">
        <v>49</v>
      </c>
      <c r="AJ612" s="5" t="s">
        <v>3625</v>
      </c>
      <c r="AK612" s="12"/>
      <c r="AL612" s="12"/>
      <c r="AM612" s="12"/>
      <c r="AN612" s="12"/>
      <c r="AO612" s="12"/>
      <c r="AP612" s="12"/>
      <c r="AQ612" s="12"/>
    </row>
    <row r="613">
      <c r="A613" s="5" t="s">
        <v>3626</v>
      </c>
      <c r="B613" s="5">
        <v>1.1398423E7</v>
      </c>
      <c r="C613" s="5" t="s">
        <v>37</v>
      </c>
      <c r="D613" s="5" t="s">
        <v>3627</v>
      </c>
      <c r="E613" s="5" t="s">
        <v>39</v>
      </c>
      <c r="F613" s="5" t="s">
        <v>1075</v>
      </c>
      <c r="G613" s="15">
        <v>8.1350752017E10</v>
      </c>
      <c r="H613" s="5" t="s">
        <v>1076</v>
      </c>
      <c r="I613" s="5" t="s">
        <v>42</v>
      </c>
      <c r="J613" s="5" t="s">
        <v>43</v>
      </c>
      <c r="K613" s="5">
        <v>8.7733785699E10</v>
      </c>
      <c r="L613" s="4" t="s">
        <v>44</v>
      </c>
      <c r="M613" s="5" t="s">
        <v>42</v>
      </c>
      <c r="N613" s="4" t="s">
        <v>45</v>
      </c>
      <c r="O613" s="4" t="s">
        <v>46</v>
      </c>
      <c r="P613" s="4" t="s">
        <v>47</v>
      </c>
      <c r="Q613" s="4">
        <v>16451.0</v>
      </c>
      <c r="R613" s="5" t="s">
        <v>3628</v>
      </c>
      <c r="S613" s="8">
        <v>46184.0</v>
      </c>
      <c r="T613" s="9">
        <v>0.375</v>
      </c>
      <c r="U613" s="9">
        <v>0.9166666666666666</v>
      </c>
      <c r="V613" s="4" t="s">
        <v>49</v>
      </c>
      <c r="W613" s="5">
        <v>1.0</v>
      </c>
      <c r="X613" s="5" t="b">
        <v>1</v>
      </c>
      <c r="Y613" s="5" t="s">
        <v>50</v>
      </c>
      <c r="Z613" s="5" t="b">
        <v>0</v>
      </c>
      <c r="AA613" s="10"/>
      <c r="AB613" s="4">
        <v>1.0</v>
      </c>
      <c r="AC613" s="11" t="s">
        <v>3629</v>
      </c>
      <c r="AD613" s="5">
        <v>0.0</v>
      </c>
      <c r="AE613" s="5">
        <v>1.0</v>
      </c>
      <c r="AF613" s="8">
        <v>46184.0</v>
      </c>
      <c r="AG613" s="9">
        <v>0.375</v>
      </c>
      <c r="AH613" s="9">
        <v>0.9166666666666666</v>
      </c>
      <c r="AI613" s="4" t="s">
        <v>49</v>
      </c>
      <c r="AJ613" s="5" t="s">
        <v>3630</v>
      </c>
      <c r="AK613" s="12"/>
      <c r="AL613" s="12"/>
      <c r="AM613" s="12"/>
      <c r="AN613" s="12"/>
      <c r="AO613" s="12"/>
      <c r="AP613" s="12"/>
      <c r="AQ613" s="12"/>
    </row>
    <row r="614">
      <c r="A614" s="5" t="s">
        <v>3631</v>
      </c>
      <c r="B614" s="5">
        <v>1.1398423E7</v>
      </c>
      <c r="C614" s="5" t="s">
        <v>37</v>
      </c>
      <c r="D614" s="5" t="s">
        <v>3632</v>
      </c>
      <c r="E614" s="5" t="s">
        <v>39</v>
      </c>
      <c r="F614" s="5" t="s">
        <v>3254</v>
      </c>
      <c r="G614" s="15">
        <v>8.1210468236E10</v>
      </c>
      <c r="H614" s="5" t="s">
        <v>3255</v>
      </c>
      <c r="I614" s="5" t="s">
        <v>42</v>
      </c>
      <c r="J614" s="5" t="s">
        <v>43</v>
      </c>
      <c r="K614" s="5">
        <v>8.7733785699E10</v>
      </c>
      <c r="L614" s="4" t="s">
        <v>44</v>
      </c>
      <c r="M614" s="5" t="s">
        <v>42</v>
      </c>
      <c r="N614" s="4" t="s">
        <v>45</v>
      </c>
      <c r="O614" s="4" t="s">
        <v>46</v>
      </c>
      <c r="P614" s="4" t="s">
        <v>47</v>
      </c>
      <c r="Q614" s="4">
        <v>16451.0</v>
      </c>
      <c r="R614" s="5" t="s">
        <v>3633</v>
      </c>
      <c r="S614" s="8">
        <v>46184.0</v>
      </c>
      <c r="T614" s="9">
        <v>0.375</v>
      </c>
      <c r="U614" s="9">
        <v>0.9166666666666666</v>
      </c>
      <c r="V614" s="4" t="s">
        <v>49</v>
      </c>
      <c r="W614" s="5">
        <v>1.0</v>
      </c>
      <c r="X614" s="5" t="b">
        <v>1</v>
      </c>
      <c r="Y614" s="5" t="s">
        <v>50</v>
      </c>
      <c r="Z614" s="5" t="b">
        <v>0</v>
      </c>
      <c r="AA614" s="10"/>
      <c r="AB614" s="4">
        <v>1.0</v>
      </c>
      <c r="AC614" s="11" t="s">
        <v>3634</v>
      </c>
      <c r="AD614" s="5">
        <v>0.0</v>
      </c>
      <c r="AE614" s="5">
        <v>1.0</v>
      </c>
      <c r="AF614" s="8">
        <v>46184.0</v>
      </c>
      <c r="AG614" s="9">
        <v>0.375</v>
      </c>
      <c r="AH614" s="9">
        <v>0.9166666666666666</v>
      </c>
      <c r="AI614" s="4" t="s">
        <v>49</v>
      </c>
      <c r="AJ614" s="5" t="s">
        <v>3635</v>
      </c>
      <c r="AK614" s="12"/>
      <c r="AL614" s="12"/>
      <c r="AM614" s="12"/>
      <c r="AN614" s="12"/>
      <c r="AO614" s="12"/>
      <c r="AP614" s="12"/>
      <c r="AQ614" s="12"/>
    </row>
    <row r="615">
      <c r="A615" s="5" t="s">
        <v>3636</v>
      </c>
      <c r="B615" s="5">
        <v>1.1398423E7</v>
      </c>
      <c r="C615" s="5" t="s">
        <v>37</v>
      </c>
      <c r="D615" s="5" t="s">
        <v>3637</v>
      </c>
      <c r="E615" s="5" t="s">
        <v>39</v>
      </c>
      <c r="F615" s="5" t="s">
        <v>3638</v>
      </c>
      <c r="G615" s="15">
        <v>6.28112E16</v>
      </c>
      <c r="H615" s="5" t="s">
        <v>3639</v>
      </c>
      <c r="I615" s="5" t="s">
        <v>42</v>
      </c>
      <c r="J615" s="5" t="s">
        <v>43</v>
      </c>
      <c r="K615" s="5">
        <v>8.7733785699E10</v>
      </c>
      <c r="L615" s="4" t="s">
        <v>44</v>
      </c>
      <c r="M615" s="5" t="s">
        <v>42</v>
      </c>
      <c r="N615" s="4" t="s">
        <v>45</v>
      </c>
      <c r="O615" s="4" t="s">
        <v>46</v>
      </c>
      <c r="P615" s="4" t="s">
        <v>47</v>
      </c>
      <c r="Q615" s="4">
        <v>16451.0</v>
      </c>
      <c r="R615" s="5" t="s">
        <v>3640</v>
      </c>
      <c r="S615" s="8">
        <v>46184.0</v>
      </c>
      <c r="T615" s="9">
        <v>0.375</v>
      </c>
      <c r="U615" s="9">
        <v>0.9166666666666666</v>
      </c>
      <c r="V615" s="4" t="s">
        <v>49</v>
      </c>
      <c r="W615" s="5">
        <v>1.0</v>
      </c>
      <c r="X615" s="5" t="b">
        <v>1</v>
      </c>
      <c r="Y615" s="5" t="s">
        <v>50</v>
      </c>
      <c r="Z615" s="5" t="b">
        <v>0</v>
      </c>
      <c r="AA615" s="10"/>
      <c r="AB615" s="4">
        <v>1.0</v>
      </c>
      <c r="AC615" s="11" t="s">
        <v>3641</v>
      </c>
      <c r="AD615" s="5">
        <v>0.0</v>
      </c>
      <c r="AE615" s="5">
        <v>1.0</v>
      </c>
      <c r="AF615" s="8">
        <v>46184.0</v>
      </c>
      <c r="AG615" s="9">
        <v>0.375</v>
      </c>
      <c r="AH615" s="9">
        <v>0.9166666666666666</v>
      </c>
      <c r="AI615" s="4" t="s">
        <v>49</v>
      </c>
      <c r="AJ615" s="5" t="s">
        <v>3642</v>
      </c>
      <c r="AK615" s="12"/>
      <c r="AL615" s="12"/>
      <c r="AM615" s="12"/>
      <c r="AN615" s="12"/>
      <c r="AO615" s="12"/>
      <c r="AP615" s="12"/>
      <c r="AQ615" s="12"/>
    </row>
    <row r="616">
      <c r="A616" s="5" t="s">
        <v>3643</v>
      </c>
      <c r="B616" s="5">
        <v>1.1398423E7</v>
      </c>
      <c r="C616" s="5" t="s">
        <v>37</v>
      </c>
      <c r="D616" s="5" t="s">
        <v>3644</v>
      </c>
      <c r="E616" s="5" t="s">
        <v>39</v>
      </c>
      <c r="F616" s="5" t="s">
        <v>3645</v>
      </c>
      <c r="G616" s="15">
        <v>8.1282705795E10</v>
      </c>
      <c r="H616" s="5" t="s">
        <v>3646</v>
      </c>
      <c r="I616" s="5" t="s">
        <v>42</v>
      </c>
      <c r="J616" s="5" t="s">
        <v>43</v>
      </c>
      <c r="K616" s="5">
        <v>8.7733785699E10</v>
      </c>
      <c r="L616" s="4" t="s">
        <v>44</v>
      </c>
      <c r="M616" s="5" t="s">
        <v>42</v>
      </c>
      <c r="N616" s="4" t="s">
        <v>45</v>
      </c>
      <c r="O616" s="4" t="s">
        <v>46</v>
      </c>
      <c r="P616" s="4" t="s">
        <v>47</v>
      </c>
      <c r="Q616" s="4">
        <v>16451.0</v>
      </c>
      <c r="R616" s="5" t="s">
        <v>3647</v>
      </c>
      <c r="S616" s="8">
        <v>46184.0</v>
      </c>
      <c r="T616" s="9">
        <v>0.375</v>
      </c>
      <c r="U616" s="9">
        <v>0.9166666666666666</v>
      </c>
      <c r="V616" s="4" t="s">
        <v>49</v>
      </c>
      <c r="W616" s="5">
        <v>1.0</v>
      </c>
      <c r="X616" s="5" t="b">
        <v>1</v>
      </c>
      <c r="Y616" s="5" t="s">
        <v>50</v>
      </c>
      <c r="Z616" s="5" t="b">
        <v>0</v>
      </c>
      <c r="AA616" s="10"/>
      <c r="AB616" s="4">
        <v>1.0</v>
      </c>
      <c r="AC616" s="11" t="s">
        <v>3648</v>
      </c>
      <c r="AD616" s="5">
        <v>0.0</v>
      </c>
      <c r="AE616" s="5">
        <v>1.0</v>
      </c>
      <c r="AF616" s="8">
        <v>46184.0</v>
      </c>
      <c r="AG616" s="9">
        <v>0.375</v>
      </c>
      <c r="AH616" s="9">
        <v>0.9166666666666666</v>
      </c>
      <c r="AI616" s="4" t="s">
        <v>49</v>
      </c>
      <c r="AJ616" s="5" t="s">
        <v>3649</v>
      </c>
      <c r="AK616" s="12"/>
      <c r="AL616" s="12"/>
      <c r="AM616" s="12"/>
      <c r="AN616" s="12"/>
      <c r="AO616" s="12"/>
      <c r="AP616" s="12"/>
      <c r="AQ616" s="12"/>
    </row>
    <row r="617">
      <c r="A617" s="5" t="s">
        <v>3650</v>
      </c>
      <c r="B617" s="5">
        <v>1.1398423E7</v>
      </c>
      <c r="C617" s="5" t="s">
        <v>37</v>
      </c>
      <c r="D617" s="5" t="s">
        <v>3651</v>
      </c>
      <c r="E617" s="5" t="s">
        <v>39</v>
      </c>
      <c r="F617" s="5" t="s">
        <v>3652</v>
      </c>
      <c r="G617" s="15">
        <v>8.5103031988E10</v>
      </c>
      <c r="H617" s="5" t="s">
        <v>3653</v>
      </c>
      <c r="I617" s="5" t="s">
        <v>42</v>
      </c>
      <c r="J617" s="5" t="s">
        <v>43</v>
      </c>
      <c r="K617" s="5">
        <v>8.7733785699E10</v>
      </c>
      <c r="L617" s="4" t="s">
        <v>44</v>
      </c>
      <c r="M617" s="5" t="s">
        <v>42</v>
      </c>
      <c r="N617" s="4" t="s">
        <v>45</v>
      </c>
      <c r="O617" s="4" t="s">
        <v>46</v>
      </c>
      <c r="P617" s="4" t="s">
        <v>47</v>
      </c>
      <c r="Q617" s="4">
        <v>16451.0</v>
      </c>
      <c r="R617" s="5" t="s">
        <v>3654</v>
      </c>
      <c r="S617" s="8">
        <v>46184.0</v>
      </c>
      <c r="T617" s="9">
        <v>0.375</v>
      </c>
      <c r="U617" s="9">
        <v>0.9166666666666666</v>
      </c>
      <c r="V617" s="4" t="s">
        <v>49</v>
      </c>
      <c r="W617" s="5">
        <v>1.0</v>
      </c>
      <c r="X617" s="5" t="b">
        <v>1</v>
      </c>
      <c r="Y617" s="5" t="s">
        <v>50</v>
      </c>
      <c r="Z617" s="5" t="b">
        <v>0</v>
      </c>
      <c r="AA617" s="10"/>
      <c r="AB617" s="4">
        <v>1.0</v>
      </c>
      <c r="AC617" s="11" t="s">
        <v>3655</v>
      </c>
      <c r="AD617" s="5">
        <v>0.0</v>
      </c>
      <c r="AE617" s="5">
        <v>1.0</v>
      </c>
      <c r="AF617" s="8">
        <v>46184.0</v>
      </c>
      <c r="AG617" s="9">
        <v>0.375</v>
      </c>
      <c r="AH617" s="9">
        <v>0.9166666666666666</v>
      </c>
      <c r="AI617" s="4" t="s">
        <v>49</v>
      </c>
      <c r="AJ617" s="5" t="s">
        <v>3656</v>
      </c>
      <c r="AK617" s="12"/>
      <c r="AL617" s="12"/>
      <c r="AM617" s="12"/>
      <c r="AN617" s="12"/>
      <c r="AO617" s="12"/>
      <c r="AP617" s="12"/>
      <c r="AQ617" s="12"/>
    </row>
    <row r="618">
      <c r="A618" s="5" t="s">
        <v>3657</v>
      </c>
      <c r="B618" s="5">
        <v>1.1398423E7</v>
      </c>
      <c r="C618" s="5" t="s">
        <v>37</v>
      </c>
      <c r="D618" s="5" t="s">
        <v>3658</v>
      </c>
      <c r="E618" s="5" t="s">
        <v>39</v>
      </c>
      <c r="F618" s="5" t="s">
        <v>3659</v>
      </c>
      <c r="G618" s="15">
        <v>8.1905068766E10</v>
      </c>
      <c r="H618" s="5" t="s">
        <v>3660</v>
      </c>
      <c r="I618" s="5" t="s">
        <v>42</v>
      </c>
      <c r="J618" s="5" t="s">
        <v>43</v>
      </c>
      <c r="K618" s="5">
        <v>8.7733785699E10</v>
      </c>
      <c r="L618" s="4" t="s">
        <v>44</v>
      </c>
      <c r="M618" s="5" t="s">
        <v>42</v>
      </c>
      <c r="N618" s="4" t="s">
        <v>45</v>
      </c>
      <c r="O618" s="4" t="s">
        <v>46</v>
      </c>
      <c r="P618" s="4" t="s">
        <v>47</v>
      </c>
      <c r="Q618" s="4">
        <v>16451.0</v>
      </c>
      <c r="R618" s="5" t="s">
        <v>3661</v>
      </c>
      <c r="S618" s="8">
        <v>46184.0</v>
      </c>
      <c r="T618" s="9">
        <v>0.375</v>
      </c>
      <c r="U618" s="9">
        <v>0.9166666666666666</v>
      </c>
      <c r="V618" s="4" t="s">
        <v>49</v>
      </c>
      <c r="W618" s="5">
        <v>1.0</v>
      </c>
      <c r="X618" s="5" t="b">
        <v>1</v>
      </c>
      <c r="Y618" s="5" t="s">
        <v>50</v>
      </c>
      <c r="Z618" s="5" t="b">
        <v>0</v>
      </c>
      <c r="AA618" s="10"/>
      <c r="AB618" s="4">
        <v>1.0</v>
      </c>
      <c r="AC618" s="11" t="s">
        <v>3662</v>
      </c>
      <c r="AD618" s="5">
        <v>0.0</v>
      </c>
      <c r="AE618" s="5">
        <v>1.0</v>
      </c>
      <c r="AF618" s="8">
        <v>46184.0</v>
      </c>
      <c r="AG618" s="9">
        <v>0.375</v>
      </c>
      <c r="AH618" s="9">
        <v>0.9166666666666666</v>
      </c>
      <c r="AI618" s="4" t="s">
        <v>49</v>
      </c>
      <c r="AJ618" s="5" t="s">
        <v>3663</v>
      </c>
      <c r="AK618" s="12"/>
      <c r="AL618" s="12"/>
      <c r="AM618" s="12"/>
      <c r="AN618" s="12"/>
      <c r="AO618" s="12"/>
      <c r="AP618" s="12"/>
      <c r="AQ618" s="12"/>
    </row>
    <row r="619">
      <c r="A619" s="5" t="s">
        <v>3664</v>
      </c>
      <c r="B619" s="5">
        <v>1.1398423E7</v>
      </c>
      <c r="C619" s="5" t="s">
        <v>37</v>
      </c>
      <c r="D619" s="5" t="s">
        <v>3665</v>
      </c>
      <c r="E619" s="5" t="s">
        <v>39</v>
      </c>
      <c r="F619" s="5" t="s">
        <v>3666</v>
      </c>
      <c r="G619" s="15">
        <v>8.1947090063E10</v>
      </c>
      <c r="H619" s="5" t="s">
        <v>3667</v>
      </c>
      <c r="I619" s="5" t="s">
        <v>42</v>
      </c>
      <c r="J619" s="5" t="s">
        <v>43</v>
      </c>
      <c r="K619" s="5">
        <v>8.7733785699E10</v>
      </c>
      <c r="L619" s="4" t="s">
        <v>44</v>
      </c>
      <c r="M619" s="5" t="s">
        <v>42</v>
      </c>
      <c r="N619" s="4" t="s">
        <v>45</v>
      </c>
      <c r="O619" s="4" t="s">
        <v>46</v>
      </c>
      <c r="P619" s="4" t="s">
        <v>47</v>
      </c>
      <c r="Q619" s="4">
        <v>16451.0</v>
      </c>
      <c r="R619" s="5" t="s">
        <v>3668</v>
      </c>
      <c r="S619" s="8">
        <v>46184.0</v>
      </c>
      <c r="T619" s="9">
        <v>0.375</v>
      </c>
      <c r="U619" s="9">
        <v>0.9166666666666666</v>
      </c>
      <c r="V619" s="4" t="s">
        <v>49</v>
      </c>
      <c r="W619" s="5">
        <v>1.0</v>
      </c>
      <c r="X619" s="5" t="b">
        <v>1</v>
      </c>
      <c r="Y619" s="5" t="s">
        <v>50</v>
      </c>
      <c r="Z619" s="5" t="b">
        <v>0</v>
      </c>
      <c r="AA619" s="10"/>
      <c r="AB619" s="4">
        <v>1.0</v>
      </c>
      <c r="AC619" s="11" t="s">
        <v>3669</v>
      </c>
      <c r="AD619" s="5">
        <v>0.0</v>
      </c>
      <c r="AE619" s="5">
        <v>1.0</v>
      </c>
      <c r="AF619" s="8">
        <v>46184.0</v>
      </c>
      <c r="AG619" s="9">
        <v>0.375</v>
      </c>
      <c r="AH619" s="9">
        <v>0.9166666666666666</v>
      </c>
      <c r="AI619" s="4" t="s">
        <v>49</v>
      </c>
      <c r="AJ619" s="5" t="s">
        <v>3670</v>
      </c>
      <c r="AK619" s="12"/>
      <c r="AL619" s="12"/>
      <c r="AM619" s="12"/>
      <c r="AN619" s="12"/>
      <c r="AO619" s="12"/>
      <c r="AP619" s="12"/>
      <c r="AQ619" s="12"/>
    </row>
    <row r="620">
      <c r="A620" s="5" t="s">
        <v>3671</v>
      </c>
      <c r="B620" s="5">
        <v>1.1398423E7</v>
      </c>
      <c r="C620" s="5" t="s">
        <v>37</v>
      </c>
      <c r="D620" s="5" t="s">
        <v>3672</v>
      </c>
      <c r="E620" s="5" t="s">
        <v>39</v>
      </c>
      <c r="F620" s="5" t="s">
        <v>3673</v>
      </c>
      <c r="G620" s="15">
        <v>8.226016863E10</v>
      </c>
      <c r="H620" s="5" t="s">
        <v>3674</v>
      </c>
      <c r="I620" s="5" t="s">
        <v>42</v>
      </c>
      <c r="J620" s="5" t="s">
        <v>43</v>
      </c>
      <c r="K620" s="5">
        <v>8.7733785699E10</v>
      </c>
      <c r="L620" s="4" t="s">
        <v>44</v>
      </c>
      <c r="M620" s="5" t="s">
        <v>42</v>
      </c>
      <c r="N620" s="4" t="s">
        <v>45</v>
      </c>
      <c r="O620" s="4" t="s">
        <v>46</v>
      </c>
      <c r="P620" s="4" t="s">
        <v>47</v>
      </c>
      <c r="Q620" s="4">
        <v>16451.0</v>
      </c>
      <c r="R620" s="5" t="s">
        <v>3675</v>
      </c>
      <c r="S620" s="8">
        <v>46184.0</v>
      </c>
      <c r="T620" s="9">
        <v>0.375</v>
      </c>
      <c r="U620" s="9">
        <v>0.9166666666666666</v>
      </c>
      <c r="V620" s="4" t="s">
        <v>49</v>
      </c>
      <c r="W620" s="5">
        <v>1.0</v>
      </c>
      <c r="X620" s="5" t="b">
        <v>1</v>
      </c>
      <c r="Y620" s="5" t="s">
        <v>50</v>
      </c>
      <c r="Z620" s="5" t="b">
        <v>0</v>
      </c>
      <c r="AA620" s="10"/>
      <c r="AB620" s="4">
        <v>1.0</v>
      </c>
      <c r="AC620" s="11" t="s">
        <v>3676</v>
      </c>
      <c r="AD620" s="5">
        <v>0.0</v>
      </c>
      <c r="AE620" s="5">
        <v>1.0</v>
      </c>
      <c r="AF620" s="8">
        <v>46184.0</v>
      </c>
      <c r="AG620" s="9">
        <v>0.375</v>
      </c>
      <c r="AH620" s="9">
        <v>0.9166666666666666</v>
      </c>
      <c r="AI620" s="4" t="s">
        <v>49</v>
      </c>
      <c r="AJ620" s="5" t="s">
        <v>3677</v>
      </c>
      <c r="AK620" s="12"/>
      <c r="AL620" s="12"/>
      <c r="AM620" s="12"/>
      <c r="AN620" s="12"/>
      <c r="AO620" s="12"/>
      <c r="AP620" s="12"/>
      <c r="AQ620" s="12"/>
    </row>
    <row r="621">
      <c r="A621" s="5" t="s">
        <v>3678</v>
      </c>
      <c r="B621" s="5">
        <v>1.1398423E7</v>
      </c>
      <c r="C621" s="5" t="s">
        <v>37</v>
      </c>
      <c r="D621" s="5" t="s">
        <v>3679</v>
      </c>
      <c r="E621" s="5" t="s">
        <v>39</v>
      </c>
      <c r="F621" s="5" t="s">
        <v>2124</v>
      </c>
      <c r="G621" s="15">
        <v>8.1387688857E10</v>
      </c>
      <c r="H621" s="5" t="s">
        <v>2125</v>
      </c>
      <c r="I621" s="5" t="s">
        <v>42</v>
      </c>
      <c r="J621" s="5" t="s">
        <v>43</v>
      </c>
      <c r="K621" s="5">
        <v>8.7733785699E10</v>
      </c>
      <c r="L621" s="4" t="s">
        <v>44</v>
      </c>
      <c r="M621" s="5" t="s">
        <v>42</v>
      </c>
      <c r="N621" s="4" t="s">
        <v>45</v>
      </c>
      <c r="O621" s="4" t="s">
        <v>46</v>
      </c>
      <c r="P621" s="4" t="s">
        <v>47</v>
      </c>
      <c r="Q621" s="4">
        <v>16451.0</v>
      </c>
      <c r="R621" s="5" t="s">
        <v>3680</v>
      </c>
      <c r="S621" s="8">
        <v>46184.0</v>
      </c>
      <c r="T621" s="9">
        <v>0.375</v>
      </c>
      <c r="U621" s="9">
        <v>0.9166666666666666</v>
      </c>
      <c r="V621" s="4" t="s">
        <v>49</v>
      </c>
      <c r="W621" s="5">
        <v>1.0</v>
      </c>
      <c r="X621" s="5" t="b">
        <v>1</v>
      </c>
      <c r="Y621" s="5" t="s">
        <v>50</v>
      </c>
      <c r="Z621" s="5" t="b">
        <v>0</v>
      </c>
      <c r="AA621" s="10"/>
      <c r="AB621" s="4">
        <v>1.0</v>
      </c>
      <c r="AC621" s="11" t="s">
        <v>3681</v>
      </c>
      <c r="AD621" s="5">
        <v>0.0</v>
      </c>
      <c r="AE621" s="5">
        <v>1.0</v>
      </c>
      <c r="AF621" s="8">
        <v>46184.0</v>
      </c>
      <c r="AG621" s="9">
        <v>0.375</v>
      </c>
      <c r="AH621" s="9">
        <v>0.9166666666666666</v>
      </c>
      <c r="AI621" s="4" t="s">
        <v>49</v>
      </c>
      <c r="AJ621" s="5" t="s">
        <v>3682</v>
      </c>
      <c r="AK621" s="12"/>
      <c r="AL621" s="12"/>
      <c r="AM621" s="12"/>
      <c r="AN621" s="12"/>
      <c r="AO621" s="12"/>
      <c r="AP621" s="12"/>
      <c r="AQ621" s="12"/>
    </row>
    <row r="622">
      <c r="A622" s="5" t="s">
        <v>3683</v>
      </c>
      <c r="B622" s="5">
        <v>1.1398423E7</v>
      </c>
      <c r="C622" s="5" t="s">
        <v>37</v>
      </c>
      <c r="D622" s="5" t="s">
        <v>3684</v>
      </c>
      <c r="E622" s="5" t="s">
        <v>39</v>
      </c>
      <c r="F622" s="5" t="s">
        <v>3685</v>
      </c>
      <c r="G622" s="15">
        <v>8.1807923725E10</v>
      </c>
      <c r="H622" s="5" t="s">
        <v>3686</v>
      </c>
      <c r="I622" s="5" t="s">
        <v>42</v>
      </c>
      <c r="J622" s="5" t="s">
        <v>43</v>
      </c>
      <c r="K622" s="5">
        <v>8.7733785699E10</v>
      </c>
      <c r="L622" s="4" t="s">
        <v>44</v>
      </c>
      <c r="M622" s="5" t="s">
        <v>42</v>
      </c>
      <c r="N622" s="4" t="s">
        <v>45</v>
      </c>
      <c r="O622" s="4" t="s">
        <v>46</v>
      </c>
      <c r="P622" s="4" t="s">
        <v>47</v>
      </c>
      <c r="Q622" s="4">
        <v>16451.0</v>
      </c>
      <c r="R622" s="5" t="s">
        <v>3687</v>
      </c>
      <c r="S622" s="8">
        <v>46184.0</v>
      </c>
      <c r="T622" s="9">
        <v>0.375</v>
      </c>
      <c r="U622" s="9">
        <v>0.9166666666666666</v>
      </c>
      <c r="V622" s="4" t="s">
        <v>49</v>
      </c>
      <c r="W622" s="5">
        <v>1.0</v>
      </c>
      <c r="X622" s="5" t="b">
        <v>1</v>
      </c>
      <c r="Y622" s="5" t="s">
        <v>50</v>
      </c>
      <c r="Z622" s="5" t="b">
        <v>0</v>
      </c>
      <c r="AA622" s="10"/>
      <c r="AB622" s="4">
        <v>1.0</v>
      </c>
      <c r="AC622" s="11" t="s">
        <v>3688</v>
      </c>
      <c r="AD622" s="5">
        <v>0.0</v>
      </c>
      <c r="AE622" s="5">
        <v>1.0</v>
      </c>
      <c r="AF622" s="8">
        <v>46184.0</v>
      </c>
      <c r="AG622" s="9">
        <v>0.375</v>
      </c>
      <c r="AH622" s="9">
        <v>0.9166666666666666</v>
      </c>
      <c r="AI622" s="4" t="s">
        <v>49</v>
      </c>
      <c r="AJ622" s="5" t="s">
        <v>3689</v>
      </c>
      <c r="AK622" s="12"/>
      <c r="AL622" s="12"/>
      <c r="AM622" s="12"/>
      <c r="AN622" s="12"/>
      <c r="AO622" s="12"/>
      <c r="AP622" s="12"/>
      <c r="AQ622" s="12"/>
    </row>
    <row r="623">
      <c r="A623" s="5" t="s">
        <v>3690</v>
      </c>
      <c r="B623" s="5">
        <v>1.1398423E7</v>
      </c>
      <c r="C623" s="5" t="s">
        <v>37</v>
      </c>
      <c r="D623" s="5" t="s">
        <v>3691</v>
      </c>
      <c r="E623" s="5" t="s">
        <v>39</v>
      </c>
      <c r="F623" s="5" t="s">
        <v>3692</v>
      </c>
      <c r="G623" s="15">
        <v>8.129007735E9</v>
      </c>
      <c r="H623" s="5" t="s">
        <v>3693</v>
      </c>
      <c r="I623" s="5" t="s">
        <v>42</v>
      </c>
      <c r="J623" s="5" t="s">
        <v>43</v>
      </c>
      <c r="K623" s="5">
        <v>8.7733785699E10</v>
      </c>
      <c r="L623" s="4" t="s">
        <v>44</v>
      </c>
      <c r="M623" s="5" t="s">
        <v>42</v>
      </c>
      <c r="N623" s="4" t="s">
        <v>45</v>
      </c>
      <c r="O623" s="4" t="s">
        <v>46</v>
      </c>
      <c r="P623" s="4" t="s">
        <v>47</v>
      </c>
      <c r="Q623" s="4">
        <v>16451.0</v>
      </c>
      <c r="R623" s="5" t="s">
        <v>3694</v>
      </c>
      <c r="S623" s="8">
        <v>46184.0</v>
      </c>
      <c r="T623" s="9">
        <v>0.375</v>
      </c>
      <c r="U623" s="9">
        <v>0.9166666666666666</v>
      </c>
      <c r="V623" s="4" t="s">
        <v>49</v>
      </c>
      <c r="W623" s="5">
        <v>1.0</v>
      </c>
      <c r="X623" s="5" t="b">
        <v>1</v>
      </c>
      <c r="Y623" s="5" t="s">
        <v>50</v>
      </c>
      <c r="Z623" s="5" t="b">
        <v>0</v>
      </c>
      <c r="AA623" s="10"/>
      <c r="AB623" s="4">
        <v>1.0</v>
      </c>
      <c r="AC623" s="11" t="s">
        <v>3695</v>
      </c>
      <c r="AD623" s="5">
        <v>0.0</v>
      </c>
      <c r="AE623" s="5">
        <v>1.0</v>
      </c>
      <c r="AF623" s="8">
        <v>46184.0</v>
      </c>
      <c r="AG623" s="9">
        <v>0.375</v>
      </c>
      <c r="AH623" s="9">
        <v>0.9166666666666666</v>
      </c>
      <c r="AI623" s="4" t="s">
        <v>49</v>
      </c>
      <c r="AJ623" s="5" t="s">
        <v>3696</v>
      </c>
      <c r="AK623" s="12"/>
      <c r="AL623" s="12"/>
      <c r="AM623" s="12"/>
      <c r="AN623" s="12"/>
      <c r="AO623" s="12"/>
      <c r="AP623" s="12"/>
      <c r="AQ623" s="12"/>
    </row>
    <row r="624">
      <c r="A624" s="5" t="s">
        <v>3697</v>
      </c>
      <c r="B624" s="5">
        <v>1.1398423E7</v>
      </c>
      <c r="C624" s="5" t="s">
        <v>37</v>
      </c>
      <c r="D624" s="5" t="s">
        <v>3698</v>
      </c>
      <c r="E624" s="5" t="s">
        <v>39</v>
      </c>
      <c r="F624" s="5" t="s">
        <v>3699</v>
      </c>
      <c r="G624" s="15">
        <v>8.18666508E8</v>
      </c>
      <c r="H624" s="5" t="s">
        <v>3700</v>
      </c>
      <c r="I624" s="5" t="s">
        <v>42</v>
      </c>
      <c r="J624" s="5" t="s">
        <v>43</v>
      </c>
      <c r="K624" s="5">
        <v>8.7733785699E10</v>
      </c>
      <c r="L624" s="4" t="s">
        <v>44</v>
      </c>
      <c r="M624" s="5" t="s">
        <v>42</v>
      </c>
      <c r="N624" s="4" t="s">
        <v>45</v>
      </c>
      <c r="O624" s="4" t="s">
        <v>46</v>
      </c>
      <c r="P624" s="4" t="s">
        <v>47</v>
      </c>
      <c r="Q624" s="4">
        <v>16451.0</v>
      </c>
      <c r="R624" s="5" t="s">
        <v>3701</v>
      </c>
      <c r="S624" s="8">
        <v>46184.0</v>
      </c>
      <c r="T624" s="9">
        <v>0.375</v>
      </c>
      <c r="U624" s="9">
        <v>0.9166666666666666</v>
      </c>
      <c r="V624" s="4" t="s">
        <v>49</v>
      </c>
      <c r="W624" s="5">
        <v>1.0</v>
      </c>
      <c r="X624" s="5" t="b">
        <v>1</v>
      </c>
      <c r="Y624" s="5" t="s">
        <v>50</v>
      </c>
      <c r="Z624" s="5" t="b">
        <v>0</v>
      </c>
      <c r="AA624" s="10"/>
      <c r="AB624" s="4">
        <v>1.0</v>
      </c>
      <c r="AC624" s="11" t="s">
        <v>3702</v>
      </c>
      <c r="AD624" s="5">
        <v>0.0</v>
      </c>
      <c r="AE624" s="5">
        <v>1.0</v>
      </c>
      <c r="AF624" s="8">
        <v>46184.0</v>
      </c>
      <c r="AG624" s="9">
        <v>0.375</v>
      </c>
      <c r="AH624" s="9">
        <v>0.9166666666666666</v>
      </c>
      <c r="AI624" s="4" t="s">
        <v>49</v>
      </c>
      <c r="AJ624" s="5" t="s">
        <v>3703</v>
      </c>
      <c r="AK624" s="12"/>
      <c r="AL624" s="12"/>
      <c r="AM624" s="12"/>
      <c r="AN624" s="12"/>
      <c r="AO624" s="12"/>
      <c r="AP624" s="12"/>
      <c r="AQ624" s="12"/>
    </row>
    <row r="625">
      <c r="A625" s="5" t="s">
        <v>3704</v>
      </c>
      <c r="B625" s="5">
        <v>1.1398423E7</v>
      </c>
      <c r="C625" s="5" t="s">
        <v>37</v>
      </c>
      <c r="D625" s="5" t="s">
        <v>3705</v>
      </c>
      <c r="E625" s="5" t="s">
        <v>39</v>
      </c>
      <c r="F625" s="5" t="s">
        <v>3706</v>
      </c>
      <c r="G625" s="15">
        <v>8.2133366006E10</v>
      </c>
      <c r="H625" s="5" t="s">
        <v>3707</v>
      </c>
      <c r="I625" s="5" t="s">
        <v>42</v>
      </c>
      <c r="J625" s="5" t="s">
        <v>43</v>
      </c>
      <c r="K625" s="5">
        <v>8.7733785699E10</v>
      </c>
      <c r="L625" s="4" t="s">
        <v>44</v>
      </c>
      <c r="M625" s="5" t="s">
        <v>42</v>
      </c>
      <c r="N625" s="4" t="s">
        <v>45</v>
      </c>
      <c r="O625" s="4" t="s">
        <v>46</v>
      </c>
      <c r="P625" s="4" t="s">
        <v>47</v>
      </c>
      <c r="Q625" s="4">
        <v>16451.0</v>
      </c>
      <c r="R625" s="5" t="s">
        <v>3708</v>
      </c>
      <c r="S625" s="8">
        <v>46184.0</v>
      </c>
      <c r="T625" s="9">
        <v>0.375</v>
      </c>
      <c r="U625" s="9">
        <v>0.9166666666666666</v>
      </c>
      <c r="V625" s="4" t="s">
        <v>49</v>
      </c>
      <c r="W625" s="5">
        <v>1.0</v>
      </c>
      <c r="X625" s="5" t="b">
        <v>1</v>
      </c>
      <c r="Y625" s="5" t="s">
        <v>50</v>
      </c>
      <c r="Z625" s="5" t="b">
        <v>0</v>
      </c>
      <c r="AA625" s="10"/>
      <c r="AB625" s="4">
        <v>1.0</v>
      </c>
      <c r="AC625" s="11" t="s">
        <v>3709</v>
      </c>
      <c r="AD625" s="5">
        <v>0.0</v>
      </c>
      <c r="AE625" s="5">
        <v>1.0</v>
      </c>
      <c r="AF625" s="8">
        <v>46184.0</v>
      </c>
      <c r="AG625" s="9">
        <v>0.375</v>
      </c>
      <c r="AH625" s="9">
        <v>0.9166666666666666</v>
      </c>
      <c r="AI625" s="4" t="s">
        <v>49</v>
      </c>
      <c r="AJ625" s="5" t="s">
        <v>3710</v>
      </c>
      <c r="AK625" s="12"/>
      <c r="AL625" s="12"/>
      <c r="AM625" s="12"/>
      <c r="AN625" s="12"/>
      <c r="AO625" s="12"/>
      <c r="AP625" s="12"/>
      <c r="AQ625" s="12"/>
    </row>
    <row r="626">
      <c r="A626" s="5" t="s">
        <v>3711</v>
      </c>
      <c r="B626" s="5">
        <v>1.1398423E7</v>
      </c>
      <c r="C626" s="5" t="s">
        <v>37</v>
      </c>
      <c r="D626" s="5" t="s">
        <v>3712</v>
      </c>
      <c r="E626" s="5" t="s">
        <v>39</v>
      </c>
      <c r="F626" s="5" t="s">
        <v>3713</v>
      </c>
      <c r="G626" s="15">
        <v>6.2858E16</v>
      </c>
      <c r="H626" s="5" t="s">
        <v>3714</v>
      </c>
      <c r="I626" s="5" t="s">
        <v>42</v>
      </c>
      <c r="J626" s="5" t="s">
        <v>43</v>
      </c>
      <c r="K626" s="5">
        <v>8.7733785699E10</v>
      </c>
      <c r="L626" s="4" t="s">
        <v>44</v>
      </c>
      <c r="M626" s="5" t="s">
        <v>42</v>
      </c>
      <c r="N626" s="4" t="s">
        <v>45</v>
      </c>
      <c r="O626" s="4" t="s">
        <v>46</v>
      </c>
      <c r="P626" s="4" t="s">
        <v>47</v>
      </c>
      <c r="Q626" s="4">
        <v>16451.0</v>
      </c>
      <c r="R626" s="5" t="s">
        <v>3715</v>
      </c>
      <c r="S626" s="8">
        <v>46184.0</v>
      </c>
      <c r="T626" s="9">
        <v>0.375</v>
      </c>
      <c r="U626" s="9">
        <v>0.9166666666666666</v>
      </c>
      <c r="V626" s="4" t="s">
        <v>49</v>
      </c>
      <c r="W626" s="5">
        <v>1.0</v>
      </c>
      <c r="X626" s="5" t="b">
        <v>1</v>
      </c>
      <c r="Y626" s="5" t="s">
        <v>50</v>
      </c>
      <c r="Z626" s="5" t="b">
        <v>0</v>
      </c>
      <c r="AA626" s="10"/>
      <c r="AB626" s="4">
        <v>1.0</v>
      </c>
      <c r="AC626" s="11" t="s">
        <v>3716</v>
      </c>
      <c r="AD626" s="5">
        <v>0.0</v>
      </c>
      <c r="AE626" s="5">
        <v>1.0</v>
      </c>
      <c r="AF626" s="8">
        <v>46184.0</v>
      </c>
      <c r="AG626" s="9">
        <v>0.375</v>
      </c>
      <c r="AH626" s="9">
        <v>0.9166666666666666</v>
      </c>
      <c r="AI626" s="4" t="s">
        <v>49</v>
      </c>
      <c r="AJ626" s="5" t="s">
        <v>3717</v>
      </c>
      <c r="AK626" s="12"/>
      <c r="AL626" s="12"/>
      <c r="AM626" s="12"/>
      <c r="AN626" s="12"/>
      <c r="AO626" s="12"/>
      <c r="AP626" s="12"/>
      <c r="AQ626" s="12"/>
    </row>
    <row r="627">
      <c r="A627" s="5" t="s">
        <v>3718</v>
      </c>
      <c r="B627" s="5">
        <v>1.1398423E7</v>
      </c>
      <c r="C627" s="5" t="s">
        <v>37</v>
      </c>
      <c r="D627" s="5" t="s">
        <v>3719</v>
      </c>
      <c r="E627" s="5" t="s">
        <v>39</v>
      </c>
      <c r="F627" s="5" t="s">
        <v>3720</v>
      </c>
      <c r="G627" s="15">
        <v>6.28134E17</v>
      </c>
      <c r="H627" s="5" t="s">
        <v>3721</v>
      </c>
      <c r="I627" s="5" t="s">
        <v>42</v>
      </c>
      <c r="J627" s="5" t="s">
        <v>43</v>
      </c>
      <c r="K627" s="5">
        <v>8.7733785699E10</v>
      </c>
      <c r="L627" s="4" t="s">
        <v>44</v>
      </c>
      <c r="M627" s="5" t="s">
        <v>42</v>
      </c>
      <c r="N627" s="4" t="s">
        <v>45</v>
      </c>
      <c r="O627" s="4" t="s">
        <v>46</v>
      </c>
      <c r="P627" s="4" t="s">
        <v>47</v>
      </c>
      <c r="Q627" s="4">
        <v>16451.0</v>
      </c>
      <c r="R627" s="5" t="s">
        <v>3722</v>
      </c>
      <c r="S627" s="8">
        <v>46184.0</v>
      </c>
      <c r="T627" s="9">
        <v>0.375</v>
      </c>
      <c r="U627" s="9">
        <v>0.9166666666666666</v>
      </c>
      <c r="V627" s="4" t="s">
        <v>49</v>
      </c>
      <c r="W627" s="5">
        <v>1.0</v>
      </c>
      <c r="X627" s="5" t="b">
        <v>1</v>
      </c>
      <c r="Y627" s="5" t="s">
        <v>50</v>
      </c>
      <c r="Z627" s="5" t="b">
        <v>0</v>
      </c>
      <c r="AA627" s="10"/>
      <c r="AB627" s="4">
        <v>1.0</v>
      </c>
      <c r="AC627" s="11" t="s">
        <v>3723</v>
      </c>
      <c r="AD627" s="5">
        <v>0.0</v>
      </c>
      <c r="AE627" s="5">
        <v>1.0</v>
      </c>
      <c r="AF627" s="8">
        <v>46184.0</v>
      </c>
      <c r="AG627" s="9">
        <v>0.375</v>
      </c>
      <c r="AH627" s="9">
        <v>0.9166666666666666</v>
      </c>
      <c r="AI627" s="4" t="s">
        <v>49</v>
      </c>
      <c r="AJ627" s="5" t="s">
        <v>3724</v>
      </c>
      <c r="AK627" s="12"/>
      <c r="AL627" s="12"/>
      <c r="AM627" s="12"/>
      <c r="AN627" s="12"/>
      <c r="AO627" s="12"/>
      <c r="AP627" s="12"/>
      <c r="AQ627" s="12"/>
    </row>
    <row r="628">
      <c r="A628" s="5" t="s">
        <v>3725</v>
      </c>
      <c r="B628" s="5">
        <v>1.1398423E7</v>
      </c>
      <c r="C628" s="5" t="s">
        <v>37</v>
      </c>
      <c r="D628" s="5" t="s">
        <v>3726</v>
      </c>
      <c r="E628" s="5" t="s">
        <v>39</v>
      </c>
      <c r="F628" s="5" t="s">
        <v>3727</v>
      </c>
      <c r="G628" s="15">
        <v>6.28122E16</v>
      </c>
      <c r="H628" s="5" t="s">
        <v>3728</v>
      </c>
      <c r="I628" s="5" t="s">
        <v>42</v>
      </c>
      <c r="J628" s="5" t="s">
        <v>43</v>
      </c>
      <c r="K628" s="5">
        <v>8.7733785699E10</v>
      </c>
      <c r="L628" s="4" t="s">
        <v>44</v>
      </c>
      <c r="M628" s="5" t="s">
        <v>42</v>
      </c>
      <c r="N628" s="4" t="s">
        <v>45</v>
      </c>
      <c r="O628" s="4" t="s">
        <v>46</v>
      </c>
      <c r="P628" s="4" t="s">
        <v>47</v>
      </c>
      <c r="Q628" s="4">
        <v>16451.0</v>
      </c>
      <c r="R628" s="5" t="s">
        <v>3729</v>
      </c>
      <c r="S628" s="8">
        <v>46184.0</v>
      </c>
      <c r="T628" s="9">
        <v>0.375</v>
      </c>
      <c r="U628" s="9">
        <v>0.9166666666666666</v>
      </c>
      <c r="V628" s="4" t="s">
        <v>49</v>
      </c>
      <c r="W628" s="5">
        <v>1.0</v>
      </c>
      <c r="X628" s="5" t="b">
        <v>1</v>
      </c>
      <c r="Y628" s="5" t="s">
        <v>50</v>
      </c>
      <c r="Z628" s="5" t="b">
        <v>0</v>
      </c>
      <c r="AA628" s="10"/>
      <c r="AB628" s="4">
        <v>1.0</v>
      </c>
      <c r="AC628" s="11" t="s">
        <v>3730</v>
      </c>
      <c r="AD628" s="5">
        <v>0.0</v>
      </c>
      <c r="AE628" s="5">
        <v>1.0</v>
      </c>
      <c r="AF628" s="8">
        <v>46184.0</v>
      </c>
      <c r="AG628" s="9">
        <v>0.375</v>
      </c>
      <c r="AH628" s="9">
        <v>0.9166666666666666</v>
      </c>
      <c r="AI628" s="4" t="s">
        <v>49</v>
      </c>
      <c r="AJ628" s="5" t="s">
        <v>3731</v>
      </c>
      <c r="AK628" s="12"/>
      <c r="AL628" s="12"/>
      <c r="AM628" s="12"/>
      <c r="AN628" s="12"/>
      <c r="AO628" s="12"/>
      <c r="AP628" s="12"/>
      <c r="AQ628" s="12"/>
    </row>
    <row r="629">
      <c r="A629" s="5" t="s">
        <v>3732</v>
      </c>
      <c r="B629" s="5">
        <v>1.1398423E7</v>
      </c>
      <c r="C629" s="5" t="s">
        <v>37</v>
      </c>
      <c r="D629" s="5" t="s">
        <v>3733</v>
      </c>
      <c r="E629" s="5" t="s">
        <v>39</v>
      </c>
      <c r="F629" s="5" t="s">
        <v>282</v>
      </c>
      <c r="G629" s="15">
        <v>8.164881897E9</v>
      </c>
      <c r="H629" s="5" t="s">
        <v>3734</v>
      </c>
      <c r="I629" s="5" t="s">
        <v>42</v>
      </c>
      <c r="J629" s="5" t="s">
        <v>43</v>
      </c>
      <c r="K629" s="5">
        <v>8.7733785699E10</v>
      </c>
      <c r="L629" s="4" t="s">
        <v>44</v>
      </c>
      <c r="M629" s="5" t="s">
        <v>42</v>
      </c>
      <c r="N629" s="4" t="s">
        <v>45</v>
      </c>
      <c r="O629" s="4" t="s">
        <v>46</v>
      </c>
      <c r="P629" s="4" t="s">
        <v>47</v>
      </c>
      <c r="Q629" s="4">
        <v>16451.0</v>
      </c>
      <c r="R629" s="5" t="s">
        <v>3735</v>
      </c>
      <c r="S629" s="8">
        <v>46184.0</v>
      </c>
      <c r="T629" s="9">
        <v>0.375</v>
      </c>
      <c r="U629" s="9">
        <v>0.9166666666666666</v>
      </c>
      <c r="V629" s="4" t="s">
        <v>49</v>
      </c>
      <c r="W629" s="5">
        <v>1.0</v>
      </c>
      <c r="X629" s="5" t="b">
        <v>1</v>
      </c>
      <c r="Y629" s="5" t="s">
        <v>50</v>
      </c>
      <c r="Z629" s="5" t="b">
        <v>0</v>
      </c>
      <c r="AA629" s="10"/>
      <c r="AB629" s="4">
        <v>1.0</v>
      </c>
      <c r="AC629" s="11" t="s">
        <v>3736</v>
      </c>
      <c r="AD629" s="5">
        <v>0.0</v>
      </c>
      <c r="AE629" s="5">
        <v>1.0</v>
      </c>
      <c r="AF629" s="8">
        <v>46184.0</v>
      </c>
      <c r="AG629" s="9">
        <v>0.375</v>
      </c>
      <c r="AH629" s="9">
        <v>0.9166666666666666</v>
      </c>
      <c r="AI629" s="4" t="s">
        <v>49</v>
      </c>
      <c r="AJ629" s="5" t="s">
        <v>3737</v>
      </c>
      <c r="AK629" s="12"/>
      <c r="AL629" s="12"/>
      <c r="AM629" s="12"/>
      <c r="AN629" s="12"/>
      <c r="AO629" s="12"/>
      <c r="AP629" s="12"/>
      <c r="AQ629" s="12"/>
    </row>
    <row r="630">
      <c r="A630" s="5" t="s">
        <v>3738</v>
      </c>
      <c r="B630" s="5">
        <v>1.1398423E7</v>
      </c>
      <c r="C630" s="5" t="s">
        <v>37</v>
      </c>
      <c r="D630" s="5" t="s">
        <v>3739</v>
      </c>
      <c r="E630" s="5" t="s">
        <v>39</v>
      </c>
      <c r="F630" s="5" t="s">
        <v>3740</v>
      </c>
      <c r="G630" s="15">
        <v>8.1908240368E10</v>
      </c>
      <c r="H630" s="5" t="s">
        <v>3741</v>
      </c>
      <c r="I630" s="5" t="s">
        <v>42</v>
      </c>
      <c r="J630" s="5" t="s">
        <v>43</v>
      </c>
      <c r="K630" s="5">
        <v>8.7733785699E10</v>
      </c>
      <c r="L630" s="4" t="s">
        <v>44</v>
      </c>
      <c r="M630" s="5" t="s">
        <v>42</v>
      </c>
      <c r="N630" s="4" t="s">
        <v>45</v>
      </c>
      <c r="O630" s="4" t="s">
        <v>46</v>
      </c>
      <c r="P630" s="4" t="s">
        <v>47</v>
      </c>
      <c r="Q630" s="4">
        <v>16451.0</v>
      </c>
      <c r="R630" s="5" t="s">
        <v>3742</v>
      </c>
      <c r="S630" s="8">
        <v>46184.0</v>
      </c>
      <c r="T630" s="9">
        <v>0.375</v>
      </c>
      <c r="U630" s="9">
        <v>0.9166666666666666</v>
      </c>
      <c r="V630" s="4" t="s">
        <v>49</v>
      </c>
      <c r="W630" s="5">
        <v>1.0</v>
      </c>
      <c r="X630" s="5" t="b">
        <v>1</v>
      </c>
      <c r="Y630" s="5" t="s">
        <v>50</v>
      </c>
      <c r="Z630" s="5" t="b">
        <v>0</v>
      </c>
      <c r="AA630" s="10"/>
      <c r="AB630" s="4">
        <v>1.0</v>
      </c>
      <c r="AC630" s="11" t="s">
        <v>3743</v>
      </c>
      <c r="AD630" s="5">
        <v>0.0</v>
      </c>
      <c r="AE630" s="5">
        <v>1.0</v>
      </c>
      <c r="AF630" s="8">
        <v>46184.0</v>
      </c>
      <c r="AG630" s="9">
        <v>0.375</v>
      </c>
      <c r="AH630" s="9">
        <v>0.9166666666666666</v>
      </c>
      <c r="AI630" s="4" t="s">
        <v>49</v>
      </c>
      <c r="AJ630" s="5" t="s">
        <v>3744</v>
      </c>
      <c r="AK630" s="12"/>
      <c r="AL630" s="12"/>
      <c r="AM630" s="12"/>
      <c r="AN630" s="12"/>
      <c r="AO630" s="12"/>
      <c r="AP630" s="12"/>
      <c r="AQ630" s="12"/>
    </row>
    <row r="631">
      <c r="A631" s="5" t="s">
        <v>3745</v>
      </c>
      <c r="B631" s="5">
        <v>1.1398423E7</v>
      </c>
      <c r="C631" s="5" t="s">
        <v>37</v>
      </c>
      <c r="D631" s="5" t="s">
        <v>3746</v>
      </c>
      <c r="E631" s="5" t="s">
        <v>39</v>
      </c>
      <c r="F631" s="5" t="s">
        <v>3747</v>
      </c>
      <c r="G631" s="15">
        <v>8.156747764E9</v>
      </c>
      <c r="H631" s="5" t="s">
        <v>3748</v>
      </c>
      <c r="I631" s="5" t="s">
        <v>42</v>
      </c>
      <c r="J631" s="5" t="s">
        <v>43</v>
      </c>
      <c r="K631" s="5">
        <v>8.7733785699E10</v>
      </c>
      <c r="L631" s="4" t="s">
        <v>44</v>
      </c>
      <c r="M631" s="5" t="s">
        <v>42</v>
      </c>
      <c r="N631" s="4" t="s">
        <v>45</v>
      </c>
      <c r="O631" s="4" t="s">
        <v>46</v>
      </c>
      <c r="P631" s="4" t="s">
        <v>47</v>
      </c>
      <c r="Q631" s="4">
        <v>16451.0</v>
      </c>
      <c r="R631" s="5" t="s">
        <v>3749</v>
      </c>
      <c r="S631" s="8">
        <v>46184.0</v>
      </c>
      <c r="T631" s="9">
        <v>0.375</v>
      </c>
      <c r="U631" s="9">
        <v>0.9166666666666666</v>
      </c>
      <c r="V631" s="4" t="s">
        <v>49</v>
      </c>
      <c r="W631" s="5">
        <v>1.0</v>
      </c>
      <c r="X631" s="5" t="b">
        <v>1</v>
      </c>
      <c r="Y631" s="5" t="s">
        <v>50</v>
      </c>
      <c r="Z631" s="5" t="b">
        <v>0</v>
      </c>
      <c r="AA631" s="10"/>
      <c r="AB631" s="4">
        <v>1.0</v>
      </c>
      <c r="AC631" s="11" t="s">
        <v>3750</v>
      </c>
      <c r="AD631" s="5">
        <v>0.0</v>
      </c>
      <c r="AE631" s="5">
        <v>1.0</v>
      </c>
      <c r="AF631" s="8">
        <v>46184.0</v>
      </c>
      <c r="AG631" s="9">
        <v>0.375</v>
      </c>
      <c r="AH631" s="9">
        <v>0.9166666666666666</v>
      </c>
      <c r="AI631" s="4" t="s">
        <v>49</v>
      </c>
      <c r="AJ631" s="5" t="s">
        <v>3751</v>
      </c>
      <c r="AK631" s="12"/>
      <c r="AL631" s="12"/>
      <c r="AM631" s="12"/>
      <c r="AN631" s="12"/>
      <c r="AO631" s="12"/>
      <c r="AP631" s="12"/>
      <c r="AQ631" s="12"/>
    </row>
    <row r="632">
      <c r="A632" s="5" t="s">
        <v>3752</v>
      </c>
      <c r="B632" s="5">
        <v>1.1398423E7</v>
      </c>
      <c r="C632" s="5" t="s">
        <v>37</v>
      </c>
      <c r="D632" s="5" t="s">
        <v>3753</v>
      </c>
      <c r="E632" s="5" t="s">
        <v>39</v>
      </c>
      <c r="F632" s="5" t="s">
        <v>3754</v>
      </c>
      <c r="G632" s="15">
        <v>8.5780639633E10</v>
      </c>
      <c r="H632" s="5" t="s">
        <v>3755</v>
      </c>
      <c r="I632" s="5" t="s">
        <v>42</v>
      </c>
      <c r="J632" s="5" t="s">
        <v>43</v>
      </c>
      <c r="K632" s="5">
        <v>8.7733785699E10</v>
      </c>
      <c r="L632" s="4" t="s">
        <v>44</v>
      </c>
      <c r="M632" s="5" t="s">
        <v>42</v>
      </c>
      <c r="N632" s="4" t="s">
        <v>45</v>
      </c>
      <c r="O632" s="4" t="s">
        <v>46</v>
      </c>
      <c r="P632" s="4" t="s">
        <v>47</v>
      </c>
      <c r="Q632" s="4">
        <v>16451.0</v>
      </c>
      <c r="R632" s="5" t="s">
        <v>3756</v>
      </c>
      <c r="S632" s="8">
        <v>46184.0</v>
      </c>
      <c r="T632" s="9">
        <v>0.375</v>
      </c>
      <c r="U632" s="9">
        <v>0.9166666666666666</v>
      </c>
      <c r="V632" s="4" t="s">
        <v>49</v>
      </c>
      <c r="W632" s="5">
        <v>1.0</v>
      </c>
      <c r="X632" s="5" t="b">
        <v>1</v>
      </c>
      <c r="Y632" s="5" t="s">
        <v>50</v>
      </c>
      <c r="Z632" s="5" t="b">
        <v>0</v>
      </c>
      <c r="AA632" s="10"/>
      <c r="AB632" s="4">
        <v>1.0</v>
      </c>
      <c r="AC632" s="11" t="s">
        <v>3757</v>
      </c>
      <c r="AD632" s="5">
        <v>0.0</v>
      </c>
      <c r="AE632" s="5">
        <v>1.0</v>
      </c>
      <c r="AF632" s="8">
        <v>46184.0</v>
      </c>
      <c r="AG632" s="9">
        <v>0.375</v>
      </c>
      <c r="AH632" s="9">
        <v>0.9166666666666666</v>
      </c>
      <c r="AI632" s="4" t="s">
        <v>49</v>
      </c>
      <c r="AJ632" s="5" t="s">
        <v>3758</v>
      </c>
      <c r="AK632" s="12"/>
      <c r="AL632" s="12"/>
      <c r="AM632" s="12"/>
      <c r="AN632" s="12"/>
      <c r="AO632" s="12"/>
      <c r="AP632" s="12"/>
      <c r="AQ632" s="12"/>
    </row>
    <row r="633">
      <c r="A633" s="5" t="s">
        <v>3759</v>
      </c>
      <c r="B633" s="5">
        <v>1.1398423E7</v>
      </c>
      <c r="C633" s="5" t="s">
        <v>37</v>
      </c>
      <c r="D633" s="5" t="s">
        <v>3760</v>
      </c>
      <c r="E633" s="5" t="s">
        <v>39</v>
      </c>
      <c r="F633" s="5" t="s">
        <v>3761</v>
      </c>
      <c r="G633" s="15">
        <v>8.1315952212E10</v>
      </c>
      <c r="H633" s="5" t="s">
        <v>3762</v>
      </c>
      <c r="I633" s="5" t="s">
        <v>42</v>
      </c>
      <c r="J633" s="5" t="s">
        <v>43</v>
      </c>
      <c r="K633" s="5">
        <v>8.7733785699E10</v>
      </c>
      <c r="L633" s="4" t="s">
        <v>44</v>
      </c>
      <c r="M633" s="5" t="s">
        <v>42</v>
      </c>
      <c r="N633" s="4" t="s">
        <v>45</v>
      </c>
      <c r="O633" s="4" t="s">
        <v>46</v>
      </c>
      <c r="P633" s="4" t="s">
        <v>47</v>
      </c>
      <c r="Q633" s="4">
        <v>16451.0</v>
      </c>
      <c r="R633" s="5" t="s">
        <v>3763</v>
      </c>
      <c r="S633" s="8">
        <v>46184.0</v>
      </c>
      <c r="T633" s="9">
        <v>0.375</v>
      </c>
      <c r="U633" s="9">
        <v>0.9166666666666666</v>
      </c>
      <c r="V633" s="4" t="s">
        <v>49</v>
      </c>
      <c r="W633" s="5">
        <v>1.0</v>
      </c>
      <c r="X633" s="5" t="b">
        <v>1</v>
      </c>
      <c r="Y633" s="5" t="s">
        <v>50</v>
      </c>
      <c r="Z633" s="5" t="b">
        <v>0</v>
      </c>
      <c r="AA633" s="10"/>
      <c r="AB633" s="4">
        <v>1.0</v>
      </c>
      <c r="AC633" s="11" t="s">
        <v>3764</v>
      </c>
      <c r="AD633" s="5">
        <v>0.0</v>
      </c>
      <c r="AE633" s="5">
        <v>1.0</v>
      </c>
      <c r="AF633" s="8">
        <v>46184.0</v>
      </c>
      <c r="AG633" s="9">
        <v>0.375</v>
      </c>
      <c r="AH633" s="9">
        <v>0.9166666666666666</v>
      </c>
      <c r="AI633" s="4" t="s">
        <v>49</v>
      </c>
      <c r="AJ633" s="5" t="s">
        <v>3765</v>
      </c>
      <c r="AK633" s="12"/>
      <c r="AL633" s="12"/>
      <c r="AM633" s="12"/>
      <c r="AN633" s="12"/>
      <c r="AO633" s="12"/>
      <c r="AP633" s="12"/>
      <c r="AQ633" s="12"/>
    </row>
    <row r="634">
      <c r="A634" s="5" t="s">
        <v>3766</v>
      </c>
      <c r="B634" s="5">
        <v>1.1398423E7</v>
      </c>
      <c r="C634" s="5" t="s">
        <v>37</v>
      </c>
      <c r="D634" s="5" t="s">
        <v>3767</v>
      </c>
      <c r="E634" s="5" t="s">
        <v>39</v>
      </c>
      <c r="F634" s="5" t="s">
        <v>3768</v>
      </c>
      <c r="G634" s="15">
        <v>8.5263863666E10</v>
      </c>
      <c r="H634" s="5" t="s">
        <v>3769</v>
      </c>
      <c r="I634" s="5" t="s">
        <v>42</v>
      </c>
      <c r="J634" s="5" t="s">
        <v>43</v>
      </c>
      <c r="K634" s="5">
        <v>8.7733785699E10</v>
      </c>
      <c r="L634" s="4" t="s">
        <v>44</v>
      </c>
      <c r="M634" s="5" t="s">
        <v>42</v>
      </c>
      <c r="N634" s="4" t="s">
        <v>45</v>
      </c>
      <c r="O634" s="4" t="s">
        <v>46</v>
      </c>
      <c r="P634" s="4" t="s">
        <v>47</v>
      </c>
      <c r="Q634" s="4">
        <v>16451.0</v>
      </c>
      <c r="R634" s="5" t="s">
        <v>3770</v>
      </c>
      <c r="S634" s="8">
        <v>46184.0</v>
      </c>
      <c r="T634" s="9">
        <v>0.375</v>
      </c>
      <c r="U634" s="9">
        <v>0.9166666666666666</v>
      </c>
      <c r="V634" s="4" t="s">
        <v>49</v>
      </c>
      <c r="W634" s="5">
        <v>1.0</v>
      </c>
      <c r="X634" s="5" t="b">
        <v>1</v>
      </c>
      <c r="Y634" s="5" t="s">
        <v>50</v>
      </c>
      <c r="Z634" s="5" t="b">
        <v>0</v>
      </c>
      <c r="AA634" s="10"/>
      <c r="AB634" s="4">
        <v>1.0</v>
      </c>
      <c r="AC634" s="11" t="s">
        <v>3771</v>
      </c>
      <c r="AD634" s="5">
        <v>0.0</v>
      </c>
      <c r="AE634" s="5">
        <v>1.0</v>
      </c>
      <c r="AF634" s="8">
        <v>46184.0</v>
      </c>
      <c r="AG634" s="9">
        <v>0.375</v>
      </c>
      <c r="AH634" s="9">
        <v>0.9166666666666666</v>
      </c>
      <c r="AI634" s="4" t="s">
        <v>49</v>
      </c>
      <c r="AJ634" s="5" t="s">
        <v>3772</v>
      </c>
      <c r="AK634" s="12"/>
      <c r="AL634" s="12"/>
      <c r="AM634" s="12"/>
      <c r="AN634" s="12"/>
      <c r="AO634" s="12"/>
      <c r="AP634" s="12"/>
      <c r="AQ634" s="12"/>
    </row>
    <row r="635">
      <c r="A635" s="5" t="s">
        <v>3773</v>
      </c>
      <c r="B635" s="5">
        <v>1.1398423E7</v>
      </c>
      <c r="C635" s="5" t="s">
        <v>37</v>
      </c>
      <c r="D635" s="5" t="s">
        <v>3774</v>
      </c>
      <c r="E635" s="5" t="s">
        <v>39</v>
      </c>
      <c r="F635" s="5" t="s">
        <v>3775</v>
      </c>
      <c r="G635" s="15">
        <v>8.1380704123E10</v>
      </c>
      <c r="H635" s="5" t="s">
        <v>3776</v>
      </c>
      <c r="I635" s="5" t="s">
        <v>42</v>
      </c>
      <c r="J635" s="5" t="s">
        <v>43</v>
      </c>
      <c r="K635" s="5">
        <v>8.7733785699E10</v>
      </c>
      <c r="L635" s="4" t="s">
        <v>44</v>
      </c>
      <c r="M635" s="5" t="s">
        <v>42</v>
      </c>
      <c r="N635" s="4" t="s">
        <v>45</v>
      </c>
      <c r="O635" s="4" t="s">
        <v>46</v>
      </c>
      <c r="P635" s="4" t="s">
        <v>47</v>
      </c>
      <c r="Q635" s="4">
        <v>16451.0</v>
      </c>
      <c r="R635" s="5" t="s">
        <v>3777</v>
      </c>
      <c r="S635" s="8">
        <v>46184.0</v>
      </c>
      <c r="T635" s="9">
        <v>0.375</v>
      </c>
      <c r="U635" s="9">
        <v>0.9166666666666666</v>
      </c>
      <c r="V635" s="4" t="s">
        <v>49</v>
      </c>
      <c r="W635" s="5">
        <v>1.0</v>
      </c>
      <c r="X635" s="5" t="b">
        <v>1</v>
      </c>
      <c r="Y635" s="5" t="s">
        <v>50</v>
      </c>
      <c r="Z635" s="5" t="b">
        <v>0</v>
      </c>
      <c r="AA635" s="10"/>
      <c r="AB635" s="4">
        <v>1.0</v>
      </c>
      <c r="AC635" s="11" t="s">
        <v>3778</v>
      </c>
      <c r="AD635" s="5">
        <v>0.0</v>
      </c>
      <c r="AE635" s="5">
        <v>1.0</v>
      </c>
      <c r="AF635" s="8">
        <v>46184.0</v>
      </c>
      <c r="AG635" s="9">
        <v>0.375</v>
      </c>
      <c r="AH635" s="9">
        <v>0.9166666666666666</v>
      </c>
      <c r="AI635" s="4" t="s">
        <v>49</v>
      </c>
      <c r="AJ635" s="5" t="s">
        <v>3779</v>
      </c>
      <c r="AK635" s="12"/>
      <c r="AL635" s="12"/>
      <c r="AM635" s="12"/>
      <c r="AN635" s="12"/>
      <c r="AO635" s="12"/>
      <c r="AP635" s="12"/>
      <c r="AQ635" s="12"/>
    </row>
    <row r="636">
      <c r="A636" s="5" t="s">
        <v>3780</v>
      </c>
      <c r="B636" s="5">
        <v>1.1398423E7</v>
      </c>
      <c r="C636" s="5" t="s">
        <v>37</v>
      </c>
      <c r="D636" s="5" t="s">
        <v>3781</v>
      </c>
      <c r="E636" s="5" t="s">
        <v>39</v>
      </c>
      <c r="F636" s="5" t="s">
        <v>3782</v>
      </c>
      <c r="G636" s="15">
        <v>6.28522E17</v>
      </c>
      <c r="H636" s="5" t="s">
        <v>3783</v>
      </c>
      <c r="I636" s="5" t="s">
        <v>42</v>
      </c>
      <c r="J636" s="5" t="s">
        <v>43</v>
      </c>
      <c r="K636" s="5">
        <v>8.7733785699E10</v>
      </c>
      <c r="L636" s="4" t="s">
        <v>44</v>
      </c>
      <c r="M636" s="5" t="s">
        <v>42</v>
      </c>
      <c r="N636" s="4" t="s">
        <v>45</v>
      </c>
      <c r="O636" s="4" t="s">
        <v>46</v>
      </c>
      <c r="P636" s="4" t="s">
        <v>47</v>
      </c>
      <c r="Q636" s="4">
        <v>16451.0</v>
      </c>
      <c r="R636" s="5" t="s">
        <v>3784</v>
      </c>
      <c r="S636" s="8">
        <v>46184.0</v>
      </c>
      <c r="T636" s="9">
        <v>0.375</v>
      </c>
      <c r="U636" s="9">
        <v>0.9166666666666666</v>
      </c>
      <c r="V636" s="4" t="s">
        <v>49</v>
      </c>
      <c r="W636" s="5">
        <v>1.0</v>
      </c>
      <c r="X636" s="5" t="b">
        <v>1</v>
      </c>
      <c r="Y636" s="5" t="s">
        <v>50</v>
      </c>
      <c r="Z636" s="5" t="b">
        <v>0</v>
      </c>
      <c r="AA636" s="10"/>
      <c r="AB636" s="4">
        <v>1.0</v>
      </c>
      <c r="AC636" s="11" t="s">
        <v>3785</v>
      </c>
      <c r="AD636" s="5">
        <v>0.0</v>
      </c>
      <c r="AE636" s="5">
        <v>1.0</v>
      </c>
      <c r="AF636" s="8">
        <v>46184.0</v>
      </c>
      <c r="AG636" s="9">
        <v>0.375</v>
      </c>
      <c r="AH636" s="9">
        <v>0.9166666666666666</v>
      </c>
      <c r="AI636" s="4" t="s">
        <v>49</v>
      </c>
      <c r="AJ636" s="5" t="s">
        <v>3786</v>
      </c>
      <c r="AK636" s="12"/>
      <c r="AL636" s="12"/>
      <c r="AM636" s="12"/>
      <c r="AN636" s="12"/>
      <c r="AO636" s="12"/>
      <c r="AP636" s="12"/>
      <c r="AQ636" s="12"/>
    </row>
    <row r="637">
      <c r="A637" s="5" t="s">
        <v>3787</v>
      </c>
      <c r="B637" s="5">
        <v>1.1398423E7</v>
      </c>
      <c r="C637" s="5" t="s">
        <v>37</v>
      </c>
      <c r="D637" s="5" t="s">
        <v>3788</v>
      </c>
      <c r="E637" s="5" t="s">
        <v>39</v>
      </c>
      <c r="F637" s="5" t="s">
        <v>3789</v>
      </c>
      <c r="G637" s="15">
        <v>8.112106766E9</v>
      </c>
      <c r="H637" s="5" t="s">
        <v>3790</v>
      </c>
      <c r="I637" s="5" t="s">
        <v>42</v>
      </c>
      <c r="J637" s="5" t="s">
        <v>43</v>
      </c>
      <c r="K637" s="5">
        <v>8.7733785699E10</v>
      </c>
      <c r="L637" s="4" t="s">
        <v>44</v>
      </c>
      <c r="M637" s="5" t="s">
        <v>42</v>
      </c>
      <c r="N637" s="4" t="s">
        <v>45</v>
      </c>
      <c r="O637" s="4" t="s">
        <v>46</v>
      </c>
      <c r="P637" s="4" t="s">
        <v>47</v>
      </c>
      <c r="Q637" s="4">
        <v>16451.0</v>
      </c>
      <c r="R637" s="5" t="s">
        <v>3791</v>
      </c>
      <c r="S637" s="8">
        <v>46184.0</v>
      </c>
      <c r="T637" s="9">
        <v>0.375</v>
      </c>
      <c r="U637" s="9">
        <v>0.9166666666666666</v>
      </c>
      <c r="V637" s="4" t="s">
        <v>49</v>
      </c>
      <c r="W637" s="5">
        <v>1.0</v>
      </c>
      <c r="X637" s="5" t="b">
        <v>1</v>
      </c>
      <c r="Y637" s="5" t="s">
        <v>50</v>
      </c>
      <c r="Z637" s="5" t="b">
        <v>0</v>
      </c>
      <c r="AA637" s="10"/>
      <c r="AB637" s="4">
        <v>1.0</v>
      </c>
      <c r="AC637" s="11" t="s">
        <v>3792</v>
      </c>
      <c r="AD637" s="5">
        <v>0.0</v>
      </c>
      <c r="AE637" s="5">
        <v>1.0</v>
      </c>
      <c r="AF637" s="8">
        <v>46184.0</v>
      </c>
      <c r="AG637" s="9">
        <v>0.375</v>
      </c>
      <c r="AH637" s="9">
        <v>0.9166666666666666</v>
      </c>
      <c r="AI637" s="4" t="s">
        <v>49</v>
      </c>
      <c r="AJ637" s="5" t="s">
        <v>3793</v>
      </c>
      <c r="AK637" s="12"/>
      <c r="AL637" s="12"/>
      <c r="AM637" s="12"/>
      <c r="AN637" s="12"/>
      <c r="AO637" s="12"/>
      <c r="AP637" s="12"/>
      <c r="AQ637" s="12"/>
    </row>
    <row r="638">
      <c r="A638" s="5" t="s">
        <v>3794</v>
      </c>
      <c r="B638" s="5">
        <v>1.1398423E7</v>
      </c>
      <c r="C638" s="5" t="s">
        <v>37</v>
      </c>
      <c r="D638" s="5" t="s">
        <v>3795</v>
      </c>
      <c r="E638" s="5" t="s">
        <v>39</v>
      </c>
      <c r="F638" s="5" t="s">
        <v>3796</v>
      </c>
      <c r="G638" s="15">
        <v>8.1223870264E10</v>
      </c>
      <c r="H638" s="5" t="s">
        <v>3797</v>
      </c>
      <c r="I638" s="5" t="s">
        <v>42</v>
      </c>
      <c r="J638" s="5" t="s">
        <v>43</v>
      </c>
      <c r="K638" s="5">
        <v>8.7733785699E10</v>
      </c>
      <c r="L638" s="4" t="s">
        <v>44</v>
      </c>
      <c r="M638" s="5" t="s">
        <v>42</v>
      </c>
      <c r="N638" s="4" t="s">
        <v>45</v>
      </c>
      <c r="O638" s="4" t="s">
        <v>46</v>
      </c>
      <c r="P638" s="4" t="s">
        <v>47</v>
      </c>
      <c r="Q638" s="4">
        <v>16451.0</v>
      </c>
      <c r="R638" s="5" t="s">
        <v>3798</v>
      </c>
      <c r="S638" s="8">
        <v>46184.0</v>
      </c>
      <c r="T638" s="9">
        <v>0.375</v>
      </c>
      <c r="U638" s="9">
        <v>0.9166666666666666</v>
      </c>
      <c r="V638" s="4" t="s">
        <v>49</v>
      </c>
      <c r="W638" s="5">
        <v>1.0</v>
      </c>
      <c r="X638" s="5" t="b">
        <v>1</v>
      </c>
      <c r="Y638" s="5" t="s">
        <v>50</v>
      </c>
      <c r="Z638" s="5" t="b">
        <v>0</v>
      </c>
      <c r="AA638" s="10"/>
      <c r="AB638" s="4">
        <v>1.0</v>
      </c>
      <c r="AC638" s="11" t="s">
        <v>3799</v>
      </c>
      <c r="AD638" s="5">
        <v>0.0</v>
      </c>
      <c r="AE638" s="5">
        <v>1.0</v>
      </c>
      <c r="AF638" s="8">
        <v>46184.0</v>
      </c>
      <c r="AG638" s="9">
        <v>0.375</v>
      </c>
      <c r="AH638" s="9">
        <v>0.9166666666666666</v>
      </c>
      <c r="AI638" s="4" t="s">
        <v>49</v>
      </c>
      <c r="AJ638" s="5" t="s">
        <v>3800</v>
      </c>
      <c r="AK638" s="12"/>
      <c r="AL638" s="12"/>
      <c r="AM638" s="12"/>
      <c r="AN638" s="12"/>
      <c r="AO638" s="12"/>
      <c r="AP638" s="12"/>
      <c r="AQ638" s="12"/>
    </row>
    <row r="639">
      <c r="A639" s="5" t="s">
        <v>3801</v>
      </c>
      <c r="B639" s="5">
        <v>1.1398423E7</v>
      </c>
      <c r="C639" s="5" t="s">
        <v>37</v>
      </c>
      <c r="D639" s="5" t="s">
        <v>3802</v>
      </c>
      <c r="E639" s="5" t="s">
        <v>39</v>
      </c>
      <c r="F639" s="5" t="s">
        <v>3803</v>
      </c>
      <c r="G639" s="15">
        <v>8.2318965737E10</v>
      </c>
      <c r="H639" s="5" t="s">
        <v>3804</v>
      </c>
      <c r="I639" s="5" t="s">
        <v>42</v>
      </c>
      <c r="J639" s="5" t="s">
        <v>43</v>
      </c>
      <c r="K639" s="5">
        <v>8.7733785699E10</v>
      </c>
      <c r="L639" s="4" t="s">
        <v>44</v>
      </c>
      <c r="M639" s="5" t="s">
        <v>42</v>
      </c>
      <c r="N639" s="4" t="s">
        <v>45</v>
      </c>
      <c r="O639" s="4" t="s">
        <v>46</v>
      </c>
      <c r="P639" s="4" t="s">
        <v>47</v>
      </c>
      <c r="Q639" s="4">
        <v>16451.0</v>
      </c>
      <c r="R639" s="5" t="s">
        <v>3805</v>
      </c>
      <c r="S639" s="8">
        <v>46184.0</v>
      </c>
      <c r="T639" s="9">
        <v>0.375</v>
      </c>
      <c r="U639" s="9">
        <v>0.9166666666666666</v>
      </c>
      <c r="V639" s="4" t="s">
        <v>49</v>
      </c>
      <c r="W639" s="5">
        <v>1.0</v>
      </c>
      <c r="X639" s="5" t="b">
        <v>1</v>
      </c>
      <c r="Y639" s="5" t="s">
        <v>50</v>
      </c>
      <c r="Z639" s="5" t="b">
        <v>0</v>
      </c>
      <c r="AA639" s="10"/>
      <c r="AB639" s="4">
        <v>1.0</v>
      </c>
      <c r="AC639" s="11" t="s">
        <v>3806</v>
      </c>
      <c r="AD639" s="5">
        <v>0.0</v>
      </c>
      <c r="AE639" s="5">
        <v>1.0</v>
      </c>
      <c r="AF639" s="8">
        <v>46184.0</v>
      </c>
      <c r="AG639" s="9">
        <v>0.375</v>
      </c>
      <c r="AH639" s="9">
        <v>0.9166666666666666</v>
      </c>
      <c r="AI639" s="4" t="s">
        <v>49</v>
      </c>
      <c r="AJ639" s="5" t="s">
        <v>3807</v>
      </c>
      <c r="AK639" s="12"/>
      <c r="AL639" s="12"/>
      <c r="AM639" s="12"/>
      <c r="AN639" s="12"/>
      <c r="AO639" s="12"/>
      <c r="AP639" s="12"/>
      <c r="AQ639" s="12"/>
    </row>
    <row r="640">
      <c r="A640" s="5" t="s">
        <v>3808</v>
      </c>
      <c r="B640" s="5">
        <v>1.1398423E7</v>
      </c>
      <c r="C640" s="5" t="s">
        <v>37</v>
      </c>
      <c r="D640" s="5" t="s">
        <v>3809</v>
      </c>
      <c r="E640" s="5" t="s">
        <v>39</v>
      </c>
      <c r="F640" s="5" t="s">
        <v>3810</v>
      </c>
      <c r="G640" s="15">
        <v>8.1214764857E10</v>
      </c>
      <c r="H640" s="5" t="s">
        <v>3811</v>
      </c>
      <c r="I640" s="5" t="s">
        <v>42</v>
      </c>
      <c r="J640" s="5" t="s">
        <v>43</v>
      </c>
      <c r="K640" s="5">
        <v>8.7733785699E10</v>
      </c>
      <c r="L640" s="4" t="s">
        <v>44</v>
      </c>
      <c r="M640" s="5" t="s">
        <v>42</v>
      </c>
      <c r="N640" s="4" t="s">
        <v>45</v>
      </c>
      <c r="O640" s="4" t="s">
        <v>46</v>
      </c>
      <c r="P640" s="4" t="s">
        <v>47</v>
      </c>
      <c r="Q640" s="4">
        <v>16451.0</v>
      </c>
      <c r="R640" s="5" t="s">
        <v>3812</v>
      </c>
      <c r="S640" s="8">
        <v>46184.0</v>
      </c>
      <c r="T640" s="9">
        <v>0.375</v>
      </c>
      <c r="U640" s="9">
        <v>0.9166666666666666</v>
      </c>
      <c r="V640" s="4" t="s">
        <v>49</v>
      </c>
      <c r="W640" s="5">
        <v>1.0</v>
      </c>
      <c r="X640" s="5" t="b">
        <v>1</v>
      </c>
      <c r="Y640" s="5" t="s">
        <v>50</v>
      </c>
      <c r="Z640" s="5" t="b">
        <v>0</v>
      </c>
      <c r="AA640" s="10"/>
      <c r="AB640" s="4">
        <v>1.0</v>
      </c>
      <c r="AC640" s="11" t="s">
        <v>3813</v>
      </c>
      <c r="AD640" s="5">
        <v>0.0</v>
      </c>
      <c r="AE640" s="5">
        <v>1.0</v>
      </c>
      <c r="AF640" s="8">
        <v>46184.0</v>
      </c>
      <c r="AG640" s="9">
        <v>0.375</v>
      </c>
      <c r="AH640" s="9">
        <v>0.9166666666666666</v>
      </c>
      <c r="AI640" s="4" t="s">
        <v>49</v>
      </c>
      <c r="AJ640" s="5" t="s">
        <v>3814</v>
      </c>
      <c r="AK640" s="12"/>
      <c r="AL640" s="12"/>
      <c r="AM640" s="12"/>
      <c r="AN640" s="12"/>
      <c r="AO640" s="12"/>
      <c r="AP640" s="12"/>
      <c r="AQ640" s="12"/>
    </row>
    <row r="641">
      <c r="A641" s="5" t="s">
        <v>3815</v>
      </c>
      <c r="B641" s="5">
        <v>1.1398423E7</v>
      </c>
      <c r="C641" s="5" t="s">
        <v>37</v>
      </c>
      <c r="D641" s="5" t="s">
        <v>3816</v>
      </c>
      <c r="E641" s="5" t="s">
        <v>39</v>
      </c>
      <c r="F641" s="5" t="s">
        <v>3817</v>
      </c>
      <c r="G641" s="15">
        <v>8.121024576E9</v>
      </c>
      <c r="H641" s="5" t="s">
        <v>3818</v>
      </c>
      <c r="I641" s="5" t="s">
        <v>42</v>
      </c>
      <c r="J641" s="5" t="s">
        <v>43</v>
      </c>
      <c r="K641" s="5">
        <v>8.7733785699E10</v>
      </c>
      <c r="L641" s="4" t="s">
        <v>44</v>
      </c>
      <c r="M641" s="5" t="s">
        <v>42</v>
      </c>
      <c r="N641" s="4" t="s">
        <v>45</v>
      </c>
      <c r="O641" s="4" t="s">
        <v>46</v>
      </c>
      <c r="P641" s="4" t="s">
        <v>47</v>
      </c>
      <c r="Q641" s="4">
        <v>16451.0</v>
      </c>
      <c r="R641" s="5" t="s">
        <v>3819</v>
      </c>
      <c r="S641" s="8">
        <v>46184.0</v>
      </c>
      <c r="T641" s="9">
        <v>0.375</v>
      </c>
      <c r="U641" s="9">
        <v>0.9166666666666666</v>
      </c>
      <c r="V641" s="4" t="s">
        <v>49</v>
      </c>
      <c r="W641" s="5">
        <v>1.0</v>
      </c>
      <c r="X641" s="5" t="b">
        <v>1</v>
      </c>
      <c r="Y641" s="5" t="s">
        <v>50</v>
      </c>
      <c r="Z641" s="5" t="b">
        <v>0</v>
      </c>
      <c r="AA641" s="10"/>
      <c r="AB641" s="4">
        <v>1.0</v>
      </c>
      <c r="AC641" s="11" t="s">
        <v>3820</v>
      </c>
      <c r="AD641" s="5">
        <v>0.0</v>
      </c>
      <c r="AE641" s="5">
        <v>1.0</v>
      </c>
      <c r="AF641" s="8">
        <v>46184.0</v>
      </c>
      <c r="AG641" s="9">
        <v>0.375</v>
      </c>
      <c r="AH641" s="9">
        <v>0.9166666666666666</v>
      </c>
      <c r="AI641" s="4" t="s">
        <v>49</v>
      </c>
      <c r="AJ641" s="5" t="s">
        <v>3821</v>
      </c>
      <c r="AK641" s="12"/>
      <c r="AL641" s="12"/>
      <c r="AM641" s="12"/>
      <c r="AN641" s="12"/>
      <c r="AO641" s="12"/>
      <c r="AP641" s="12"/>
      <c r="AQ641" s="12"/>
    </row>
    <row r="642">
      <c r="A642" s="5" t="s">
        <v>3822</v>
      </c>
      <c r="B642" s="5">
        <v>1.1398423E7</v>
      </c>
      <c r="C642" s="5" t="s">
        <v>37</v>
      </c>
      <c r="D642" s="5" t="s">
        <v>3823</v>
      </c>
      <c r="E642" s="5" t="s">
        <v>39</v>
      </c>
      <c r="F642" s="5" t="s">
        <v>3824</v>
      </c>
      <c r="G642" s="15">
        <v>8.121996655E10</v>
      </c>
      <c r="H642" s="5" t="s">
        <v>3825</v>
      </c>
      <c r="I642" s="5" t="s">
        <v>42</v>
      </c>
      <c r="J642" s="5" t="s">
        <v>43</v>
      </c>
      <c r="K642" s="5">
        <v>8.7733785699E10</v>
      </c>
      <c r="L642" s="4" t="s">
        <v>44</v>
      </c>
      <c r="M642" s="5" t="s">
        <v>42</v>
      </c>
      <c r="N642" s="4" t="s">
        <v>45</v>
      </c>
      <c r="O642" s="4" t="s">
        <v>46</v>
      </c>
      <c r="P642" s="4" t="s">
        <v>47</v>
      </c>
      <c r="Q642" s="4">
        <v>16451.0</v>
      </c>
      <c r="R642" s="5" t="s">
        <v>3826</v>
      </c>
      <c r="S642" s="8">
        <v>46184.0</v>
      </c>
      <c r="T642" s="9">
        <v>0.375</v>
      </c>
      <c r="U642" s="9">
        <v>0.9166666666666666</v>
      </c>
      <c r="V642" s="4" t="s">
        <v>49</v>
      </c>
      <c r="W642" s="5">
        <v>1.0</v>
      </c>
      <c r="X642" s="5" t="b">
        <v>1</v>
      </c>
      <c r="Y642" s="5" t="s">
        <v>50</v>
      </c>
      <c r="Z642" s="5" t="b">
        <v>0</v>
      </c>
      <c r="AA642" s="10"/>
      <c r="AB642" s="4">
        <v>1.0</v>
      </c>
      <c r="AC642" s="11" t="s">
        <v>3827</v>
      </c>
      <c r="AD642" s="5">
        <v>0.0</v>
      </c>
      <c r="AE642" s="5">
        <v>1.0</v>
      </c>
      <c r="AF642" s="8">
        <v>46184.0</v>
      </c>
      <c r="AG642" s="9">
        <v>0.375</v>
      </c>
      <c r="AH642" s="9">
        <v>0.9166666666666666</v>
      </c>
      <c r="AI642" s="4" t="s">
        <v>49</v>
      </c>
      <c r="AJ642" s="5" t="s">
        <v>3828</v>
      </c>
      <c r="AK642" s="12"/>
      <c r="AL642" s="12"/>
      <c r="AM642" s="12"/>
      <c r="AN642" s="12"/>
      <c r="AO642" s="12"/>
      <c r="AP642" s="12"/>
      <c r="AQ642" s="12"/>
    </row>
    <row r="643">
      <c r="A643" s="5" t="s">
        <v>3829</v>
      </c>
      <c r="B643" s="5">
        <v>1.1398423E7</v>
      </c>
      <c r="C643" s="5" t="s">
        <v>37</v>
      </c>
      <c r="D643" s="5" t="s">
        <v>3830</v>
      </c>
      <c r="E643" s="5" t="s">
        <v>39</v>
      </c>
      <c r="F643" s="5" t="s">
        <v>3831</v>
      </c>
      <c r="G643" s="15">
        <v>8.2120073283E10</v>
      </c>
      <c r="H643" s="5" t="s">
        <v>3832</v>
      </c>
      <c r="I643" s="5" t="s">
        <v>42</v>
      </c>
      <c r="J643" s="5" t="s">
        <v>43</v>
      </c>
      <c r="K643" s="5">
        <v>8.7733785699E10</v>
      </c>
      <c r="L643" s="4" t="s">
        <v>44</v>
      </c>
      <c r="M643" s="5" t="s">
        <v>42</v>
      </c>
      <c r="N643" s="4" t="s">
        <v>45</v>
      </c>
      <c r="O643" s="4" t="s">
        <v>46</v>
      </c>
      <c r="P643" s="4" t="s">
        <v>47</v>
      </c>
      <c r="Q643" s="4">
        <v>16451.0</v>
      </c>
      <c r="R643" s="5" t="s">
        <v>3833</v>
      </c>
      <c r="S643" s="8">
        <v>46184.0</v>
      </c>
      <c r="T643" s="9">
        <v>0.375</v>
      </c>
      <c r="U643" s="9">
        <v>0.9166666666666666</v>
      </c>
      <c r="V643" s="4" t="s">
        <v>49</v>
      </c>
      <c r="W643" s="5">
        <v>1.0</v>
      </c>
      <c r="X643" s="5" t="b">
        <v>1</v>
      </c>
      <c r="Y643" s="5" t="s">
        <v>50</v>
      </c>
      <c r="Z643" s="5" t="b">
        <v>0</v>
      </c>
      <c r="AA643" s="10"/>
      <c r="AB643" s="4">
        <v>1.0</v>
      </c>
      <c r="AC643" s="11" t="s">
        <v>3834</v>
      </c>
      <c r="AD643" s="5">
        <v>0.0</v>
      </c>
      <c r="AE643" s="5">
        <v>1.0</v>
      </c>
      <c r="AF643" s="8">
        <v>46184.0</v>
      </c>
      <c r="AG643" s="9">
        <v>0.375</v>
      </c>
      <c r="AH643" s="9">
        <v>0.9166666666666666</v>
      </c>
      <c r="AI643" s="4" t="s">
        <v>49</v>
      </c>
      <c r="AJ643" s="5" t="s">
        <v>3835</v>
      </c>
      <c r="AK643" s="12"/>
      <c r="AL643" s="12"/>
      <c r="AM643" s="12"/>
      <c r="AN643" s="12"/>
      <c r="AO643" s="12"/>
      <c r="AP643" s="12"/>
      <c r="AQ643" s="12"/>
    </row>
    <row r="644">
      <c r="A644" s="5" t="s">
        <v>3836</v>
      </c>
      <c r="B644" s="5">
        <v>1.1398423E7</v>
      </c>
      <c r="C644" s="5" t="s">
        <v>37</v>
      </c>
      <c r="D644" s="5" t="s">
        <v>3837</v>
      </c>
      <c r="E644" s="5" t="s">
        <v>39</v>
      </c>
      <c r="F644" s="5" t="s">
        <v>1839</v>
      </c>
      <c r="G644" s="15">
        <v>6.28211E17</v>
      </c>
      <c r="H644" s="5" t="s">
        <v>3838</v>
      </c>
      <c r="I644" s="5" t="s">
        <v>42</v>
      </c>
      <c r="J644" s="5" t="s">
        <v>43</v>
      </c>
      <c r="K644" s="5">
        <v>8.7733785699E10</v>
      </c>
      <c r="L644" s="4" t="s">
        <v>44</v>
      </c>
      <c r="M644" s="5" t="s">
        <v>42</v>
      </c>
      <c r="N644" s="4" t="s">
        <v>45</v>
      </c>
      <c r="O644" s="4" t="s">
        <v>46</v>
      </c>
      <c r="P644" s="4" t="s">
        <v>47</v>
      </c>
      <c r="Q644" s="4">
        <v>16451.0</v>
      </c>
      <c r="R644" s="5" t="s">
        <v>3839</v>
      </c>
      <c r="S644" s="8">
        <v>46184.0</v>
      </c>
      <c r="T644" s="9">
        <v>0.375</v>
      </c>
      <c r="U644" s="9">
        <v>0.9166666666666666</v>
      </c>
      <c r="V644" s="4" t="s">
        <v>49</v>
      </c>
      <c r="W644" s="5">
        <v>1.0</v>
      </c>
      <c r="X644" s="5" t="b">
        <v>1</v>
      </c>
      <c r="Y644" s="5" t="s">
        <v>50</v>
      </c>
      <c r="Z644" s="5" t="b">
        <v>0</v>
      </c>
      <c r="AA644" s="10"/>
      <c r="AB644" s="4">
        <v>1.0</v>
      </c>
      <c r="AC644" s="11" t="s">
        <v>3840</v>
      </c>
      <c r="AD644" s="5">
        <v>0.0</v>
      </c>
      <c r="AE644" s="5">
        <v>1.0</v>
      </c>
      <c r="AF644" s="8">
        <v>46184.0</v>
      </c>
      <c r="AG644" s="9">
        <v>0.375</v>
      </c>
      <c r="AH644" s="9">
        <v>0.9166666666666666</v>
      </c>
      <c r="AI644" s="4" t="s">
        <v>49</v>
      </c>
      <c r="AJ644" s="5" t="s">
        <v>3841</v>
      </c>
      <c r="AK644" s="12"/>
      <c r="AL644" s="12"/>
      <c r="AM644" s="12"/>
      <c r="AN644" s="12"/>
      <c r="AO644" s="12"/>
      <c r="AP644" s="12"/>
      <c r="AQ644" s="12"/>
    </row>
    <row r="645">
      <c r="A645" s="5" t="s">
        <v>3842</v>
      </c>
      <c r="B645" s="5">
        <v>1.1398423E7</v>
      </c>
      <c r="C645" s="5" t="s">
        <v>37</v>
      </c>
      <c r="D645" s="5" t="s">
        <v>3843</v>
      </c>
      <c r="E645" s="5" t="s">
        <v>39</v>
      </c>
      <c r="F645" s="5" t="s">
        <v>3844</v>
      </c>
      <c r="G645" s="15">
        <v>8.3806047597E10</v>
      </c>
      <c r="H645" s="5" t="s">
        <v>3845</v>
      </c>
      <c r="I645" s="5" t="s">
        <v>42</v>
      </c>
      <c r="J645" s="5" t="s">
        <v>43</v>
      </c>
      <c r="K645" s="5">
        <v>8.7733785699E10</v>
      </c>
      <c r="L645" s="4" t="s">
        <v>44</v>
      </c>
      <c r="M645" s="5" t="s">
        <v>42</v>
      </c>
      <c r="N645" s="4" t="s">
        <v>45</v>
      </c>
      <c r="O645" s="4" t="s">
        <v>46</v>
      </c>
      <c r="P645" s="4" t="s">
        <v>47</v>
      </c>
      <c r="Q645" s="4">
        <v>16451.0</v>
      </c>
      <c r="R645" s="5" t="s">
        <v>3846</v>
      </c>
      <c r="S645" s="8">
        <v>46184.0</v>
      </c>
      <c r="T645" s="9">
        <v>0.375</v>
      </c>
      <c r="U645" s="9">
        <v>0.9166666666666666</v>
      </c>
      <c r="V645" s="4" t="s">
        <v>49</v>
      </c>
      <c r="W645" s="5">
        <v>1.0</v>
      </c>
      <c r="X645" s="5" t="b">
        <v>1</v>
      </c>
      <c r="Y645" s="5" t="s">
        <v>50</v>
      </c>
      <c r="Z645" s="5" t="b">
        <v>0</v>
      </c>
      <c r="AA645" s="10"/>
      <c r="AB645" s="4">
        <v>1.0</v>
      </c>
      <c r="AC645" s="11" t="s">
        <v>3847</v>
      </c>
      <c r="AD645" s="5">
        <v>0.0</v>
      </c>
      <c r="AE645" s="5">
        <v>1.0</v>
      </c>
      <c r="AF645" s="8">
        <v>46184.0</v>
      </c>
      <c r="AG645" s="9">
        <v>0.375</v>
      </c>
      <c r="AH645" s="9">
        <v>0.9166666666666666</v>
      </c>
      <c r="AI645" s="4" t="s">
        <v>49</v>
      </c>
      <c r="AJ645" s="5" t="s">
        <v>3848</v>
      </c>
      <c r="AK645" s="12"/>
      <c r="AL645" s="12"/>
      <c r="AM645" s="12"/>
      <c r="AN645" s="12"/>
      <c r="AO645" s="12"/>
      <c r="AP645" s="12"/>
      <c r="AQ645" s="12"/>
    </row>
    <row r="646">
      <c r="A646" s="5" t="s">
        <v>3849</v>
      </c>
      <c r="B646" s="5">
        <v>1.1398423E7</v>
      </c>
      <c r="C646" s="5" t="s">
        <v>37</v>
      </c>
      <c r="D646" s="5" t="s">
        <v>3850</v>
      </c>
      <c r="E646" s="5" t="s">
        <v>39</v>
      </c>
      <c r="F646" s="5" t="s">
        <v>3851</v>
      </c>
      <c r="G646" s="15">
        <v>8.1219685132E10</v>
      </c>
      <c r="H646" s="5" t="s">
        <v>3852</v>
      </c>
      <c r="I646" s="5" t="s">
        <v>42</v>
      </c>
      <c r="J646" s="5" t="s">
        <v>43</v>
      </c>
      <c r="K646" s="5">
        <v>8.7733785699E10</v>
      </c>
      <c r="L646" s="4" t="s">
        <v>44</v>
      </c>
      <c r="M646" s="5" t="s">
        <v>42</v>
      </c>
      <c r="N646" s="4" t="s">
        <v>45</v>
      </c>
      <c r="O646" s="4" t="s">
        <v>46</v>
      </c>
      <c r="P646" s="4" t="s">
        <v>47</v>
      </c>
      <c r="Q646" s="4">
        <v>16451.0</v>
      </c>
      <c r="R646" s="5" t="s">
        <v>3853</v>
      </c>
      <c r="S646" s="8">
        <v>46184.0</v>
      </c>
      <c r="T646" s="9">
        <v>0.375</v>
      </c>
      <c r="U646" s="9">
        <v>0.9166666666666666</v>
      </c>
      <c r="V646" s="4" t="s">
        <v>49</v>
      </c>
      <c r="W646" s="5">
        <v>1.0</v>
      </c>
      <c r="X646" s="5" t="b">
        <v>1</v>
      </c>
      <c r="Y646" s="5" t="s">
        <v>50</v>
      </c>
      <c r="Z646" s="5" t="b">
        <v>0</v>
      </c>
      <c r="AA646" s="10"/>
      <c r="AB646" s="4">
        <v>1.0</v>
      </c>
      <c r="AC646" s="11" t="s">
        <v>3854</v>
      </c>
      <c r="AD646" s="5">
        <v>0.0</v>
      </c>
      <c r="AE646" s="5">
        <v>1.0</v>
      </c>
      <c r="AF646" s="8">
        <v>46184.0</v>
      </c>
      <c r="AG646" s="9">
        <v>0.375</v>
      </c>
      <c r="AH646" s="9">
        <v>0.9166666666666666</v>
      </c>
      <c r="AI646" s="4" t="s">
        <v>49</v>
      </c>
      <c r="AJ646" s="5" t="s">
        <v>3855</v>
      </c>
      <c r="AK646" s="12"/>
      <c r="AL646" s="12"/>
      <c r="AM646" s="12"/>
      <c r="AN646" s="12"/>
      <c r="AO646" s="12"/>
      <c r="AP646" s="12"/>
      <c r="AQ646" s="12"/>
    </row>
    <row r="647">
      <c r="A647" s="5" t="s">
        <v>3856</v>
      </c>
      <c r="B647" s="5">
        <v>1.1398423E7</v>
      </c>
      <c r="C647" s="5" t="s">
        <v>37</v>
      </c>
      <c r="D647" s="5" t="s">
        <v>3857</v>
      </c>
      <c r="E647" s="5" t="s">
        <v>39</v>
      </c>
      <c r="F647" s="5" t="s">
        <v>3858</v>
      </c>
      <c r="G647" s="15">
        <v>8.1382514164E10</v>
      </c>
      <c r="H647" s="5" t="s">
        <v>3859</v>
      </c>
      <c r="I647" s="5" t="s">
        <v>42</v>
      </c>
      <c r="J647" s="5" t="s">
        <v>43</v>
      </c>
      <c r="K647" s="5">
        <v>8.7733785699E10</v>
      </c>
      <c r="L647" s="4" t="s">
        <v>44</v>
      </c>
      <c r="M647" s="5" t="s">
        <v>42</v>
      </c>
      <c r="N647" s="4" t="s">
        <v>45</v>
      </c>
      <c r="O647" s="4" t="s">
        <v>46</v>
      </c>
      <c r="P647" s="4" t="s">
        <v>47</v>
      </c>
      <c r="Q647" s="4">
        <v>16451.0</v>
      </c>
      <c r="R647" s="5" t="s">
        <v>3860</v>
      </c>
      <c r="S647" s="8">
        <v>46184.0</v>
      </c>
      <c r="T647" s="9">
        <v>0.375</v>
      </c>
      <c r="U647" s="9">
        <v>0.9166666666666666</v>
      </c>
      <c r="V647" s="4" t="s">
        <v>49</v>
      </c>
      <c r="W647" s="5">
        <v>1.0</v>
      </c>
      <c r="X647" s="5" t="b">
        <v>1</v>
      </c>
      <c r="Y647" s="5" t="s">
        <v>50</v>
      </c>
      <c r="Z647" s="5" t="b">
        <v>0</v>
      </c>
      <c r="AA647" s="10"/>
      <c r="AB647" s="4">
        <v>1.0</v>
      </c>
      <c r="AC647" s="11" t="s">
        <v>3861</v>
      </c>
      <c r="AD647" s="5">
        <v>0.0</v>
      </c>
      <c r="AE647" s="5">
        <v>1.0</v>
      </c>
      <c r="AF647" s="8">
        <v>46184.0</v>
      </c>
      <c r="AG647" s="9">
        <v>0.375</v>
      </c>
      <c r="AH647" s="9">
        <v>0.9166666666666666</v>
      </c>
      <c r="AI647" s="4" t="s">
        <v>49</v>
      </c>
      <c r="AJ647" s="5" t="s">
        <v>3862</v>
      </c>
      <c r="AK647" s="12"/>
      <c r="AL647" s="12"/>
      <c r="AM647" s="12"/>
      <c r="AN647" s="12"/>
      <c r="AO647" s="12"/>
      <c r="AP647" s="12"/>
      <c r="AQ647" s="12"/>
    </row>
    <row r="648">
      <c r="A648" s="5" t="s">
        <v>3863</v>
      </c>
      <c r="B648" s="5">
        <v>1.1398423E7</v>
      </c>
      <c r="C648" s="5" t="s">
        <v>37</v>
      </c>
      <c r="D648" s="5" t="s">
        <v>3864</v>
      </c>
      <c r="E648" s="5" t="s">
        <v>39</v>
      </c>
      <c r="F648" s="5" t="s">
        <v>3865</v>
      </c>
      <c r="G648" s="15">
        <v>8.5718020809E10</v>
      </c>
      <c r="H648" s="5" t="s">
        <v>3866</v>
      </c>
      <c r="I648" s="5" t="s">
        <v>42</v>
      </c>
      <c r="J648" s="5" t="s">
        <v>43</v>
      </c>
      <c r="K648" s="5">
        <v>8.7733785699E10</v>
      </c>
      <c r="L648" s="4" t="s">
        <v>44</v>
      </c>
      <c r="M648" s="5" t="s">
        <v>42</v>
      </c>
      <c r="N648" s="4" t="s">
        <v>45</v>
      </c>
      <c r="O648" s="4" t="s">
        <v>46</v>
      </c>
      <c r="P648" s="4" t="s">
        <v>47</v>
      </c>
      <c r="Q648" s="4">
        <v>16451.0</v>
      </c>
      <c r="R648" s="5" t="s">
        <v>3867</v>
      </c>
      <c r="S648" s="8">
        <v>46184.0</v>
      </c>
      <c r="T648" s="9">
        <v>0.375</v>
      </c>
      <c r="U648" s="9">
        <v>0.9166666666666666</v>
      </c>
      <c r="V648" s="4" t="s">
        <v>49</v>
      </c>
      <c r="W648" s="5">
        <v>1.0</v>
      </c>
      <c r="X648" s="5" t="b">
        <v>1</v>
      </c>
      <c r="Y648" s="5" t="s">
        <v>50</v>
      </c>
      <c r="Z648" s="5" t="b">
        <v>0</v>
      </c>
      <c r="AA648" s="10"/>
      <c r="AB648" s="4">
        <v>1.0</v>
      </c>
      <c r="AC648" s="11" t="s">
        <v>3868</v>
      </c>
      <c r="AD648" s="5">
        <v>0.0</v>
      </c>
      <c r="AE648" s="5">
        <v>1.0</v>
      </c>
      <c r="AF648" s="8">
        <v>46184.0</v>
      </c>
      <c r="AG648" s="9">
        <v>0.375</v>
      </c>
      <c r="AH648" s="9">
        <v>0.9166666666666666</v>
      </c>
      <c r="AI648" s="4" t="s">
        <v>49</v>
      </c>
      <c r="AJ648" s="5" t="s">
        <v>3869</v>
      </c>
      <c r="AK648" s="12"/>
      <c r="AL648" s="12"/>
      <c r="AM648" s="12"/>
      <c r="AN648" s="12"/>
      <c r="AO648" s="12"/>
      <c r="AP648" s="12"/>
      <c r="AQ648" s="12"/>
    </row>
    <row r="649">
      <c r="A649" s="5" t="s">
        <v>3870</v>
      </c>
      <c r="B649" s="5">
        <v>1.1398423E7</v>
      </c>
      <c r="C649" s="5" t="s">
        <v>37</v>
      </c>
      <c r="D649" s="5" t="s">
        <v>3871</v>
      </c>
      <c r="E649" s="5" t="s">
        <v>39</v>
      </c>
      <c r="F649" s="5" t="s">
        <v>3872</v>
      </c>
      <c r="G649" s="15">
        <v>8.7821085447E10</v>
      </c>
      <c r="H649" s="5" t="s">
        <v>3873</v>
      </c>
      <c r="I649" s="5" t="s">
        <v>42</v>
      </c>
      <c r="J649" s="5" t="s">
        <v>43</v>
      </c>
      <c r="K649" s="5">
        <v>8.7733785699E10</v>
      </c>
      <c r="L649" s="4" t="s">
        <v>44</v>
      </c>
      <c r="M649" s="5" t="s">
        <v>42</v>
      </c>
      <c r="N649" s="4" t="s">
        <v>45</v>
      </c>
      <c r="O649" s="4" t="s">
        <v>46</v>
      </c>
      <c r="P649" s="4" t="s">
        <v>47</v>
      </c>
      <c r="Q649" s="4">
        <v>16451.0</v>
      </c>
      <c r="R649" s="5" t="s">
        <v>3874</v>
      </c>
      <c r="S649" s="8">
        <v>46184.0</v>
      </c>
      <c r="T649" s="9">
        <v>0.375</v>
      </c>
      <c r="U649" s="9">
        <v>0.9166666666666666</v>
      </c>
      <c r="V649" s="4" t="s">
        <v>49</v>
      </c>
      <c r="W649" s="5">
        <v>1.0</v>
      </c>
      <c r="X649" s="5" t="b">
        <v>1</v>
      </c>
      <c r="Y649" s="5" t="s">
        <v>50</v>
      </c>
      <c r="Z649" s="5" t="b">
        <v>0</v>
      </c>
      <c r="AA649" s="10"/>
      <c r="AB649" s="4">
        <v>1.0</v>
      </c>
      <c r="AC649" s="11" t="s">
        <v>3875</v>
      </c>
      <c r="AD649" s="5">
        <v>0.0</v>
      </c>
      <c r="AE649" s="5">
        <v>1.0</v>
      </c>
      <c r="AF649" s="8">
        <v>46184.0</v>
      </c>
      <c r="AG649" s="9">
        <v>0.375</v>
      </c>
      <c r="AH649" s="9">
        <v>0.9166666666666666</v>
      </c>
      <c r="AI649" s="4" t="s">
        <v>49</v>
      </c>
      <c r="AJ649" s="5" t="s">
        <v>3876</v>
      </c>
      <c r="AK649" s="12"/>
      <c r="AL649" s="12"/>
      <c r="AM649" s="12"/>
      <c r="AN649" s="12"/>
      <c r="AO649" s="12"/>
      <c r="AP649" s="12"/>
      <c r="AQ649" s="12"/>
    </row>
    <row r="650">
      <c r="A650" s="5" t="s">
        <v>3877</v>
      </c>
      <c r="B650" s="5">
        <v>1.1398423E7</v>
      </c>
      <c r="C650" s="5" t="s">
        <v>37</v>
      </c>
      <c r="D650" s="5" t="s">
        <v>3878</v>
      </c>
      <c r="E650" s="5" t="s">
        <v>39</v>
      </c>
      <c r="F650" s="5" t="s">
        <v>3879</v>
      </c>
      <c r="G650" s="15">
        <v>8.2110000143E10</v>
      </c>
      <c r="H650" s="5" t="s">
        <v>3880</v>
      </c>
      <c r="I650" s="5" t="s">
        <v>42</v>
      </c>
      <c r="J650" s="5" t="s">
        <v>43</v>
      </c>
      <c r="K650" s="5">
        <v>8.7733785699E10</v>
      </c>
      <c r="L650" s="4" t="s">
        <v>44</v>
      </c>
      <c r="M650" s="5" t="s">
        <v>42</v>
      </c>
      <c r="N650" s="4" t="s">
        <v>45</v>
      </c>
      <c r="O650" s="4" t="s">
        <v>46</v>
      </c>
      <c r="P650" s="4" t="s">
        <v>47</v>
      </c>
      <c r="Q650" s="4">
        <v>16451.0</v>
      </c>
      <c r="R650" s="5" t="s">
        <v>3881</v>
      </c>
      <c r="S650" s="8">
        <v>46184.0</v>
      </c>
      <c r="T650" s="9">
        <v>0.375</v>
      </c>
      <c r="U650" s="9">
        <v>0.9166666666666666</v>
      </c>
      <c r="V650" s="4" t="s">
        <v>49</v>
      </c>
      <c r="W650" s="5">
        <v>1.0</v>
      </c>
      <c r="X650" s="5" t="b">
        <v>1</v>
      </c>
      <c r="Y650" s="5" t="s">
        <v>50</v>
      </c>
      <c r="Z650" s="5" t="b">
        <v>0</v>
      </c>
      <c r="AA650" s="10"/>
      <c r="AB650" s="4">
        <v>1.0</v>
      </c>
      <c r="AC650" s="11" t="s">
        <v>3882</v>
      </c>
      <c r="AD650" s="5">
        <v>0.0</v>
      </c>
      <c r="AE650" s="5">
        <v>1.0</v>
      </c>
      <c r="AF650" s="8">
        <v>46184.0</v>
      </c>
      <c r="AG650" s="9">
        <v>0.375</v>
      </c>
      <c r="AH650" s="9">
        <v>0.9166666666666666</v>
      </c>
      <c r="AI650" s="4" t="s">
        <v>49</v>
      </c>
      <c r="AJ650" s="5" t="s">
        <v>3883</v>
      </c>
      <c r="AK650" s="12"/>
      <c r="AL650" s="12"/>
      <c r="AM650" s="12"/>
      <c r="AN650" s="12"/>
      <c r="AO650" s="12"/>
      <c r="AP650" s="12"/>
      <c r="AQ650" s="12"/>
    </row>
    <row r="651">
      <c r="A651" s="5" t="s">
        <v>3884</v>
      </c>
      <c r="B651" s="5">
        <v>1.1398423E7</v>
      </c>
      <c r="C651" s="5" t="s">
        <v>37</v>
      </c>
      <c r="D651" s="5" t="s">
        <v>3885</v>
      </c>
      <c r="E651" s="5" t="s">
        <v>39</v>
      </c>
      <c r="F651" s="5" t="s">
        <v>3886</v>
      </c>
      <c r="G651" s="15">
        <v>8.95335E16</v>
      </c>
      <c r="H651" s="5" t="s">
        <v>3887</v>
      </c>
      <c r="I651" s="5" t="s">
        <v>42</v>
      </c>
      <c r="J651" s="5" t="s">
        <v>43</v>
      </c>
      <c r="K651" s="5">
        <v>8.7733785699E10</v>
      </c>
      <c r="L651" s="4" t="s">
        <v>44</v>
      </c>
      <c r="M651" s="5" t="s">
        <v>42</v>
      </c>
      <c r="N651" s="4" t="s">
        <v>45</v>
      </c>
      <c r="O651" s="4" t="s">
        <v>46</v>
      </c>
      <c r="P651" s="4" t="s">
        <v>47</v>
      </c>
      <c r="Q651" s="4">
        <v>16451.0</v>
      </c>
      <c r="R651" s="5" t="s">
        <v>3888</v>
      </c>
      <c r="S651" s="8">
        <v>46184.0</v>
      </c>
      <c r="T651" s="9">
        <v>0.375</v>
      </c>
      <c r="U651" s="9">
        <v>0.9166666666666666</v>
      </c>
      <c r="V651" s="4" t="s">
        <v>49</v>
      </c>
      <c r="W651" s="5">
        <v>1.0</v>
      </c>
      <c r="X651" s="5" t="b">
        <v>1</v>
      </c>
      <c r="Y651" s="5" t="s">
        <v>50</v>
      </c>
      <c r="Z651" s="5" t="b">
        <v>0</v>
      </c>
      <c r="AA651" s="10"/>
      <c r="AB651" s="4">
        <v>1.0</v>
      </c>
      <c r="AC651" s="11" t="s">
        <v>3889</v>
      </c>
      <c r="AD651" s="5">
        <v>0.0</v>
      </c>
      <c r="AE651" s="5">
        <v>1.0</v>
      </c>
      <c r="AF651" s="8">
        <v>46184.0</v>
      </c>
      <c r="AG651" s="9">
        <v>0.375</v>
      </c>
      <c r="AH651" s="9">
        <v>0.9166666666666666</v>
      </c>
      <c r="AI651" s="4" t="s">
        <v>49</v>
      </c>
      <c r="AJ651" s="5" t="s">
        <v>3890</v>
      </c>
      <c r="AK651" s="12"/>
      <c r="AL651" s="12"/>
      <c r="AM651" s="12"/>
      <c r="AN651" s="12"/>
      <c r="AO651" s="12"/>
      <c r="AP651" s="12"/>
      <c r="AQ651" s="12"/>
    </row>
    <row r="652">
      <c r="A652" s="5" t="s">
        <v>3891</v>
      </c>
      <c r="B652" s="5">
        <v>1.1398423E7</v>
      </c>
      <c r="C652" s="5" t="s">
        <v>37</v>
      </c>
      <c r="D652" s="5" t="s">
        <v>3892</v>
      </c>
      <c r="E652" s="5" t="s">
        <v>39</v>
      </c>
      <c r="F652" s="5" t="s">
        <v>2933</v>
      </c>
      <c r="G652" s="15">
        <v>8.1617575708E10</v>
      </c>
      <c r="H652" s="5" t="s">
        <v>2934</v>
      </c>
      <c r="I652" s="5" t="s">
        <v>42</v>
      </c>
      <c r="J652" s="5" t="s">
        <v>43</v>
      </c>
      <c r="K652" s="5">
        <v>8.7733785699E10</v>
      </c>
      <c r="L652" s="4" t="s">
        <v>44</v>
      </c>
      <c r="M652" s="5" t="s">
        <v>42</v>
      </c>
      <c r="N652" s="4" t="s">
        <v>45</v>
      </c>
      <c r="O652" s="4" t="s">
        <v>46</v>
      </c>
      <c r="P652" s="4" t="s">
        <v>47</v>
      </c>
      <c r="Q652" s="4">
        <v>16451.0</v>
      </c>
      <c r="R652" s="5" t="s">
        <v>3893</v>
      </c>
      <c r="S652" s="8">
        <v>46184.0</v>
      </c>
      <c r="T652" s="9">
        <v>0.375</v>
      </c>
      <c r="U652" s="9">
        <v>0.9166666666666666</v>
      </c>
      <c r="V652" s="4" t="s">
        <v>49</v>
      </c>
      <c r="W652" s="5">
        <v>1.0</v>
      </c>
      <c r="X652" s="5" t="b">
        <v>1</v>
      </c>
      <c r="Y652" s="5" t="s">
        <v>50</v>
      </c>
      <c r="Z652" s="5" t="b">
        <v>0</v>
      </c>
      <c r="AA652" s="10"/>
      <c r="AB652" s="4">
        <v>1.0</v>
      </c>
      <c r="AC652" s="11" t="s">
        <v>3894</v>
      </c>
      <c r="AD652" s="5">
        <v>0.0</v>
      </c>
      <c r="AE652" s="5">
        <v>1.0</v>
      </c>
      <c r="AF652" s="8">
        <v>46184.0</v>
      </c>
      <c r="AG652" s="9">
        <v>0.375</v>
      </c>
      <c r="AH652" s="9">
        <v>0.9166666666666666</v>
      </c>
      <c r="AI652" s="4" t="s">
        <v>49</v>
      </c>
      <c r="AJ652" s="5" t="s">
        <v>3895</v>
      </c>
      <c r="AK652" s="12"/>
      <c r="AL652" s="12"/>
      <c r="AM652" s="12"/>
      <c r="AN652" s="12"/>
      <c r="AO652" s="12"/>
      <c r="AP652" s="12"/>
      <c r="AQ652" s="12"/>
    </row>
    <row r="653">
      <c r="A653" s="5" t="s">
        <v>3896</v>
      </c>
      <c r="B653" s="5">
        <v>1.1398423E7</v>
      </c>
      <c r="C653" s="5" t="s">
        <v>37</v>
      </c>
      <c r="D653" s="5" t="s">
        <v>3897</v>
      </c>
      <c r="E653" s="5" t="s">
        <v>39</v>
      </c>
      <c r="F653" s="5" t="s">
        <v>3898</v>
      </c>
      <c r="G653" s="15">
        <v>6.28151E17</v>
      </c>
      <c r="H653" s="5" t="s">
        <v>3899</v>
      </c>
      <c r="I653" s="5" t="s">
        <v>42</v>
      </c>
      <c r="J653" s="5" t="s">
        <v>43</v>
      </c>
      <c r="K653" s="5">
        <v>8.7733785699E10</v>
      </c>
      <c r="L653" s="4" t="s">
        <v>44</v>
      </c>
      <c r="M653" s="5" t="s">
        <v>42</v>
      </c>
      <c r="N653" s="4" t="s">
        <v>45</v>
      </c>
      <c r="O653" s="4" t="s">
        <v>46</v>
      </c>
      <c r="P653" s="4" t="s">
        <v>47</v>
      </c>
      <c r="Q653" s="4">
        <v>16451.0</v>
      </c>
      <c r="R653" s="5" t="s">
        <v>3900</v>
      </c>
      <c r="S653" s="8">
        <v>46184.0</v>
      </c>
      <c r="T653" s="9">
        <v>0.375</v>
      </c>
      <c r="U653" s="9">
        <v>0.9166666666666666</v>
      </c>
      <c r="V653" s="4" t="s">
        <v>49</v>
      </c>
      <c r="W653" s="5">
        <v>1.0</v>
      </c>
      <c r="X653" s="5" t="b">
        <v>1</v>
      </c>
      <c r="Y653" s="5" t="s">
        <v>50</v>
      </c>
      <c r="Z653" s="5" t="b">
        <v>0</v>
      </c>
      <c r="AA653" s="10"/>
      <c r="AB653" s="4">
        <v>1.0</v>
      </c>
      <c r="AC653" s="11" t="s">
        <v>3901</v>
      </c>
      <c r="AD653" s="5">
        <v>0.0</v>
      </c>
      <c r="AE653" s="5">
        <v>1.0</v>
      </c>
      <c r="AF653" s="8">
        <v>46184.0</v>
      </c>
      <c r="AG653" s="9">
        <v>0.375</v>
      </c>
      <c r="AH653" s="9">
        <v>0.9166666666666666</v>
      </c>
      <c r="AI653" s="4" t="s">
        <v>49</v>
      </c>
      <c r="AJ653" s="5" t="s">
        <v>3902</v>
      </c>
      <c r="AK653" s="12"/>
      <c r="AL653" s="12"/>
      <c r="AM653" s="12"/>
      <c r="AN653" s="12"/>
      <c r="AO653" s="12"/>
      <c r="AP653" s="12"/>
      <c r="AQ653" s="12"/>
    </row>
    <row r="654">
      <c r="A654" s="5" t="s">
        <v>3903</v>
      </c>
      <c r="B654" s="5">
        <v>1.1398423E7</v>
      </c>
      <c r="C654" s="5" t="s">
        <v>37</v>
      </c>
      <c r="D654" s="5" t="s">
        <v>3904</v>
      </c>
      <c r="E654" s="5" t="s">
        <v>39</v>
      </c>
      <c r="F654" s="5" t="s">
        <v>3905</v>
      </c>
      <c r="G654" s="15">
        <v>8.2112600948E10</v>
      </c>
      <c r="H654" s="5" t="s">
        <v>3906</v>
      </c>
      <c r="I654" s="5" t="s">
        <v>42</v>
      </c>
      <c r="J654" s="5" t="s">
        <v>43</v>
      </c>
      <c r="K654" s="5">
        <v>8.7733785699E10</v>
      </c>
      <c r="L654" s="4" t="s">
        <v>44</v>
      </c>
      <c r="M654" s="5" t="s">
        <v>42</v>
      </c>
      <c r="N654" s="4" t="s">
        <v>45</v>
      </c>
      <c r="O654" s="4" t="s">
        <v>46</v>
      </c>
      <c r="P654" s="4" t="s">
        <v>47</v>
      </c>
      <c r="Q654" s="4">
        <v>16451.0</v>
      </c>
      <c r="R654" s="5" t="s">
        <v>3907</v>
      </c>
      <c r="S654" s="8">
        <v>46184.0</v>
      </c>
      <c r="T654" s="9">
        <v>0.375</v>
      </c>
      <c r="U654" s="9">
        <v>0.9166666666666666</v>
      </c>
      <c r="V654" s="4" t="s">
        <v>49</v>
      </c>
      <c r="W654" s="5">
        <v>1.0</v>
      </c>
      <c r="X654" s="5" t="b">
        <v>1</v>
      </c>
      <c r="Y654" s="5" t="s">
        <v>50</v>
      </c>
      <c r="Z654" s="5" t="b">
        <v>0</v>
      </c>
      <c r="AA654" s="10"/>
      <c r="AB654" s="4">
        <v>1.0</v>
      </c>
      <c r="AC654" s="11" t="s">
        <v>3908</v>
      </c>
      <c r="AD654" s="5">
        <v>0.0</v>
      </c>
      <c r="AE654" s="5">
        <v>1.0</v>
      </c>
      <c r="AF654" s="8">
        <v>46184.0</v>
      </c>
      <c r="AG654" s="9">
        <v>0.375</v>
      </c>
      <c r="AH654" s="9">
        <v>0.9166666666666666</v>
      </c>
      <c r="AI654" s="4" t="s">
        <v>49</v>
      </c>
      <c r="AJ654" s="5" t="s">
        <v>3909</v>
      </c>
      <c r="AK654" s="12"/>
      <c r="AL654" s="12"/>
      <c r="AM654" s="12"/>
      <c r="AN654" s="12"/>
      <c r="AO654" s="12"/>
      <c r="AP654" s="12"/>
      <c r="AQ654" s="12"/>
    </row>
    <row r="655">
      <c r="A655" s="5" t="s">
        <v>3910</v>
      </c>
      <c r="B655" s="5">
        <v>1.1398423E7</v>
      </c>
      <c r="C655" s="5" t="s">
        <v>37</v>
      </c>
      <c r="D655" s="5" t="s">
        <v>3911</v>
      </c>
      <c r="E655" s="5" t="s">
        <v>39</v>
      </c>
      <c r="F655" s="5" t="s">
        <v>3912</v>
      </c>
      <c r="G655" s="15">
        <v>6.28982E16</v>
      </c>
      <c r="H655" s="5" t="s">
        <v>3913</v>
      </c>
      <c r="I655" s="5" t="s">
        <v>42</v>
      </c>
      <c r="J655" s="5" t="s">
        <v>43</v>
      </c>
      <c r="K655" s="5">
        <v>8.7733785699E10</v>
      </c>
      <c r="L655" s="4" t="s">
        <v>44</v>
      </c>
      <c r="M655" s="5" t="s">
        <v>42</v>
      </c>
      <c r="N655" s="4" t="s">
        <v>45</v>
      </c>
      <c r="O655" s="4" t="s">
        <v>46</v>
      </c>
      <c r="P655" s="4" t="s">
        <v>47</v>
      </c>
      <c r="Q655" s="4">
        <v>16451.0</v>
      </c>
      <c r="R655" s="5" t="s">
        <v>3914</v>
      </c>
      <c r="S655" s="8">
        <v>46184.0</v>
      </c>
      <c r="T655" s="9">
        <v>0.375</v>
      </c>
      <c r="U655" s="9">
        <v>0.9166666666666666</v>
      </c>
      <c r="V655" s="4" t="s">
        <v>49</v>
      </c>
      <c r="W655" s="5">
        <v>1.0</v>
      </c>
      <c r="X655" s="5" t="b">
        <v>1</v>
      </c>
      <c r="Y655" s="5" t="s">
        <v>50</v>
      </c>
      <c r="Z655" s="5" t="b">
        <v>0</v>
      </c>
      <c r="AA655" s="10"/>
      <c r="AB655" s="4">
        <v>1.0</v>
      </c>
      <c r="AC655" s="11" t="s">
        <v>3915</v>
      </c>
      <c r="AD655" s="5">
        <v>0.0</v>
      </c>
      <c r="AE655" s="5">
        <v>1.0</v>
      </c>
      <c r="AF655" s="8">
        <v>46184.0</v>
      </c>
      <c r="AG655" s="9">
        <v>0.375</v>
      </c>
      <c r="AH655" s="9">
        <v>0.9166666666666666</v>
      </c>
      <c r="AI655" s="4" t="s">
        <v>49</v>
      </c>
      <c r="AJ655" s="5" t="s">
        <v>3916</v>
      </c>
      <c r="AK655" s="12"/>
      <c r="AL655" s="12"/>
      <c r="AM655" s="12"/>
      <c r="AN655" s="12"/>
      <c r="AO655" s="12"/>
      <c r="AP655" s="12"/>
      <c r="AQ655" s="12"/>
    </row>
    <row r="656">
      <c r="A656" s="5" t="s">
        <v>3917</v>
      </c>
      <c r="B656" s="5">
        <v>1.1398423E7</v>
      </c>
      <c r="C656" s="5" t="s">
        <v>37</v>
      </c>
      <c r="D656" s="5" t="s">
        <v>3918</v>
      </c>
      <c r="E656" s="5" t="s">
        <v>39</v>
      </c>
      <c r="F656" s="5" t="s">
        <v>3919</v>
      </c>
      <c r="G656" s="15">
        <v>8.2121494535E10</v>
      </c>
      <c r="H656" s="5" t="s">
        <v>3920</v>
      </c>
      <c r="I656" s="5" t="s">
        <v>42</v>
      </c>
      <c r="J656" s="5" t="s">
        <v>43</v>
      </c>
      <c r="K656" s="5">
        <v>8.7733785699E10</v>
      </c>
      <c r="L656" s="4" t="s">
        <v>44</v>
      </c>
      <c r="M656" s="5" t="s">
        <v>42</v>
      </c>
      <c r="N656" s="4" t="s">
        <v>45</v>
      </c>
      <c r="O656" s="4" t="s">
        <v>46</v>
      </c>
      <c r="P656" s="4" t="s">
        <v>47</v>
      </c>
      <c r="Q656" s="4">
        <v>16451.0</v>
      </c>
      <c r="R656" s="5" t="s">
        <v>3921</v>
      </c>
      <c r="S656" s="8">
        <v>46184.0</v>
      </c>
      <c r="T656" s="9">
        <v>0.375</v>
      </c>
      <c r="U656" s="9">
        <v>0.9166666666666666</v>
      </c>
      <c r="V656" s="4" t="s">
        <v>49</v>
      </c>
      <c r="W656" s="5">
        <v>1.0</v>
      </c>
      <c r="X656" s="5" t="b">
        <v>1</v>
      </c>
      <c r="Y656" s="5" t="s">
        <v>50</v>
      </c>
      <c r="Z656" s="5" t="b">
        <v>0</v>
      </c>
      <c r="AA656" s="10"/>
      <c r="AB656" s="4">
        <v>1.0</v>
      </c>
      <c r="AC656" s="11" t="s">
        <v>3922</v>
      </c>
      <c r="AD656" s="5">
        <v>0.0</v>
      </c>
      <c r="AE656" s="5">
        <v>1.0</v>
      </c>
      <c r="AF656" s="8">
        <v>46184.0</v>
      </c>
      <c r="AG656" s="9">
        <v>0.375</v>
      </c>
      <c r="AH656" s="9">
        <v>0.9166666666666666</v>
      </c>
      <c r="AI656" s="4" t="s">
        <v>49</v>
      </c>
      <c r="AJ656" s="5" t="s">
        <v>3923</v>
      </c>
      <c r="AK656" s="12"/>
      <c r="AL656" s="12"/>
      <c r="AM656" s="12"/>
      <c r="AN656" s="12"/>
      <c r="AO656" s="12"/>
      <c r="AP656" s="12"/>
      <c r="AQ656" s="12"/>
    </row>
    <row r="657">
      <c r="A657" s="5" t="s">
        <v>3924</v>
      </c>
      <c r="B657" s="5">
        <v>1.1398423E7</v>
      </c>
      <c r="C657" s="5" t="s">
        <v>37</v>
      </c>
      <c r="D657" s="5" t="s">
        <v>3925</v>
      </c>
      <c r="E657" s="5" t="s">
        <v>39</v>
      </c>
      <c r="F657" s="5" t="s">
        <v>3926</v>
      </c>
      <c r="G657" s="15">
        <v>8.1211606276E10</v>
      </c>
      <c r="H657" s="5" t="s">
        <v>3927</v>
      </c>
      <c r="I657" s="5" t="s">
        <v>42</v>
      </c>
      <c r="J657" s="5" t="s">
        <v>43</v>
      </c>
      <c r="K657" s="5">
        <v>8.7733785699E10</v>
      </c>
      <c r="L657" s="4" t="s">
        <v>44</v>
      </c>
      <c r="M657" s="5" t="s">
        <v>42</v>
      </c>
      <c r="N657" s="4" t="s">
        <v>45</v>
      </c>
      <c r="O657" s="4" t="s">
        <v>46</v>
      </c>
      <c r="P657" s="4" t="s">
        <v>47</v>
      </c>
      <c r="Q657" s="4">
        <v>16451.0</v>
      </c>
      <c r="R657" s="5" t="s">
        <v>3928</v>
      </c>
      <c r="S657" s="8">
        <v>46184.0</v>
      </c>
      <c r="T657" s="9">
        <v>0.375</v>
      </c>
      <c r="U657" s="9">
        <v>0.9166666666666666</v>
      </c>
      <c r="V657" s="4" t="s">
        <v>49</v>
      </c>
      <c r="W657" s="5">
        <v>1.0</v>
      </c>
      <c r="X657" s="5" t="b">
        <v>1</v>
      </c>
      <c r="Y657" s="5" t="s">
        <v>50</v>
      </c>
      <c r="Z657" s="5" t="b">
        <v>0</v>
      </c>
      <c r="AA657" s="10"/>
      <c r="AB657" s="4">
        <v>1.0</v>
      </c>
      <c r="AC657" s="11" t="s">
        <v>3929</v>
      </c>
      <c r="AD657" s="5">
        <v>0.0</v>
      </c>
      <c r="AE657" s="5">
        <v>1.0</v>
      </c>
      <c r="AF657" s="8">
        <v>46184.0</v>
      </c>
      <c r="AG657" s="9">
        <v>0.375</v>
      </c>
      <c r="AH657" s="9">
        <v>0.9166666666666666</v>
      </c>
      <c r="AI657" s="4" t="s">
        <v>49</v>
      </c>
      <c r="AJ657" s="5" t="s">
        <v>3930</v>
      </c>
      <c r="AK657" s="12"/>
      <c r="AL657" s="12"/>
      <c r="AM657" s="12"/>
      <c r="AN657" s="12"/>
      <c r="AO657" s="12"/>
      <c r="AP657" s="12"/>
      <c r="AQ657" s="12"/>
    </row>
    <row r="658">
      <c r="A658" s="5" t="s">
        <v>3931</v>
      </c>
      <c r="B658" s="5">
        <v>1.1398423E7</v>
      </c>
      <c r="C658" s="5" t="s">
        <v>37</v>
      </c>
      <c r="D658" s="5" t="s">
        <v>3932</v>
      </c>
      <c r="E658" s="5" t="s">
        <v>39</v>
      </c>
      <c r="F658" s="5" t="s">
        <v>3933</v>
      </c>
      <c r="G658" s="15">
        <v>6.28132E17</v>
      </c>
      <c r="H658" s="5" t="s">
        <v>3934</v>
      </c>
      <c r="I658" s="5" t="s">
        <v>42</v>
      </c>
      <c r="J658" s="5" t="s">
        <v>43</v>
      </c>
      <c r="K658" s="5">
        <v>8.7733785699E10</v>
      </c>
      <c r="L658" s="4" t="s">
        <v>44</v>
      </c>
      <c r="M658" s="5" t="s">
        <v>42</v>
      </c>
      <c r="N658" s="4" t="s">
        <v>45</v>
      </c>
      <c r="O658" s="4" t="s">
        <v>46</v>
      </c>
      <c r="P658" s="4" t="s">
        <v>47</v>
      </c>
      <c r="Q658" s="4">
        <v>16451.0</v>
      </c>
      <c r="R658" s="5" t="s">
        <v>3935</v>
      </c>
      <c r="S658" s="8">
        <v>46184.0</v>
      </c>
      <c r="T658" s="9">
        <v>0.375</v>
      </c>
      <c r="U658" s="9">
        <v>0.9166666666666666</v>
      </c>
      <c r="V658" s="4" t="s">
        <v>49</v>
      </c>
      <c r="W658" s="5">
        <v>1.0</v>
      </c>
      <c r="X658" s="5" t="b">
        <v>1</v>
      </c>
      <c r="Y658" s="5" t="s">
        <v>50</v>
      </c>
      <c r="Z658" s="5" t="b">
        <v>0</v>
      </c>
      <c r="AA658" s="10"/>
      <c r="AB658" s="4">
        <v>1.0</v>
      </c>
      <c r="AC658" s="11" t="s">
        <v>3936</v>
      </c>
      <c r="AD658" s="5">
        <v>0.0</v>
      </c>
      <c r="AE658" s="5">
        <v>1.0</v>
      </c>
      <c r="AF658" s="8">
        <v>46184.0</v>
      </c>
      <c r="AG658" s="9">
        <v>0.375</v>
      </c>
      <c r="AH658" s="9">
        <v>0.9166666666666666</v>
      </c>
      <c r="AI658" s="4" t="s">
        <v>49</v>
      </c>
      <c r="AJ658" s="5" t="s">
        <v>3937</v>
      </c>
      <c r="AK658" s="12"/>
      <c r="AL658" s="12"/>
      <c r="AM658" s="12"/>
      <c r="AN658" s="12"/>
      <c r="AO658" s="12"/>
      <c r="AP658" s="12"/>
      <c r="AQ658" s="12"/>
    </row>
    <row r="659">
      <c r="A659" s="5" t="s">
        <v>3938</v>
      </c>
      <c r="B659" s="5">
        <v>1.1398423E7</v>
      </c>
      <c r="C659" s="5" t="s">
        <v>37</v>
      </c>
      <c r="D659" s="5" t="s">
        <v>3939</v>
      </c>
      <c r="E659" s="5" t="s">
        <v>39</v>
      </c>
      <c r="F659" s="5" t="s">
        <v>492</v>
      </c>
      <c r="G659" s="15">
        <v>6.28139E17</v>
      </c>
      <c r="H659" s="5" t="s">
        <v>493</v>
      </c>
      <c r="I659" s="5" t="s">
        <v>42</v>
      </c>
      <c r="J659" s="5" t="s">
        <v>43</v>
      </c>
      <c r="K659" s="5">
        <v>8.7733785699E10</v>
      </c>
      <c r="L659" s="4" t="s">
        <v>44</v>
      </c>
      <c r="M659" s="5" t="s">
        <v>42</v>
      </c>
      <c r="N659" s="4" t="s">
        <v>45</v>
      </c>
      <c r="O659" s="4" t="s">
        <v>46</v>
      </c>
      <c r="P659" s="4" t="s">
        <v>47</v>
      </c>
      <c r="Q659" s="4">
        <v>16451.0</v>
      </c>
      <c r="R659" s="5" t="s">
        <v>3940</v>
      </c>
      <c r="S659" s="8">
        <v>46184.0</v>
      </c>
      <c r="T659" s="9">
        <v>0.375</v>
      </c>
      <c r="U659" s="9">
        <v>0.9166666666666666</v>
      </c>
      <c r="V659" s="4" t="s">
        <v>49</v>
      </c>
      <c r="W659" s="5">
        <v>1.0</v>
      </c>
      <c r="X659" s="5" t="b">
        <v>1</v>
      </c>
      <c r="Y659" s="5" t="s">
        <v>50</v>
      </c>
      <c r="Z659" s="5" t="b">
        <v>0</v>
      </c>
      <c r="AA659" s="10"/>
      <c r="AB659" s="4">
        <v>1.0</v>
      </c>
      <c r="AC659" s="11" t="s">
        <v>3941</v>
      </c>
      <c r="AD659" s="5">
        <v>0.0</v>
      </c>
      <c r="AE659" s="5">
        <v>1.0</v>
      </c>
      <c r="AF659" s="8">
        <v>46184.0</v>
      </c>
      <c r="AG659" s="9">
        <v>0.375</v>
      </c>
      <c r="AH659" s="9">
        <v>0.9166666666666666</v>
      </c>
      <c r="AI659" s="4" t="s">
        <v>49</v>
      </c>
      <c r="AJ659" s="5" t="s">
        <v>3942</v>
      </c>
      <c r="AK659" s="12"/>
      <c r="AL659" s="12"/>
      <c r="AM659" s="12"/>
      <c r="AN659" s="12"/>
      <c r="AO659" s="12"/>
      <c r="AP659" s="12"/>
      <c r="AQ659" s="12"/>
    </row>
    <row r="660">
      <c r="A660" s="5" t="s">
        <v>3943</v>
      </c>
      <c r="B660" s="5">
        <v>1.1398423E7</v>
      </c>
      <c r="C660" s="5" t="s">
        <v>37</v>
      </c>
      <c r="D660" s="5" t="s">
        <v>3944</v>
      </c>
      <c r="E660" s="5" t="s">
        <v>39</v>
      </c>
      <c r="F660" s="5" t="s">
        <v>1291</v>
      </c>
      <c r="G660" s="15">
        <v>6.28139E17</v>
      </c>
      <c r="H660" s="5" t="s">
        <v>3945</v>
      </c>
      <c r="I660" s="5" t="s">
        <v>42</v>
      </c>
      <c r="J660" s="5" t="s">
        <v>43</v>
      </c>
      <c r="K660" s="5">
        <v>8.7733785699E10</v>
      </c>
      <c r="L660" s="4" t="s">
        <v>44</v>
      </c>
      <c r="M660" s="5" t="s">
        <v>42</v>
      </c>
      <c r="N660" s="4" t="s">
        <v>45</v>
      </c>
      <c r="O660" s="4" t="s">
        <v>46</v>
      </c>
      <c r="P660" s="4" t="s">
        <v>47</v>
      </c>
      <c r="Q660" s="4">
        <v>16451.0</v>
      </c>
      <c r="R660" s="5" t="s">
        <v>3946</v>
      </c>
      <c r="S660" s="8">
        <v>46184.0</v>
      </c>
      <c r="T660" s="9">
        <v>0.375</v>
      </c>
      <c r="U660" s="9">
        <v>0.9166666666666666</v>
      </c>
      <c r="V660" s="4" t="s">
        <v>49</v>
      </c>
      <c r="W660" s="5">
        <v>1.0</v>
      </c>
      <c r="X660" s="5" t="b">
        <v>1</v>
      </c>
      <c r="Y660" s="5" t="s">
        <v>50</v>
      </c>
      <c r="Z660" s="5" t="b">
        <v>0</v>
      </c>
      <c r="AA660" s="10"/>
      <c r="AB660" s="4">
        <v>1.0</v>
      </c>
      <c r="AC660" s="11" t="s">
        <v>3947</v>
      </c>
      <c r="AD660" s="5">
        <v>0.0</v>
      </c>
      <c r="AE660" s="5">
        <v>1.0</v>
      </c>
      <c r="AF660" s="8">
        <v>46184.0</v>
      </c>
      <c r="AG660" s="9">
        <v>0.375</v>
      </c>
      <c r="AH660" s="9">
        <v>0.9166666666666666</v>
      </c>
      <c r="AI660" s="4" t="s">
        <v>49</v>
      </c>
      <c r="AJ660" s="5" t="s">
        <v>3948</v>
      </c>
      <c r="AK660" s="12"/>
      <c r="AL660" s="12"/>
      <c r="AM660" s="12"/>
      <c r="AN660" s="12"/>
      <c r="AO660" s="12"/>
      <c r="AP660" s="12"/>
      <c r="AQ660" s="12"/>
    </row>
    <row r="661">
      <c r="A661" s="5" t="s">
        <v>3949</v>
      </c>
      <c r="B661" s="5">
        <v>1.1398423E7</v>
      </c>
      <c r="C661" s="5" t="s">
        <v>37</v>
      </c>
      <c r="D661" s="5" t="s">
        <v>3950</v>
      </c>
      <c r="E661" s="5" t="s">
        <v>39</v>
      </c>
      <c r="F661" s="5" t="s">
        <v>1484</v>
      </c>
      <c r="G661" s="15">
        <v>6.28132E17</v>
      </c>
      <c r="H661" s="5" t="s">
        <v>1485</v>
      </c>
      <c r="I661" s="5" t="s">
        <v>42</v>
      </c>
      <c r="J661" s="5" t="s">
        <v>43</v>
      </c>
      <c r="K661" s="5">
        <v>8.7733785699E10</v>
      </c>
      <c r="L661" s="4" t="s">
        <v>44</v>
      </c>
      <c r="M661" s="5" t="s">
        <v>42</v>
      </c>
      <c r="N661" s="4" t="s">
        <v>45</v>
      </c>
      <c r="O661" s="4" t="s">
        <v>46</v>
      </c>
      <c r="P661" s="4" t="s">
        <v>47</v>
      </c>
      <c r="Q661" s="4">
        <v>16451.0</v>
      </c>
      <c r="R661" s="5" t="s">
        <v>3951</v>
      </c>
      <c r="S661" s="8">
        <v>46184.0</v>
      </c>
      <c r="T661" s="9">
        <v>0.375</v>
      </c>
      <c r="U661" s="9">
        <v>0.9166666666666666</v>
      </c>
      <c r="V661" s="4" t="s">
        <v>49</v>
      </c>
      <c r="W661" s="5">
        <v>1.0</v>
      </c>
      <c r="X661" s="5" t="b">
        <v>1</v>
      </c>
      <c r="Y661" s="5" t="s">
        <v>50</v>
      </c>
      <c r="Z661" s="5" t="b">
        <v>0</v>
      </c>
      <c r="AA661" s="10"/>
      <c r="AB661" s="4">
        <v>1.0</v>
      </c>
      <c r="AC661" s="11" t="s">
        <v>3952</v>
      </c>
      <c r="AD661" s="5">
        <v>0.0</v>
      </c>
      <c r="AE661" s="5">
        <v>1.0</v>
      </c>
      <c r="AF661" s="8">
        <v>46184.0</v>
      </c>
      <c r="AG661" s="9">
        <v>0.375</v>
      </c>
      <c r="AH661" s="9">
        <v>0.9166666666666666</v>
      </c>
      <c r="AI661" s="4" t="s">
        <v>49</v>
      </c>
      <c r="AJ661" s="5" t="s">
        <v>3953</v>
      </c>
      <c r="AK661" s="12"/>
      <c r="AL661" s="12"/>
      <c r="AM661" s="12"/>
      <c r="AN661" s="12"/>
      <c r="AO661" s="12"/>
      <c r="AP661" s="12"/>
      <c r="AQ661" s="12"/>
    </row>
    <row r="662">
      <c r="A662" s="5" t="s">
        <v>3954</v>
      </c>
      <c r="B662" s="5">
        <v>1.1398423E7</v>
      </c>
      <c r="C662" s="5" t="s">
        <v>37</v>
      </c>
      <c r="D662" s="5" t="s">
        <v>3955</v>
      </c>
      <c r="E662" s="5" t="s">
        <v>39</v>
      </c>
      <c r="F662" s="5" t="s">
        <v>2835</v>
      </c>
      <c r="G662" s="15">
        <v>6.2881E17</v>
      </c>
      <c r="H662" s="5" t="s">
        <v>2836</v>
      </c>
      <c r="I662" s="5" t="s">
        <v>42</v>
      </c>
      <c r="J662" s="5" t="s">
        <v>43</v>
      </c>
      <c r="K662" s="5">
        <v>8.7733785699E10</v>
      </c>
      <c r="L662" s="4" t="s">
        <v>44</v>
      </c>
      <c r="M662" s="5" t="s">
        <v>42</v>
      </c>
      <c r="N662" s="4" t="s">
        <v>45</v>
      </c>
      <c r="O662" s="4" t="s">
        <v>46</v>
      </c>
      <c r="P662" s="4" t="s">
        <v>47</v>
      </c>
      <c r="Q662" s="4">
        <v>16451.0</v>
      </c>
      <c r="R662" s="5" t="s">
        <v>3956</v>
      </c>
      <c r="S662" s="8">
        <v>46184.0</v>
      </c>
      <c r="T662" s="9">
        <v>0.375</v>
      </c>
      <c r="U662" s="9">
        <v>0.9166666666666666</v>
      </c>
      <c r="V662" s="4" t="s">
        <v>49</v>
      </c>
      <c r="W662" s="5">
        <v>1.0</v>
      </c>
      <c r="X662" s="5" t="b">
        <v>1</v>
      </c>
      <c r="Y662" s="5" t="s">
        <v>50</v>
      </c>
      <c r="Z662" s="5" t="b">
        <v>0</v>
      </c>
      <c r="AA662" s="10"/>
      <c r="AB662" s="4">
        <v>1.0</v>
      </c>
      <c r="AC662" s="11" t="s">
        <v>3957</v>
      </c>
      <c r="AD662" s="5">
        <v>0.0</v>
      </c>
      <c r="AE662" s="5">
        <v>1.0</v>
      </c>
      <c r="AF662" s="8">
        <v>46184.0</v>
      </c>
      <c r="AG662" s="9">
        <v>0.375</v>
      </c>
      <c r="AH662" s="9">
        <v>0.9166666666666666</v>
      </c>
      <c r="AI662" s="4" t="s">
        <v>49</v>
      </c>
      <c r="AJ662" s="5" t="s">
        <v>3958</v>
      </c>
      <c r="AK662" s="12"/>
      <c r="AL662" s="12"/>
      <c r="AM662" s="12"/>
      <c r="AN662" s="12"/>
      <c r="AO662" s="12"/>
      <c r="AP662" s="12"/>
      <c r="AQ662" s="12"/>
    </row>
    <row r="663">
      <c r="A663" s="5" t="s">
        <v>3959</v>
      </c>
      <c r="B663" s="5">
        <v>1.1398423E7</v>
      </c>
      <c r="C663" s="5" t="s">
        <v>37</v>
      </c>
      <c r="D663" s="5" t="s">
        <v>3960</v>
      </c>
      <c r="E663" s="5" t="s">
        <v>39</v>
      </c>
      <c r="F663" s="5" t="s">
        <v>3961</v>
      </c>
      <c r="G663" s="15">
        <v>6.2811887183E10</v>
      </c>
      <c r="H663" s="5" t="s">
        <v>3962</v>
      </c>
      <c r="I663" s="5" t="s">
        <v>42</v>
      </c>
      <c r="J663" s="5" t="s">
        <v>43</v>
      </c>
      <c r="K663" s="5">
        <v>8.7733785699E10</v>
      </c>
      <c r="L663" s="4" t="s">
        <v>44</v>
      </c>
      <c r="M663" s="5" t="s">
        <v>42</v>
      </c>
      <c r="N663" s="4" t="s">
        <v>45</v>
      </c>
      <c r="O663" s="4" t="s">
        <v>46</v>
      </c>
      <c r="P663" s="4" t="s">
        <v>47</v>
      </c>
      <c r="Q663" s="4">
        <v>16451.0</v>
      </c>
      <c r="R663" s="5" t="s">
        <v>3963</v>
      </c>
      <c r="S663" s="8">
        <v>46184.0</v>
      </c>
      <c r="T663" s="9">
        <v>0.375</v>
      </c>
      <c r="U663" s="9">
        <v>0.9166666666666666</v>
      </c>
      <c r="V663" s="4" t="s">
        <v>49</v>
      </c>
      <c r="W663" s="5">
        <v>1.0</v>
      </c>
      <c r="X663" s="5" t="b">
        <v>1</v>
      </c>
      <c r="Y663" s="5" t="s">
        <v>50</v>
      </c>
      <c r="Z663" s="5" t="b">
        <v>0</v>
      </c>
      <c r="AA663" s="10"/>
      <c r="AB663" s="4">
        <v>1.0</v>
      </c>
      <c r="AC663" s="11" t="s">
        <v>3964</v>
      </c>
      <c r="AD663" s="5">
        <v>0.0</v>
      </c>
      <c r="AE663" s="5">
        <v>1.0</v>
      </c>
      <c r="AF663" s="8">
        <v>46184.0</v>
      </c>
      <c r="AG663" s="9">
        <v>0.375</v>
      </c>
      <c r="AH663" s="9">
        <v>0.9166666666666666</v>
      </c>
      <c r="AI663" s="4" t="s">
        <v>49</v>
      </c>
      <c r="AJ663" s="5" t="s">
        <v>3965</v>
      </c>
      <c r="AK663" s="12"/>
      <c r="AL663" s="12"/>
      <c r="AM663" s="12"/>
      <c r="AN663" s="12"/>
      <c r="AO663" s="12"/>
      <c r="AP663" s="12"/>
      <c r="AQ663" s="12"/>
    </row>
    <row r="664">
      <c r="A664" s="5" t="s">
        <v>3966</v>
      </c>
      <c r="B664" s="5">
        <v>1.1398423E7</v>
      </c>
      <c r="C664" s="5" t="s">
        <v>37</v>
      </c>
      <c r="D664" s="5" t="s">
        <v>3967</v>
      </c>
      <c r="E664" s="5" t="s">
        <v>39</v>
      </c>
      <c r="F664" s="5" t="s">
        <v>3968</v>
      </c>
      <c r="G664" s="15">
        <v>6.28789E17</v>
      </c>
      <c r="H664" s="5" t="s">
        <v>3969</v>
      </c>
      <c r="I664" s="5" t="s">
        <v>42</v>
      </c>
      <c r="J664" s="5" t="s">
        <v>43</v>
      </c>
      <c r="K664" s="5">
        <v>8.7733785699E10</v>
      </c>
      <c r="L664" s="4" t="s">
        <v>44</v>
      </c>
      <c r="M664" s="5" t="s">
        <v>42</v>
      </c>
      <c r="N664" s="4" t="s">
        <v>45</v>
      </c>
      <c r="O664" s="4" t="s">
        <v>46</v>
      </c>
      <c r="P664" s="4" t="s">
        <v>47</v>
      </c>
      <c r="Q664" s="4">
        <v>16451.0</v>
      </c>
      <c r="R664" s="5" t="s">
        <v>3970</v>
      </c>
      <c r="S664" s="8">
        <v>46184.0</v>
      </c>
      <c r="T664" s="9">
        <v>0.375</v>
      </c>
      <c r="U664" s="9">
        <v>0.9166666666666666</v>
      </c>
      <c r="V664" s="4" t="s">
        <v>49</v>
      </c>
      <c r="W664" s="5">
        <v>1.0</v>
      </c>
      <c r="X664" s="5" t="b">
        <v>1</v>
      </c>
      <c r="Y664" s="5" t="s">
        <v>50</v>
      </c>
      <c r="Z664" s="5" t="b">
        <v>0</v>
      </c>
      <c r="AA664" s="10"/>
      <c r="AB664" s="4">
        <v>1.0</v>
      </c>
      <c r="AC664" s="11" t="s">
        <v>3971</v>
      </c>
      <c r="AD664" s="5">
        <v>0.0</v>
      </c>
      <c r="AE664" s="5">
        <v>1.0</v>
      </c>
      <c r="AF664" s="8">
        <v>46184.0</v>
      </c>
      <c r="AG664" s="9">
        <v>0.375</v>
      </c>
      <c r="AH664" s="9">
        <v>0.9166666666666666</v>
      </c>
      <c r="AI664" s="4" t="s">
        <v>49</v>
      </c>
      <c r="AJ664" s="5" t="s">
        <v>3972</v>
      </c>
      <c r="AK664" s="12"/>
      <c r="AL664" s="12"/>
      <c r="AM664" s="12"/>
      <c r="AN664" s="12"/>
      <c r="AO664" s="12"/>
      <c r="AP664" s="12"/>
      <c r="AQ664" s="12"/>
    </row>
    <row r="665">
      <c r="A665" s="5" t="s">
        <v>3973</v>
      </c>
      <c r="B665" s="5">
        <v>1.1398423E7</v>
      </c>
      <c r="C665" s="5" t="s">
        <v>37</v>
      </c>
      <c r="D665" s="5" t="s">
        <v>3974</v>
      </c>
      <c r="E665" s="5" t="s">
        <v>39</v>
      </c>
      <c r="F665" s="5" t="s">
        <v>2061</v>
      </c>
      <c r="G665" s="15">
        <v>6.28528E17</v>
      </c>
      <c r="H665" s="5" t="s">
        <v>2062</v>
      </c>
      <c r="I665" s="5" t="s">
        <v>42</v>
      </c>
      <c r="J665" s="5" t="s">
        <v>43</v>
      </c>
      <c r="K665" s="5">
        <v>8.7733785699E10</v>
      </c>
      <c r="L665" s="4" t="s">
        <v>44</v>
      </c>
      <c r="M665" s="5" t="s">
        <v>42</v>
      </c>
      <c r="N665" s="4" t="s">
        <v>45</v>
      </c>
      <c r="O665" s="4" t="s">
        <v>46</v>
      </c>
      <c r="P665" s="4" t="s">
        <v>47</v>
      </c>
      <c r="Q665" s="4">
        <v>16451.0</v>
      </c>
      <c r="R665" s="5" t="s">
        <v>3975</v>
      </c>
      <c r="S665" s="8">
        <v>46184.0</v>
      </c>
      <c r="T665" s="9">
        <v>0.375</v>
      </c>
      <c r="U665" s="9">
        <v>0.9166666666666666</v>
      </c>
      <c r="V665" s="4" t="s">
        <v>49</v>
      </c>
      <c r="W665" s="5">
        <v>1.0</v>
      </c>
      <c r="X665" s="5" t="b">
        <v>1</v>
      </c>
      <c r="Y665" s="5" t="s">
        <v>50</v>
      </c>
      <c r="Z665" s="5" t="b">
        <v>0</v>
      </c>
      <c r="AA665" s="10"/>
      <c r="AB665" s="4">
        <v>1.0</v>
      </c>
      <c r="AC665" s="11" t="s">
        <v>3976</v>
      </c>
      <c r="AD665" s="5">
        <v>0.0</v>
      </c>
      <c r="AE665" s="5">
        <v>1.0</v>
      </c>
      <c r="AF665" s="8">
        <v>46184.0</v>
      </c>
      <c r="AG665" s="9">
        <v>0.375</v>
      </c>
      <c r="AH665" s="9">
        <v>0.9166666666666666</v>
      </c>
      <c r="AI665" s="4" t="s">
        <v>49</v>
      </c>
      <c r="AJ665" s="5" t="s">
        <v>3977</v>
      </c>
      <c r="AK665" s="12"/>
      <c r="AL665" s="12"/>
      <c r="AM665" s="12"/>
      <c r="AN665" s="12"/>
      <c r="AO665" s="12"/>
      <c r="AP665" s="12"/>
      <c r="AQ665" s="12"/>
    </row>
    <row r="666">
      <c r="A666" s="5" t="s">
        <v>3978</v>
      </c>
      <c r="B666" s="5">
        <v>1.1398423E7</v>
      </c>
      <c r="C666" s="5" t="s">
        <v>37</v>
      </c>
      <c r="D666" s="5" t="s">
        <v>3979</v>
      </c>
      <c r="E666" s="5" t="s">
        <v>39</v>
      </c>
      <c r="F666" s="5" t="s">
        <v>3128</v>
      </c>
      <c r="G666" s="15">
        <v>6.28221E17</v>
      </c>
      <c r="H666" s="5" t="s">
        <v>3129</v>
      </c>
      <c r="I666" s="5" t="s">
        <v>42</v>
      </c>
      <c r="J666" s="5" t="s">
        <v>43</v>
      </c>
      <c r="K666" s="5">
        <v>8.7733785699E10</v>
      </c>
      <c r="L666" s="4" t="s">
        <v>44</v>
      </c>
      <c r="M666" s="5" t="s">
        <v>42</v>
      </c>
      <c r="N666" s="4" t="s">
        <v>45</v>
      </c>
      <c r="O666" s="4" t="s">
        <v>46</v>
      </c>
      <c r="P666" s="4" t="s">
        <v>47</v>
      </c>
      <c r="Q666" s="4">
        <v>16451.0</v>
      </c>
      <c r="R666" s="5" t="s">
        <v>3980</v>
      </c>
      <c r="S666" s="8">
        <v>46184.0</v>
      </c>
      <c r="T666" s="9">
        <v>0.375</v>
      </c>
      <c r="U666" s="9">
        <v>0.9166666666666666</v>
      </c>
      <c r="V666" s="4" t="s">
        <v>49</v>
      </c>
      <c r="W666" s="5">
        <v>1.0</v>
      </c>
      <c r="X666" s="5" t="b">
        <v>1</v>
      </c>
      <c r="Y666" s="5" t="s">
        <v>50</v>
      </c>
      <c r="Z666" s="5" t="b">
        <v>0</v>
      </c>
      <c r="AA666" s="10"/>
      <c r="AB666" s="4">
        <v>1.0</v>
      </c>
      <c r="AC666" s="11" t="s">
        <v>3981</v>
      </c>
      <c r="AD666" s="5">
        <v>0.0</v>
      </c>
      <c r="AE666" s="5">
        <v>1.0</v>
      </c>
      <c r="AF666" s="8">
        <v>46184.0</v>
      </c>
      <c r="AG666" s="9">
        <v>0.375</v>
      </c>
      <c r="AH666" s="9">
        <v>0.9166666666666666</v>
      </c>
      <c r="AI666" s="4" t="s">
        <v>49</v>
      </c>
      <c r="AJ666" s="5" t="s">
        <v>3982</v>
      </c>
      <c r="AK666" s="12"/>
      <c r="AL666" s="12"/>
      <c r="AM666" s="12"/>
      <c r="AN666" s="12"/>
      <c r="AO666" s="12"/>
      <c r="AP666" s="12"/>
      <c r="AQ666" s="12"/>
    </row>
    <row r="667">
      <c r="A667" s="5" t="s">
        <v>3983</v>
      </c>
      <c r="B667" s="5">
        <v>1.1398423E7</v>
      </c>
      <c r="C667" s="5" t="s">
        <v>37</v>
      </c>
      <c r="D667" s="5" t="s">
        <v>3984</v>
      </c>
      <c r="E667" s="5" t="s">
        <v>39</v>
      </c>
      <c r="F667" s="5" t="s">
        <v>2556</v>
      </c>
      <c r="G667" s="15">
        <v>6.2824E16</v>
      </c>
      <c r="H667" s="5" t="s">
        <v>2557</v>
      </c>
      <c r="I667" s="5" t="s">
        <v>42</v>
      </c>
      <c r="J667" s="5" t="s">
        <v>43</v>
      </c>
      <c r="K667" s="5">
        <v>8.7733785699E10</v>
      </c>
      <c r="L667" s="4" t="s">
        <v>44</v>
      </c>
      <c r="M667" s="5" t="s">
        <v>42</v>
      </c>
      <c r="N667" s="4" t="s">
        <v>45</v>
      </c>
      <c r="O667" s="4" t="s">
        <v>46</v>
      </c>
      <c r="P667" s="4" t="s">
        <v>47</v>
      </c>
      <c r="Q667" s="4">
        <v>16451.0</v>
      </c>
      <c r="R667" s="5" t="s">
        <v>3985</v>
      </c>
      <c r="S667" s="8">
        <v>46184.0</v>
      </c>
      <c r="T667" s="9">
        <v>0.375</v>
      </c>
      <c r="U667" s="9">
        <v>0.9166666666666666</v>
      </c>
      <c r="V667" s="4" t="s">
        <v>49</v>
      </c>
      <c r="W667" s="5">
        <v>1.0</v>
      </c>
      <c r="X667" s="5" t="b">
        <v>1</v>
      </c>
      <c r="Y667" s="5" t="s">
        <v>50</v>
      </c>
      <c r="Z667" s="5" t="b">
        <v>0</v>
      </c>
      <c r="AA667" s="10"/>
      <c r="AB667" s="4">
        <v>1.0</v>
      </c>
      <c r="AC667" s="11" t="s">
        <v>3986</v>
      </c>
      <c r="AD667" s="5">
        <v>0.0</v>
      </c>
      <c r="AE667" s="5">
        <v>1.0</v>
      </c>
      <c r="AF667" s="8">
        <v>46184.0</v>
      </c>
      <c r="AG667" s="9">
        <v>0.375</v>
      </c>
      <c r="AH667" s="9">
        <v>0.9166666666666666</v>
      </c>
      <c r="AI667" s="4" t="s">
        <v>49</v>
      </c>
      <c r="AJ667" s="5" t="s">
        <v>3987</v>
      </c>
      <c r="AK667" s="12"/>
      <c r="AL667" s="12"/>
      <c r="AM667" s="12"/>
      <c r="AN667" s="12"/>
      <c r="AO667" s="12"/>
      <c r="AP667" s="12"/>
      <c r="AQ667" s="12"/>
    </row>
    <row r="668">
      <c r="A668" s="5" t="s">
        <v>3988</v>
      </c>
      <c r="B668" s="5">
        <v>1.1398423E7</v>
      </c>
      <c r="C668" s="5" t="s">
        <v>37</v>
      </c>
      <c r="D668" s="5" t="s">
        <v>3802</v>
      </c>
      <c r="E668" s="5" t="s">
        <v>39</v>
      </c>
      <c r="F668" s="5" t="s">
        <v>1633</v>
      </c>
      <c r="G668" s="15">
        <v>6.28217E17</v>
      </c>
      <c r="H668" s="5" t="s">
        <v>1634</v>
      </c>
      <c r="I668" s="5" t="s">
        <v>42</v>
      </c>
      <c r="J668" s="5" t="s">
        <v>43</v>
      </c>
      <c r="K668" s="5">
        <v>8.7733785699E10</v>
      </c>
      <c r="L668" s="4" t="s">
        <v>44</v>
      </c>
      <c r="M668" s="5" t="s">
        <v>42</v>
      </c>
      <c r="N668" s="4" t="s">
        <v>45</v>
      </c>
      <c r="O668" s="4" t="s">
        <v>46</v>
      </c>
      <c r="P668" s="4" t="s">
        <v>47</v>
      </c>
      <c r="Q668" s="4">
        <v>16451.0</v>
      </c>
      <c r="R668" s="5" t="s">
        <v>3989</v>
      </c>
      <c r="S668" s="8">
        <v>46184.0</v>
      </c>
      <c r="T668" s="9">
        <v>0.375</v>
      </c>
      <c r="U668" s="9">
        <v>0.9166666666666666</v>
      </c>
      <c r="V668" s="4" t="s">
        <v>49</v>
      </c>
      <c r="W668" s="5">
        <v>1.0</v>
      </c>
      <c r="X668" s="5" t="b">
        <v>1</v>
      </c>
      <c r="Y668" s="5" t="s">
        <v>50</v>
      </c>
      <c r="Z668" s="5" t="b">
        <v>0</v>
      </c>
      <c r="AA668" s="10"/>
      <c r="AB668" s="4">
        <v>1.0</v>
      </c>
      <c r="AC668" s="11" t="s">
        <v>3990</v>
      </c>
      <c r="AD668" s="5">
        <v>0.0</v>
      </c>
      <c r="AE668" s="5">
        <v>1.0</v>
      </c>
      <c r="AF668" s="8">
        <v>46184.0</v>
      </c>
      <c r="AG668" s="9">
        <v>0.375</v>
      </c>
      <c r="AH668" s="9">
        <v>0.9166666666666666</v>
      </c>
      <c r="AI668" s="4" t="s">
        <v>49</v>
      </c>
      <c r="AJ668" s="5" t="s">
        <v>3991</v>
      </c>
      <c r="AK668" s="12"/>
      <c r="AL668" s="12"/>
      <c r="AM668" s="12"/>
      <c r="AN668" s="12"/>
      <c r="AO668" s="12"/>
      <c r="AP668" s="12"/>
      <c r="AQ668" s="12"/>
    </row>
    <row r="669">
      <c r="A669" s="5" t="s">
        <v>3992</v>
      </c>
      <c r="B669" s="5">
        <v>1.1398423E7</v>
      </c>
      <c r="C669" s="5" t="s">
        <v>37</v>
      </c>
      <c r="D669" s="5" t="s">
        <v>3993</v>
      </c>
      <c r="E669" s="5" t="s">
        <v>39</v>
      </c>
      <c r="F669" s="5" t="s">
        <v>3994</v>
      </c>
      <c r="G669" s="15">
        <v>6.28001E17</v>
      </c>
      <c r="H669" s="5" t="s">
        <v>3995</v>
      </c>
      <c r="I669" s="5" t="s">
        <v>42</v>
      </c>
      <c r="J669" s="5" t="s">
        <v>43</v>
      </c>
      <c r="K669" s="5">
        <v>8.7733785699E10</v>
      </c>
      <c r="L669" s="4" t="s">
        <v>44</v>
      </c>
      <c r="M669" s="5" t="s">
        <v>42</v>
      </c>
      <c r="N669" s="4" t="s">
        <v>45</v>
      </c>
      <c r="O669" s="4" t="s">
        <v>46</v>
      </c>
      <c r="P669" s="4" t="s">
        <v>47</v>
      </c>
      <c r="Q669" s="4">
        <v>16451.0</v>
      </c>
      <c r="R669" s="5" t="s">
        <v>3996</v>
      </c>
      <c r="S669" s="8">
        <v>46184.0</v>
      </c>
      <c r="T669" s="9">
        <v>0.375</v>
      </c>
      <c r="U669" s="9">
        <v>0.9166666666666666</v>
      </c>
      <c r="V669" s="4" t="s">
        <v>49</v>
      </c>
      <c r="W669" s="5">
        <v>1.0</v>
      </c>
      <c r="X669" s="5" t="b">
        <v>1</v>
      </c>
      <c r="Y669" s="5" t="s">
        <v>50</v>
      </c>
      <c r="Z669" s="5" t="b">
        <v>0</v>
      </c>
      <c r="AA669" s="10"/>
      <c r="AB669" s="4">
        <v>1.0</v>
      </c>
      <c r="AC669" s="11" t="s">
        <v>3997</v>
      </c>
      <c r="AD669" s="5">
        <v>0.0</v>
      </c>
      <c r="AE669" s="5">
        <v>1.0</v>
      </c>
      <c r="AF669" s="8">
        <v>46184.0</v>
      </c>
      <c r="AG669" s="9">
        <v>0.375</v>
      </c>
      <c r="AH669" s="9">
        <v>0.9166666666666666</v>
      </c>
      <c r="AI669" s="4" t="s">
        <v>49</v>
      </c>
      <c r="AJ669" s="5" t="s">
        <v>3998</v>
      </c>
      <c r="AK669" s="12"/>
      <c r="AL669" s="12"/>
      <c r="AM669" s="12"/>
      <c r="AN669" s="12"/>
      <c r="AO669" s="12"/>
      <c r="AP669" s="12"/>
      <c r="AQ669" s="12"/>
    </row>
    <row r="670">
      <c r="A670" s="5" t="s">
        <v>3999</v>
      </c>
      <c r="B670" s="5">
        <v>1.1398423E7</v>
      </c>
      <c r="C670" s="5" t="s">
        <v>37</v>
      </c>
      <c r="D670" s="5" t="s">
        <v>4000</v>
      </c>
      <c r="E670" s="5" t="s">
        <v>39</v>
      </c>
      <c r="F670" s="5" t="s">
        <v>2978</v>
      </c>
      <c r="G670" s="15">
        <v>8.16806328E8</v>
      </c>
      <c r="H670" s="5" t="s">
        <v>2979</v>
      </c>
      <c r="I670" s="5" t="s">
        <v>42</v>
      </c>
      <c r="J670" s="5" t="s">
        <v>43</v>
      </c>
      <c r="K670" s="5">
        <v>8.7733785699E10</v>
      </c>
      <c r="L670" s="4" t="s">
        <v>44</v>
      </c>
      <c r="M670" s="5" t="s">
        <v>42</v>
      </c>
      <c r="N670" s="4" t="s">
        <v>45</v>
      </c>
      <c r="O670" s="4" t="s">
        <v>46</v>
      </c>
      <c r="P670" s="4" t="s">
        <v>47</v>
      </c>
      <c r="Q670" s="4">
        <v>16451.0</v>
      </c>
      <c r="R670" s="5" t="s">
        <v>4001</v>
      </c>
      <c r="S670" s="8">
        <v>46184.0</v>
      </c>
      <c r="T670" s="9">
        <v>0.375</v>
      </c>
      <c r="U670" s="9">
        <v>0.9166666666666666</v>
      </c>
      <c r="V670" s="4" t="s">
        <v>49</v>
      </c>
      <c r="W670" s="5">
        <v>1.0</v>
      </c>
      <c r="X670" s="5" t="b">
        <v>1</v>
      </c>
      <c r="Y670" s="5" t="s">
        <v>50</v>
      </c>
      <c r="Z670" s="5" t="b">
        <v>0</v>
      </c>
      <c r="AA670" s="10"/>
      <c r="AB670" s="4">
        <v>1.0</v>
      </c>
      <c r="AC670" s="11" t="s">
        <v>4002</v>
      </c>
      <c r="AD670" s="5">
        <v>0.0</v>
      </c>
      <c r="AE670" s="5">
        <v>1.0</v>
      </c>
      <c r="AF670" s="8">
        <v>46184.0</v>
      </c>
      <c r="AG670" s="9">
        <v>0.375</v>
      </c>
      <c r="AH670" s="9">
        <v>0.9166666666666666</v>
      </c>
      <c r="AI670" s="4" t="s">
        <v>49</v>
      </c>
      <c r="AJ670" s="5" t="s">
        <v>4003</v>
      </c>
      <c r="AK670" s="12"/>
      <c r="AL670" s="12"/>
      <c r="AM670" s="12"/>
      <c r="AN670" s="12"/>
      <c r="AO670" s="12"/>
      <c r="AP670" s="12"/>
      <c r="AQ670" s="12"/>
    </row>
    <row r="671">
      <c r="A671" s="5" t="s">
        <v>4004</v>
      </c>
      <c r="B671" s="5">
        <v>1.1398423E7</v>
      </c>
      <c r="C671" s="5" t="s">
        <v>37</v>
      </c>
      <c r="D671" s="5" t="s">
        <v>4005</v>
      </c>
      <c r="E671" s="5" t="s">
        <v>39</v>
      </c>
      <c r="F671" s="5" t="s">
        <v>4006</v>
      </c>
      <c r="G671" s="15">
        <v>6.28131E17</v>
      </c>
      <c r="H671" s="5" t="s">
        <v>4007</v>
      </c>
      <c r="I671" s="5" t="s">
        <v>42</v>
      </c>
      <c r="J671" s="5" t="s">
        <v>43</v>
      </c>
      <c r="K671" s="5">
        <v>8.7733785699E10</v>
      </c>
      <c r="L671" s="4" t="s">
        <v>44</v>
      </c>
      <c r="M671" s="5" t="s">
        <v>42</v>
      </c>
      <c r="N671" s="4" t="s">
        <v>45</v>
      </c>
      <c r="O671" s="4" t="s">
        <v>46</v>
      </c>
      <c r="P671" s="4" t="s">
        <v>47</v>
      </c>
      <c r="Q671" s="4">
        <v>16451.0</v>
      </c>
      <c r="R671" s="5" t="s">
        <v>4008</v>
      </c>
      <c r="S671" s="8">
        <v>46184.0</v>
      </c>
      <c r="T671" s="9">
        <v>0.375</v>
      </c>
      <c r="U671" s="9">
        <v>0.9166666666666666</v>
      </c>
      <c r="V671" s="4" t="s">
        <v>49</v>
      </c>
      <c r="W671" s="5">
        <v>1.0</v>
      </c>
      <c r="X671" s="5" t="b">
        <v>1</v>
      </c>
      <c r="Y671" s="5" t="s">
        <v>50</v>
      </c>
      <c r="Z671" s="5" t="b">
        <v>0</v>
      </c>
      <c r="AA671" s="10"/>
      <c r="AB671" s="4">
        <v>1.0</v>
      </c>
      <c r="AC671" s="11" t="s">
        <v>4009</v>
      </c>
      <c r="AD671" s="5">
        <v>0.0</v>
      </c>
      <c r="AE671" s="5">
        <v>1.0</v>
      </c>
      <c r="AF671" s="8">
        <v>46184.0</v>
      </c>
      <c r="AG671" s="9">
        <v>0.375</v>
      </c>
      <c r="AH671" s="9">
        <v>0.9166666666666666</v>
      </c>
      <c r="AI671" s="4" t="s">
        <v>49</v>
      </c>
      <c r="AJ671" s="5" t="s">
        <v>4010</v>
      </c>
      <c r="AK671" s="12"/>
      <c r="AL671" s="12"/>
      <c r="AM671" s="12"/>
      <c r="AN671" s="12"/>
      <c r="AO671" s="12"/>
      <c r="AP671" s="12"/>
      <c r="AQ671" s="12"/>
    </row>
    <row r="672">
      <c r="A672" s="5" t="s">
        <v>4011</v>
      </c>
      <c r="B672" s="5">
        <v>1.1398423E7</v>
      </c>
      <c r="C672" s="5" t="s">
        <v>37</v>
      </c>
      <c r="D672" s="5" t="s">
        <v>4012</v>
      </c>
      <c r="E672" s="5" t="s">
        <v>39</v>
      </c>
      <c r="F672" s="5" t="s">
        <v>2446</v>
      </c>
      <c r="G672" s="15">
        <v>6.28961E17</v>
      </c>
      <c r="H672" s="5" t="s">
        <v>2447</v>
      </c>
      <c r="I672" s="5" t="s">
        <v>42</v>
      </c>
      <c r="J672" s="5" t="s">
        <v>43</v>
      </c>
      <c r="K672" s="5">
        <v>8.7733785699E10</v>
      </c>
      <c r="L672" s="4" t="s">
        <v>44</v>
      </c>
      <c r="M672" s="5" t="s">
        <v>42</v>
      </c>
      <c r="N672" s="4" t="s">
        <v>45</v>
      </c>
      <c r="O672" s="4" t="s">
        <v>46</v>
      </c>
      <c r="P672" s="4" t="s">
        <v>47</v>
      </c>
      <c r="Q672" s="4">
        <v>16451.0</v>
      </c>
      <c r="R672" s="5" t="s">
        <v>4013</v>
      </c>
      <c r="S672" s="8">
        <v>46184.0</v>
      </c>
      <c r="T672" s="9">
        <v>0.375</v>
      </c>
      <c r="U672" s="9">
        <v>0.9166666666666666</v>
      </c>
      <c r="V672" s="4" t="s">
        <v>49</v>
      </c>
      <c r="W672" s="5">
        <v>1.0</v>
      </c>
      <c r="X672" s="5" t="b">
        <v>1</v>
      </c>
      <c r="Y672" s="5" t="s">
        <v>50</v>
      </c>
      <c r="Z672" s="5" t="b">
        <v>0</v>
      </c>
      <c r="AA672" s="10"/>
      <c r="AB672" s="4">
        <v>1.0</v>
      </c>
      <c r="AC672" s="11" t="s">
        <v>4014</v>
      </c>
      <c r="AD672" s="5">
        <v>0.0</v>
      </c>
      <c r="AE672" s="5">
        <v>1.0</v>
      </c>
      <c r="AF672" s="8">
        <v>46184.0</v>
      </c>
      <c r="AG672" s="9">
        <v>0.375</v>
      </c>
      <c r="AH672" s="9">
        <v>0.9166666666666666</v>
      </c>
      <c r="AI672" s="4" t="s">
        <v>49</v>
      </c>
      <c r="AJ672" s="5" t="s">
        <v>4015</v>
      </c>
      <c r="AK672" s="12"/>
      <c r="AL672" s="12"/>
      <c r="AM672" s="12"/>
      <c r="AN672" s="12"/>
      <c r="AO672" s="12"/>
      <c r="AP672" s="12"/>
      <c r="AQ672" s="12"/>
    </row>
    <row r="673">
      <c r="A673" s="5" t="s">
        <v>4016</v>
      </c>
      <c r="B673" s="5">
        <v>1.1398423E7</v>
      </c>
      <c r="C673" s="5" t="s">
        <v>37</v>
      </c>
      <c r="D673" s="5" t="s">
        <v>4017</v>
      </c>
      <c r="E673" s="5" t="s">
        <v>39</v>
      </c>
      <c r="F673" s="5" t="s">
        <v>4018</v>
      </c>
      <c r="G673" s="15">
        <v>2.15703335E8</v>
      </c>
      <c r="H673" s="5" t="s">
        <v>4019</v>
      </c>
      <c r="I673" s="5" t="s">
        <v>42</v>
      </c>
      <c r="J673" s="5" t="s">
        <v>43</v>
      </c>
      <c r="K673" s="5">
        <v>8.7733785699E10</v>
      </c>
      <c r="L673" s="4" t="s">
        <v>44</v>
      </c>
      <c r="M673" s="5" t="s">
        <v>42</v>
      </c>
      <c r="N673" s="4" t="s">
        <v>45</v>
      </c>
      <c r="O673" s="4" t="s">
        <v>46</v>
      </c>
      <c r="P673" s="4" t="s">
        <v>47</v>
      </c>
      <c r="Q673" s="4">
        <v>16451.0</v>
      </c>
      <c r="R673" s="5" t="s">
        <v>4020</v>
      </c>
      <c r="S673" s="8">
        <v>46185.0</v>
      </c>
      <c r="T673" s="9">
        <v>0.375</v>
      </c>
      <c r="U673" s="9">
        <v>0.9166666666666666</v>
      </c>
      <c r="V673" s="4" t="s">
        <v>49</v>
      </c>
      <c r="W673" s="5">
        <v>1.0</v>
      </c>
      <c r="X673" s="5" t="b">
        <v>1</v>
      </c>
      <c r="Y673" s="5" t="s">
        <v>50</v>
      </c>
      <c r="Z673" s="5" t="b">
        <v>0</v>
      </c>
      <c r="AA673" s="10"/>
      <c r="AB673" s="4">
        <v>1.0</v>
      </c>
      <c r="AC673" s="11" t="s">
        <v>4021</v>
      </c>
      <c r="AD673" s="5">
        <v>0.0</v>
      </c>
      <c r="AE673" s="5">
        <v>1.0</v>
      </c>
      <c r="AF673" s="8">
        <v>46185.0</v>
      </c>
      <c r="AG673" s="9">
        <v>0.375</v>
      </c>
      <c r="AH673" s="9">
        <v>0.9166666666666666</v>
      </c>
      <c r="AI673" s="4" t="s">
        <v>49</v>
      </c>
      <c r="AJ673" s="5" t="s">
        <v>4022</v>
      </c>
      <c r="AK673" s="12"/>
      <c r="AL673" s="12"/>
      <c r="AM673" s="12" t="s">
        <v>52</v>
      </c>
      <c r="AN673" s="12"/>
      <c r="AO673" s="12"/>
      <c r="AP673" s="12"/>
      <c r="AQ673" s="12"/>
    </row>
    <row r="674">
      <c r="A674" s="5" t="s">
        <v>4023</v>
      </c>
      <c r="B674" s="5">
        <v>1.1398423E7</v>
      </c>
      <c r="C674" s="5" t="s">
        <v>37</v>
      </c>
      <c r="D674" s="5" t="s">
        <v>4024</v>
      </c>
      <c r="E674" s="5" t="s">
        <v>39</v>
      </c>
      <c r="F674" s="5" t="s">
        <v>1111</v>
      </c>
      <c r="G674" s="15">
        <v>6.28829E17</v>
      </c>
      <c r="H674" s="5" t="s">
        <v>1112</v>
      </c>
      <c r="I674" s="5" t="s">
        <v>42</v>
      </c>
      <c r="J674" s="5" t="s">
        <v>43</v>
      </c>
      <c r="K674" s="5">
        <v>8.7733785699E10</v>
      </c>
      <c r="L674" s="4" t="s">
        <v>44</v>
      </c>
      <c r="M674" s="5" t="s">
        <v>42</v>
      </c>
      <c r="N674" s="4" t="s">
        <v>45</v>
      </c>
      <c r="O674" s="4" t="s">
        <v>46</v>
      </c>
      <c r="P674" s="4" t="s">
        <v>47</v>
      </c>
      <c r="Q674" s="4">
        <v>16451.0</v>
      </c>
      <c r="R674" s="5" t="s">
        <v>4025</v>
      </c>
      <c r="S674" s="8">
        <v>46185.0</v>
      </c>
      <c r="T674" s="9">
        <v>0.375</v>
      </c>
      <c r="U674" s="9">
        <v>0.9166666666666666</v>
      </c>
      <c r="V674" s="4" t="s">
        <v>49</v>
      </c>
      <c r="W674" s="5">
        <v>1.0</v>
      </c>
      <c r="X674" s="5" t="b">
        <v>1</v>
      </c>
      <c r="Y674" s="5" t="s">
        <v>50</v>
      </c>
      <c r="Z674" s="5" t="b">
        <v>0</v>
      </c>
      <c r="AA674" s="10"/>
      <c r="AB674" s="4">
        <v>1.0</v>
      </c>
      <c r="AC674" s="11" t="s">
        <v>4026</v>
      </c>
      <c r="AD674" s="5">
        <v>0.0</v>
      </c>
      <c r="AE674" s="5">
        <v>1.0</v>
      </c>
      <c r="AF674" s="8">
        <v>46185.0</v>
      </c>
      <c r="AG674" s="9">
        <v>0.375</v>
      </c>
      <c r="AH674" s="9">
        <v>0.9166666666666666</v>
      </c>
      <c r="AI674" s="4" t="s">
        <v>49</v>
      </c>
      <c r="AJ674" s="5" t="s">
        <v>4027</v>
      </c>
      <c r="AK674" s="12"/>
      <c r="AL674" s="12"/>
      <c r="AM674" s="12" t="s">
        <v>52</v>
      </c>
      <c r="AN674" s="12"/>
      <c r="AO674" s="12"/>
      <c r="AP674" s="12"/>
      <c r="AQ674" s="12"/>
    </row>
    <row r="675">
      <c r="A675" s="5" t="s">
        <v>4028</v>
      </c>
      <c r="B675" s="5">
        <v>1.1398423E7</v>
      </c>
      <c r="C675" s="5" t="s">
        <v>37</v>
      </c>
      <c r="D675" s="5" t="s">
        <v>4029</v>
      </c>
      <c r="E675" s="5" t="s">
        <v>39</v>
      </c>
      <c r="F675" s="5" t="s">
        <v>828</v>
      </c>
      <c r="G675" s="15">
        <v>8.176684929E9</v>
      </c>
      <c r="H675" s="5" t="s">
        <v>829</v>
      </c>
      <c r="I675" s="5" t="s">
        <v>42</v>
      </c>
      <c r="J675" s="5" t="s">
        <v>43</v>
      </c>
      <c r="K675" s="5">
        <v>8.7733785699E10</v>
      </c>
      <c r="L675" s="4" t="s">
        <v>44</v>
      </c>
      <c r="M675" s="5" t="s">
        <v>42</v>
      </c>
      <c r="N675" s="4" t="s">
        <v>45</v>
      </c>
      <c r="O675" s="4" t="s">
        <v>46</v>
      </c>
      <c r="P675" s="4" t="s">
        <v>47</v>
      </c>
      <c r="Q675" s="4">
        <v>16451.0</v>
      </c>
      <c r="R675" s="5" t="s">
        <v>4030</v>
      </c>
      <c r="S675" s="8">
        <v>46185.0</v>
      </c>
      <c r="T675" s="9">
        <v>0.375</v>
      </c>
      <c r="U675" s="9">
        <v>0.9166666666666666</v>
      </c>
      <c r="V675" s="4" t="s">
        <v>49</v>
      </c>
      <c r="W675" s="5">
        <v>1.0</v>
      </c>
      <c r="X675" s="5" t="b">
        <v>1</v>
      </c>
      <c r="Y675" s="5" t="s">
        <v>50</v>
      </c>
      <c r="Z675" s="5" t="b">
        <v>0</v>
      </c>
      <c r="AA675" s="10"/>
      <c r="AB675" s="4">
        <v>1.0</v>
      </c>
      <c r="AC675" s="11" t="s">
        <v>4031</v>
      </c>
      <c r="AD675" s="5">
        <v>0.0</v>
      </c>
      <c r="AE675" s="5">
        <v>1.0</v>
      </c>
      <c r="AF675" s="8">
        <v>46185.0</v>
      </c>
      <c r="AG675" s="9">
        <v>0.375</v>
      </c>
      <c r="AH675" s="9">
        <v>0.9166666666666666</v>
      </c>
      <c r="AI675" s="4" t="s">
        <v>49</v>
      </c>
      <c r="AJ675" s="5" t="s">
        <v>4032</v>
      </c>
      <c r="AK675" s="12"/>
      <c r="AL675" s="12"/>
      <c r="AM675" s="12" t="s">
        <v>52</v>
      </c>
      <c r="AN675" s="12"/>
      <c r="AO675" s="12"/>
      <c r="AP675" s="12"/>
      <c r="AQ675" s="12"/>
    </row>
    <row r="676">
      <c r="A676" s="5" t="s">
        <v>4033</v>
      </c>
      <c r="B676" s="5">
        <v>1.1398423E7</v>
      </c>
      <c r="C676" s="5" t="s">
        <v>37</v>
      </c>
      <c r="D676" s="5" t="s">
        <v>4034</v>
      </c>
      <c r="E676" s="5" t="s">
        <v>39</v>
      </c>
      <c r="F676" s="5" t="s">
        <v>1907</v>
      </c>
      <c r="G676" s="15">
        <v>6.28125E17</v>
      </c>
      <c r="H676" s="5" t="s">
        <v>1908</v>
      </c>
      <c r="I676" s="5" t="s">
        <v>42</v>
      </c>
      <c r="J676" s="5" t="s">
        <v>43</v>
      </c>
      <c r="K676" s="5">
        <v>8.7733785699E10</v>
      </c>
      <c r="L676" s="4" t="s">
        <v>44</v>
      </c>
      <c r="M676" s="5" t="s">
        <v>42</v>
      </c>
      <c r="N676" s="4" t="s">
        <v>45</v>
      </c>
      <c r="O676" s="4" t="s">
        <v>46</v>
      </c>
      <c r="P676" s="4" t="s">
        <v>47</v>
      </c>
      <c r="Q676" s="4">
        <v>16451.0</v>
      </c>
      <c r="R676" s="5" t="s">
        <v>4035</v>
      </c>
      <c r="S676" s="8">
        <v>46185.0</v>
      </c>
      <c r="T676" s="9">
        <v>0.375</v>
      </c>
      <c r="U676" s="9">
        <v>0.9166666666666666</v>
      </c>
      <c r="V676" s="4" t="s">
        <v>49</v>
      </c>
      <c r="W676" s="5">
        <v>1.0</v>
      </c>
      <c r="X676" s="5" t="b">
        <v>1</v>
      </c>
      <c r="Y676" s="5" t="s">
        <v>50</v>
      </c>
      <c r="Z676" s="5" t="b">
        <v>0</v>
      </c>
      <c r="AA676" s="10"/>
      <c r="AB676" s="4">
        <v>1.0</v>
      </c>
      <c r="AC676" s="11" t="s">
        <v>4036</v>
      </c>
      <c r="AD676" s="5">
        <v>0.0</v>
      </c>
      <c r="AE676" s="5">
        <v>1.0</v>
      </c>
      <c r="AF676" s="8">
        <v>46185.0</v>
      </c>
      <c r="AG676" s="9">
        <v>0.375</v>
      </c>
      <c r="AH676" s="9">
        <v>0.9166666666666666</v>
      </c>
      <c r="AI676" s="4" t="s">
        <v>49</v>
      </c>
      <c r="AJ676" s="5" t="s">
        <v>4037</v>
      </c>
      <c r="AK676" s="12"/>
      <c r="AL676" s="12"/>
      <c r="AM676" s="12" t="s">
        <v>52</v>
      </c>
      <c r="AN676" s="12"/>
      <c r="AO676" s="12"/>
      <c r="AP676" s="12"/>
      <c r="AQ676" s="12"/>
    </row>
    <row r="677">
      <c r="A677" s="5" t="s">
        <v>4038</v>
      </c>
      <c r="B677" s="5">
        <v>1.1398423E7</v>
      </c>
      <c r="C677" s="5" t="s">
        <v>37</v>
      </c>
      <c r="D677" s="5" t="s">
        <v>4039</v>
      </c>
      <c r="E677" s="5" t="s">
        <v>39</v>
      </c>
      <c r="F677" s="5" t="s">
        <v>1011</v>
      </c>
      <c r="G677" s="15">
        <v>6.2813E16</v>
      </c>
      <c r="H677" s="5" t="s">
        <v>1012</v>
      </c>
      <c r="I677" s="5" t="s">
        <v>42</v>
      </c>
      <c r="J677" s="5" t="s">
        <v>43</v>
      </c>
      <c r="K677" s="5">
        <v>8.7733785699E10</v>
      </c>
      <c r="L677" s="4" t="s">
        <v>44</v>
      </c>
      <c r="M677" s="5" t="s">
        <v>42</v>
      </c>
      <c r="N677" s="4" t="s">
        <v>45</v>
      </c>
      <c r="O677" s="4" t="s">
        <v>46</v>
      </c>
      <c r="P677" s="4" t="s">
        <v>47</v>
      </c>
      <c r="Q677" s="4">
        <v>16451.0</v>
      </c>
      <c r="R677" s="5" t="s">
        <v>4040</v>
      </c>
      <c r="S677" s="8">
        <v>46185.0</v>
      </c>
      <c r="T677" s="9">
        <v>0.375</v>
      </c>
      <c r="U677" s="9">
        <v>0.9166666666666666</v>
      </c>
      <c r="V677" s="4" t="s">
        <v>49</v>
      </c>
      <c r="W677" s="5">
        <v>1.0</v>
      </c>
      <c r="X677" s="5" t="b">
        <v>1</v>
      </c>
      <c r="Y677" s="5" t="s">
        <v>50</v>
      </c>
      <c r="Z677" s="5" t="b">
        <v>0</v>
      </c>
      <c r="AA677" s="10"/>
      <c r="AB677" s="4">
        <v>1.0</v>
      </c>
      <c r="AC677" s="11" t="s">
        <v>4041</v>
      </c>
      <c r="AD677" s="5">
        <v>0.0</v>
      </c>
      <c r="AE677" s="5">
        <v>1.0</v>
      </c>
      <c r="AF677" s="8">
        <v>46185.0</v>
      </c>
      <c r="AG677" s="9">
        <v>0.375</v>
      </c>
      <c r="AH677" s="9">
        <v>0.9166666666666666</v>
      </c>
      <c r="AI677" s="4" t="s">
        <v>49</v>
      </c>
      <c r="AJ677" s="5" t="s">
        <v>4042</v>
      </c>
      <c r="AK677" s="12"/>
      <c r="AL677" s="12"/>
      <c r="AM677" s="12" t="s">
        <v>52</v>
      </c>
      <c r="AN677" s="12"/>
      <c r="AO677" s="12"/>
      <c r="AP677" s="12"/>
      <c r="AQ677" s="12"/>
    </row>
    <row r="678">
      <c r="A678" s="5" t="s">
        <v>4043</v>
      </c>
      <c r="B678" s="5">
        <v>1.1398423E7</v>
      </c>
      <c r="C678" s="5" t="s">
        <v>37</v>
      </c>
      <c r="D678" s="5" t="s">
        <v>4044</v>
      </c>
      <c r="E678" s="5" t="s">
        <v>39</v>
      </c>
      <c r="F678" s="5" t="s">
        <v>4045</v>
      </c>
      <c r="G678" s="15">
        <v>8.583208034E10</v>
      </c>
      <c r="H678" s="5" t="s">
        <v>4046</v>
      </c>
      <c r="I678" s="5" t="s">
        <v>42</v>
      </c>
      <c r="J678" s="5" t="s">
        <v>43</v>
      </c>
      <c r="K678" s="5">
        <v>8.7733785699E10</v>
      </c>
      <c r="L678" s="4" t="s">
        <v>44</v>
      </c>
      <c r="M678" s="5" t="s">
        <v>42</v>
      </c>
      <c r="N678" s="4" t="s">
        <v>45</v>
      </c>
      <c r="O678" s="4" t="s">
        <v>46</v>
      </c>
      <c r="P678" s="4" t="s">
        <v>47</v>
      </c>
      <c r="Q678" s="4">
        <v>16451.0</v>
      </c>
      <c r="R678" s="5" t="s">
        <v>4047</v>
      </c>
      <c r="S678" s="8">
        <v>46185.0</v>
      </c>
      <c r="T678" s="9">
        <v>0.375</v>
      </c>
      <c r="U678" s="9">
        <v>0.9166666666666666</v>
      </c>
      <c r="V678" s="4" t="s">
        <v>49</v>
      </c>
      <c r="W678" s="5">
        <v>1.0</v>
      </c>
      <c r="X678" s="5" t="b">
        <v>1</v>
      </c>
      <c r="Y678" s="5" t="s">
        <v>50</v>
      </c>
      <c r="Z678" s="5" t="b">
        <v>0</v>
      </c>
      <c r="AA678" s="10"/>
      <c r="AB678" s="4">
        <v>1.0</v>
      </c>
      <c r="AC678" s="11" t="s">
        <v>4048</v>
      </c>
      <c r="AD678" s="5">
        <v>0.0</v>
      </c>
      <c r="AE678" s="5">
        <v>1.0</v>
      </c>
      <c r="AF678" s="8">
        <v>46185.0</v>
      </c>
      <c r="AG678" s="9">
        <v>0.375</v>
      </c>
      <c r="AH678" s="9">
        <v>0.9166666666666666</v>
      </c>
      <c r="AI678" s="4" t="s">
        <v>49</v>
      </c>
      <c r="AJ678" s="5" t="s">
        <v>4049</v>
      </c>
      <c r="AK678" s="12"/>
      <c r="AL678" s="12"/>
      <c r="AM678" s="12" t="s">
        <v>52</v>
      </c>
      <c r="AN678" s="12"/>
      <c r="AO678" s="12"/>
      <c r="AP678" s="12"/>
      <c r="AQ678" s="12"/>
    </row>
    <row r="679">
      <c r="A679" s="5" t="s">
        <v>4050</v>
      </c>
      <c r="B679" s="5">
        <v>1.1398423E7</v>
      </c>
      <c r="C679" s="5" t="s">
        <v>37</v>
      </c>
      <c r="D679" s="5" t="s">
        <v>4051</v>
      </c>
      <c r="E679" s="5" t="s">
        <v>39</v>
      </c>
      <c r="F679" s="5" t="s">
        <v>4052</v>
      </c>
      <c r="G679" s="15">
        <v>6.28141E17</v>
      </c>
      <c r="H679" s="5" t="s">
        <v>4053</v>
      </c>
      <c r="I679" s="5" t="s">
        <v>42</v>
      </c>
      <c r="J679" s="5" t="s">
        <v>43</v>
      </c>
      <c r="K679" s="5">
        <v>8.7733785699E10</v>
      </c>
      <c r="L679" s="4" t="s">
        <v>44</v>
      </c>
      <c r="M679" s="5" t="s">
        <v>42</v>
      </c>
      <c r="N679" s="4" t="s">
        <v>45</v>
      </c>
      <c r="O679" s="4" t="s">
        <v>46</v>
      </c>
      <c r="P679" s="4" t="s">
        <v>47</v>
      </c>
      <c r="Q679" s="4">
        <v>16451.0</v>
      </c>
      <c r="R679" s="5" t="s">
        <v>4054</v>
      </c>
      <c r="S679" s="8">
        <v>46185.0</v>
      </c>
      <c r="T679" s="9">
        <v>0.375</v>
      </c>
      <c r="U679" s="9">
        <v>0.9166666666666666</v>
      </c>
      <c r="V679" s="4" t="s">
        <v>49</v>
      </c>
      <c r="W679" s="5">
        <v>1.0</v>
      </c>
      <c r="X679" s="5" t="b">
        <v>1</v>
      </c>
      <c r="Y679" s="5" t="s">
        <v>50</v>
      </c>
      <c r="Z679" s="5" t="b">
        <v>0</v>
      </c>
      <c r="AA679" s="10"/>
      <c r="AB679" s="4">
        <v>1.0</v>
      </c>
      <c r="AC679" s="11" t="s">
        <v>4055</v>
      </c>
      <c r="AD679" s="5">
        <v>0.0</v>
      </c>
      <c r="AE679" s="5">
        <v>1.0</v>
      </c>
      <c r="AF679" s="8">
        <v>46185.0</v>
      </c>
      <c r="AG679" s="9">
        <v>0.375</v>
      </c>
      <c r="AH679" s="9">
        <v>0.9166666666666666</v>
      </c>
      <c r="AI679" s="4" t="s">
        <v>49</v>
      </c>
      <c r="AJ679" s="5" t="s">
        <v>4056</v>
      </c>
      <c r="AK679" s="12"/>
      <c r="AL679" s="12"/>
      <c r="AM679" s="12" t="s">
        <v>52</v>
      </c>
      <c r="AN679" s="12"/>
      <c r="AO679" s="12"/>
      <c r="AP679" s="12"/>
      <c r="AQ679" s="12"/>
    </row>
    <row r="680">
      <c r="A680" s="5" t="s">
        <v>4057</v>
      </c>
      <c r="B680" s="5">
        <v>1.1398423E7</v>
      </c>
      <c r="C680" s="5" t="s">
        <v>37</v>
      </c>
      <c r="D680" s="5" t="s">
        <v>4058</v>
      </c>
      <c r="E680" s="5" t="s">
        <v>39</v>
      </c>
      <c r="F680" s="5" t="s">
        <v>4059</v>
      </c>
      <c r="G680" s="15">
        <v>8.5770790006E10</v>
      </c>
      <c r="H680" s="5" t="s">
        <v>4060</v>
      </c>
      <c r="I680" s="5" t="s">
        <v>42</v>
      </c>
      <c r="J680" s="5" t="s">
        <v>43</v>
      </c>
      <c r="K680" s="5">
        <v>8.7733785699E10</v>
      </c>
      <c r="L680" s="4" t="s">
        <v>44</v>
      </c>
      <c r="M680" s="5" t="s">
        <v>42</v>
      </c>
      <c r="N680" s="4" t="s">
        <v>45</v>
      </c>
      <c r="O680" s="4" t="s">
        <v>46</v>
      </c>
      <c r="P680" s="4" t="s">
        <v>47</v>
      </c>
      <c r="Q680" s="4">
        <v>16451.0</v>
      </c>
      <c r="R680" s="5" t="s">
        <v>4061</v>
      </c>
      <c r="S680" s="8">
        <v>46185.0</v>
      </c>
      <c r="T680" s="9">
        <v>0.375</v>
      </c>
      <c r="U680" s="9">
        <v>0.9166666666666666</v>
      </c>
      <c r="V680" s="4" t="s">
        <v>49</v>
      </c>
      <c r="W680" s="5">
        <v>1.0</v>
      </c>
      <c r="X680" s="5" t="b">
        <v>1</v>
      </c>
      <c r="Y680" s="5" t="s">
        <v>50</v>
      </c>
      <c r="Z680" s="5" t="b">
        <v>0</v>
      </c>
      <c r="AA680" s="10"/>
      <c r="AB680" s="4">
        <v>1.0</v>
      </c>
      <c r="AC680" s="11" t="s">
        <v>4062</v>
      </c>
      <c r="AD680" s="5">
        <v>0.0</v>
      </c>
      <c r="AE680" s="5">
        <v>1.0</v>
      </c>
      <c r="AF680" s="8">
        <v>46185.0</v>
      </c>
      <c r="AG680" s="9">
        <v>0.375</v>
      </c>
      <c r="AH680" s="9">
        <v>0.9166666666666666</v>
      </c>
      <c r="AI680" s="4" t="s">
        <v>49</v>
      </c>
      <c r="AJ680" s="5" t="s">
        <v>4063</v>
      </c>
      <c r="AK680" s="12"/>
      <c r="AL680" s="12"/>
      <c r="AM680" s="12" t="s">
        <v>52</v>
      </c>
      <c r="AN680" s="12"/>
      <c r="AO680" s="12"/>
      <c r="AP680" s="12"/>
      <c r="AQ680" s="12"/>
    </row>
    <row r="681">
      <c r="A681" s="5" t="s">
        <v>4064</v>
      </c>
      <c r="B681" s="5">
        <v>1.1398423E7</v>
      </c>
      <c r="C681" s="5" t="s">
        <v>37</v>
      </c>
      <c r="D681" s="5" t="s">
        <v>4065</v>
      </c>
      <c r="E681" s="5" t="s">
        <v>39</v>
      </c>
      <c r="F681" s="5" t="s">
        <v>1739</v>
      </c>
      <c r="G681" s="15">
        <v>8.5299456766E10</v>
      </c>
      <c r="H681" s="5" t="s">
        <v>1740</v>
      </c>
      <c r="I681" s="5" t="s">
        <v>42</v>
      </c>
      <c r="J681" s="5" t="s">
        <v>43</v>
      </c>
      <c r="K681" s="5">
        <v>8.7733785699E10</v>
      </c>
      <c r="L681" s="4" t="s">
        <v>44</v>
      </c>
      <c r="M681" s="5" t="s">
        <v>42</v>
      </c>
      <c r="N681" s="4" t="s">
        <v>45</v>
      </c>
      <c r="O681" s="4" t="s">
        <v>46</v>
      </c>
      <c r="P681" s="4" t="s">
        <v>47</v>
      </c>
      <c r="Q681" s="4">
        <v>16451.0</v>
      </c>
      <c r="R681" s="5" t="s">
        <v>4066</v>
      </c>
      <c r="S681" s="8">
        <v>46185.0</v>
      </c>
      <c r="T681" s="9">
        <v>0.375</v>
      </c>
      <c r="U681" s="9">
        <v>0.9166666666666666</v>
      </c>
      <c r="V681" s="4" t="s">
        <v>49</v>
      </c>
      <c r="W681" s="5">
        <v>1.0</v>
      </c>
      <c r="X681" s="5" t="b">
        <v>1</v>
      </c>
      <c r="Y681" s="5" t="s">
        <v>50</v>
      </c>
      <c r="Z681" s="5" t="b">
        <v>0</v>
      </c>
      <c r="AA681" s="10"/>
      <c r="AB681" s="4">
        <v>1.0</v>
      </c>
      <c r="AC681" s="11" t="s">
        <v>4067</v>
      </c>
      <c r="AD681" s="5">
        <v>0.0</v>
      </c>
      <c r="AE681" s="5">
        <v>1.0</v>
      </c>
      <c r="AF681" s="8">
        <v>46185.0</v>
      </c>
      <c r="AG681" s="9">
        <v>0.375</v>
      </c>
      <c r="AH681" s="9">
        <v>0.9166666666666666</v>
      </c>
      <c r="AI681" s="4" t="s">
        <v>49</v>
      </c>
      <c r="AJ681" s="5" t="s">
        <v>4068</v>
      </c>
      <c r="AK681" s="12"/>
      <c r="AL681" s="12"/>
      <c r="AM681" s="12" t="s">
        <v>52</v>
      </c>
      <c r="AN681" s="12"/>
      <c r="AO681" s="12"/>
      <c r="AP681" s="12"/>
      <c r="AQ681" s="12"/>
    </row>
    <row r="682">
      <c r="A682" s="5" t="s">
        <v>4069</v>
      </c>
      <c r="B682" s="5">
        <v>1.1398423E7</v>
      </c>
      <c r="C682" s="5" t="s">
        <v>37</v>
      </c>
      <c r="D682" s="5" t="s">
        <v>4070</v>
      </c>
      <c r="E682" s="5" t="s">
        <v>39</v>
      </c>
      <c r="F682" s="5" t="s">
        <v>4071</v>
      </c>
      <c r="G682" s="15">
        <v>6.28218E17</v>
      </c>
      <c r="H682" s="5" t="s">
        <v>4072</v>
      </c>
      <c r="I682" s="5" t="s">
        <v>42</v>
      </c>
      <c r="J682" s="5" t="s">
        <v>43</v>
      </c>
      <c r="K682" s="5">
        <v>8.7733785699E10</v>
      </c>
      <c r="L682" s="4" t="s">
        <v>44</v>
      </c>
      <c r="M682" s="5" t="s">
        <v>42</v>
      </c>
      <c r="N682" s="4" t="s">
        <v>45</v>
      </c>
      <c r="O682" s="4" t="s">
        <v>46</v>
      </c>
      <c r="P682" s="4" t="s">
        <v>47</v>
      </c>
      <c r="Q682" s="4">
        <v>16451.0</v>
      </c>
      <c r="R682" s="5" t="s">
        <v>4073</v>
      </c>
      <c r="S682" s="8">
        <v>46185.0</v>
      </c>
      <c r="T682" s="9">
        <v>0.375</v>
      </c>
      <c r="U682" s="9">
        <v>0.9166666666666666</v>
      </c>
      <c r="V682" s="4" t="s">
        <v>49</v>
      </c>
      <c r="W682" s="5">
        <v>1.0</v>
      </c>
      <c r="X682" s="5" t="b">
        <v>1</v>
      </c>
      <c r="Y682" s="5" t="s">
        <v>50</v>
      </c>
      <c r="Z682" s="5" t="b">
        <v>0</v>
      </c>
      <c r="AA682" s="10"/>
      <c r="AB682" s="4">
        <v>1.0</v>
      </c>
      <c r="AC682" s="11" t="s">
        <v>4074</v>
      </c>
      <c r="AD682" s="5">
        <v>0.0</v>
      </c>
      <c r="AE682" s="5">
        <v>1.0</v>
      </c>
      <c r="AF682" s="8">
        <v>46185.0</v>
      </c>
      <c r="AG682" s="9">
        <v>0.375</v>
      </c>
      <c r="AH682" s="9">
        <v>0.9166666666666666</v>
      </c>
      <c r="AI682" s="4" t="s">
        <v>49</v>
      </c>
      <c r="AJ682" s="5" t="s">
        <v>4075</v>
      </c>
      <c r="AK682" s="12"/>
      <c r="AL682" s="12"/>
      <c r="AM682" s="12" t="s">
        <v>52</v>
      </c>
      <c r="AN682" s="12"/>
      <c r="AO682" s="12"/>
      <c r="AP682" s="12"/>
      <c r="AQ682" s="12"/>
    </row>
    <row r="683">
      <c r="A683" s="5" t="s">
        <v>4076</v>
      </c>
      <c r="B683" s="5">
        <v>1.1398423E7</v>
      </c>
      <c r="C683" s="5" t="s">
        <v>37</v>
      </c>
      <c r="D683" s="5" t="s">
        <v>4077</v>
      </c>
      <c r="E683" s="5" t="s">
        <v>39</v>
      </c>
      <c r="F683" s="5" t="s">
        <v>4078</v>
      </c>
      <c r="G683" s="15">
        <v>2.129337555E9</v>
      </c>
      <c r="H683" s="5" t="s">
        <v>4079</v>
      </c>
      <c r="I683" s="5" t="s">
        <v>42</v>
      </c>
      <c r="J683" s="5" t="s">
        <v>43</v>
      </c>
      <c r="K683" s="5">
        <v>8.7733785699E10</v>
      </c>
      <c r="L683" s="4" t="s">
        <v>44</v>
      </c>
      <c r="M683" s="5" t="s">
        <v>42</v>
      </c>
      <c r="N683" s="4" t="s">
        <v>45</v>
      </c>
      <c r="O683" s="4" t="s">
        <v>46</v>
      </c>
      <c r="P683" s="4" t="s">
        <v>47</v>
      </c>
      <c r="Q683" s="4">
        <v>16451.0</v>
      </c>
      <c r="R683" s="5" t="s">
        <v>4080</v>
      </c>
      <c r="S683" s="8">
        <v>46185.0</v>
      </c>
      <c r="T683" s="9">
        <v>0.375</v>
      </c>
      <c r="U683" s="9">
        <v>0.9166666666666666</v>
      </c>
      <c r="V683" s="4" t="s">
        <v>49</v>
      </c>
      <c r="W683" s="5">
        <v>1.0</v>
      </c>
      <c r="X683" s="5" t="b">
        <v>1</v>
      </c>
      <c r="Y683" s="5" t="s">
        <v>50</v>
      </c>
      <c r="Z683" s="5" t="b">
        <v>0</v>
      </c>
      <c r="AA683" s="10"/>
      <c r="AB683" s="4">
        <v>1.0</v>
      </c>
      <c r="AC683" s="11" t="s">
        <v>4081</v>
      </c>
      <c r="AD683" s="5">
        <v>0.0</v>
      </c>
      <c r="AE683" s="5">
        <v>1.0</v>
      </c>
      <c r="AF683" s="8">
        <v>46185.0</v>
      </c>
      <c r="AG683" s="9">
        <v>0.375</v>
      </c>
      <c r="AH683" s="9">
        <v>0.9166666666666666</v>
      </c>
      <c r="AI683" s="4" t="s">
        <v>49</v>
      </c>
      <c r="AJ683" s="5" t="s">
        <v>4082</v>
      </c>
      <c r="AK683" s="12"/>
      <c r="AL683" s="12"/>
      <c r="AM683" s="12" t="s">
        <v>52</v>
      </c>
      <c r="AN683" s="12"/>
      <c r="AO683" s="12"/>
      <c r="AP683" s="12"/>
      <c r="AQ683" s="12"/>
    </row>
    <row r="684">
      <c r="A684" s="5" t="s">
        <v>4083</v>
      </c>
      <c r="B684" s="5">
        <v>1.1398423E7</v>
      </c>
      <c r="C684" s="5" t="s">
        <v>37</v>
      </c>
      <c r="D684" s="5" t="s">
        <v>4084</v>
      </c>
      <c r="E684" s="5" t="s">
        <v>39</v>
      </c>
      <c r="F684" s="5" t="s">
        <v>2334</v>
      </c>
      <c r="G684" s="15">
        <v>6.28125E17</v>
      </c>
      <c r="H684" s="5" t="s">
        <v>2335</v>
      </c>
      <c r="I684" s="5" t="s">
        <v>42</v>
      </c>
      <c r="J684" s="5" t="s">
        <v>43</v>
      </c>
      <c r="K684" s="5">
        <v>8.7733785699E10</v>
      </c>
      <c r="L684" s="4" t="s">
        <v>44</v>
      </c>
      <c r="M684" s="5" t="s">
        <v>42</v>
      </c>
      <c r="N684" s="4" t="s">
        <v>45</v>
      </c>
      <c r="O684" s="4" t="s">
        <v>46</v>
      </c>
      <c r="P684" s="4" t="s">
        <v>47</v>
      </c>
      <c r="Q684" s="4">
        <v>16451.0</v>
      </c>
      <c r="R684" s="5" t="s">
        <v>4085</v>
      </c>
      <c r="S684" s="8">
        <v>46185.0</v>
      </c>
      <c r="T684" s="9">
        <v>0.375</v>
      </c>
      <c r="U684" s="9">
        <v>0.9166666666666666</v>
      </c>
      <c r="V684" s="4" t="s">
        <v>49</v>
      </c>
      <c r="W684" s="5">
        <v>1.0</v>
      </c>
      <c r="X684" s="5" t="b">
        <v>1</v>
      </c>
      <c r="Y684" s="5" t="s">
        <v>50</v>
      </c>
      <c r="Z684" s="5" t="b">
        <v>0</v>
      </c>
      <c r="AA684" s="10"/>
      <c r="AB684" s="4">
        <v>1.0</v>
      </c>
      <c r="AC684" s="11" t="s">
        <v>4086</v>
      </c>
      <c r="AD684" s="5">
        <v>0.0</v>
      </c>
      <c r="AE684" s="5">
        <v>1.0</v>
      </c>
      <c r="AF684" s="8">
        <v>46185.0</v>
      </c>
      <c r="AG684" s="9">
        <v>0.375</v>
      </c>
      <c r="AH684" s="9">
        <v>0.9166666666666666</v>
      </c>
      <c r="AI684" s="4" t="s">
        <v>49</v>
      </c>
      <c r="AJ684" s="5" t="s">
        <v>4087</v>
      </c>
      <c r="AK684" s="12"/>
      <c r="AL684" s="12"/>
      <c r="AM684" s="12" t="s">
        <v>52</v>
      </c>
      <c r="AN684" s="12"/>
      <c r="AO684" s="12"/>
      <c r="AP684" s="12"/>
      <c r="AQ684" s="12"/>
    </row>
    <row r="685">
      <c r="A685" s="5" t="s">
        <v>4088</v>
      </c>
      <c r="B685" s="5">
        <v>1.1398423E7</v>
      </c>
      <c r="C685" s="5" t="s">
        <v>37</v>
      </c>
      <c r="D685" s="5" t="s">
        <v>4089</v>
      </c>
      <c r="E685" s="5" t="s">
        <v>39</v>
      </c>
      <c r="F685" s="5" t="s">
        <v>4090</v>
      </c>
      <c r="G685" s="15">
        <v>6.28132E17</v>
      </c>
      <c r="H685" s="5" t="s">
        <v>4091</v>
      </c>
      <c r="I685" s="5" t="s">
        <v>42</v>
      </c>
      <c r="J685" s="5" t="s">
        <v>43</v>
      </c>
      <c r="K685" s="5">
        <v>8.7733785699E10</v>
      </c>
      <c r="L685" s="4" t="s">
        <v>44</v>
      </c>
      <c r="M685" s="5" t="s">
        <v>42</v>
      </c>
      <c r="N685" s="4" t="s">
        <v>45</v>
      </c>
      <c r="O685" s="4" t="s">
        <v>46</v>
      </c>
      <c r="P685" s="4" t="s">
        <v>47</v>
      </c>
      <c r="Q685" s="4">
        <v>16451.0</v>
      </c>
      <c r="R685" s="5" t="s">
        <v>4092</v>
      </c>
      <c r="S685" s="8">
        <v>46185.0</v>
      </c>
      <c r="T685" s="9">
        <v>0.375</v>
      </c>
      <c r="U685" s="9">
        <v>0.9166666666666666</v>
      </c>
      <c r="V685" s="4" t="s">
        <v>49</v>
      </c>
      <c r="W685" s="5">
        <v>1.0</v>
      </c>
      <c r="X685" s="5" t="b">
        <v>1</v>
      </c>
      <c r="Y685" s="5" t="s">
        <v>50</v>
      </c>
      <c r="Z685" s="5" t="b">
        <v>0</v>
      </c>
      <c r="AA685" s="10"/>
      <c r="AB685" s="4">
        <v>1.0</v>
      </c>
      <c r="AC685" s="11" t="s">
        <v>4093</v>
      </c>
      <c r="AD685" s="5">
        <v>0.0</v>
      </c>
      <c r="AE685" s="5">
        <v>1.0</v>
      </c>
      <c r="AF685" s="8">
        <v>46185.0</v>
      </c>
      <c r="AG685" s="9">
        <v>0.375</v>
      </c>
      <c r="AH685" s="9">
        <v>0.9166666666666666</v>
      </c>
      <c r="AI685" s="4" t="s">
        <v>49</v>
      </c>
      <c r="AJ685" s="5" t="s">
        <v>4094</v>
      </c>
      <c r="AK685" s="12"/>
      <c r="AL685" s="12"/>
      <c r="AM685" s="12" t="s">
        <v>52</v>
      </c>
      <c r="AN685" s="12"/>
      <c r="AO685" s="12"/>
      <c r="AP685" s="12"/>
      <c r="AQ685" s="12"/>
    </row>
    <row r="686">
      <c r="A686" s="5" t="s">
        <v>4095</v>
      </c>
      <c r="B686" s="5">
        <v>1.1398423E7</v>
      </c>
      <c r="C686" s="5" t="s">
        <v>37</v>
      </c>
      <c r="D686" s="5" t="s">
        <v>4096</v>
      </c>
      <c r="E686" s="5" t="s">
        <v>39</v>
      </c>
      <c r="F686" s="5" t="s">
        <v>4097</v>
      </c>
      <c r="G686" s="15">
        <v>6.28228E17</v>
      </c>
      <c r="H686" s="5" t="s">
        <v>4098</v>
      </c>
      <c r="I686" s="5" t="s">
        <v>42</v>
      </c>
      <c r="J686" s="5" t="s">
        <v>43</v>
      </c>
      <c r="K686" s="5">
        <v>8.7733785699E10</v>
      </c>
      <c r="L686" s="4" t="s">
        <v>44</v>
      </c>
      <c r="M686" s="5" t="s">
        <v>42</v>
      </c>
      <c r="N686" s="4" t="s">
        <v>45</v>
      </c>
      <c r="O686" s="4" t="s">
        <v>46</v>
      </c>
      <c r="P686" s="4" t="s">
        <v>47</v>
      </c>
      <c r="Q686" s="4">
        <v>16451.0</v>
      </c>
      <c r="R686" s="5" t="s">
        <v>4099</v>
      </c>
      <c r="S686" s="8">
        <v>46185.0</v>
      </c>
      <c r="T686" s="9">
        <v>0.375</v>
      </c>
      <c r="U686" s="9">
        <v>0.9166666666666666</v>
      </c>
      <c r="V686" s="4" t="s">
        <v>49</v>
      </c>
      <c r="W686" s="5">
        <v>1.0</v>
      </c>
      <c r="X686" s="5" t="b">
        <v>1</v>
      </c>
      <c r="Y686" s="5" t="s">
        <v>50</v>
      </c>
      <c r="Z686" s="5" t="b">
        <v>0</v>
      </c>
      <c r="AA686" s="10"/>
      <c r="AB686" s="4">
        <v>1.0</v>
      </c>
      <c r="AC686" s="11" t="s">
        <v>4100</v>
      </c>
      <c r="AD686" s="5">
        <v>0.0</v>
      </c>
      <c r="AE686" s="5">
        <v>1.0</v>
      </c>
      <c r="AF686" s="8">
        <v>46185.0</v>
      </c>
      <c r="AG686" s="9">
        <v>0.375</v>
      </c>
      <c r="AH686" s="9">
        <v>0.9166666666666666</v>
      </c>
      <c r="AI686" s="4" t="s">
        <v>49</v>
      </c>
      <c r="AJ686" s="5" t="s">
        <v>4101</v>
      </c>
      <c r="AK686" s="12"/>
      <c r="AL686" s="12"/>
      <c r="AM686" s="12" t="s">
        <v>52</v>
      </c>
      <c r="AN686" s="12"/>
      <c r="AO686" s="12"/>
      <c r="AP686" s="12"/>
      <c r="AQ686" s="12"/>
    </row>
    <row r="687">
      <c r="A687" s="5" t="s">
        <v>4102</v>
      </c>
      <c r="B687" s="5">
        <v>1.1398423E7</v>
      </c>
      <c r="C687" s="5" t="s">
        <v>37</v>
      </c>
      <c r="D687" s="5" t="s">
        <v>4103</v>
      </c>
      <c r="E687" s="5" t="s">
        <v>39</v>
      </c>
      <c r="F687" s="5" t="s">
        <v>4104</v>
      </c>
      <c r="G687" s="15">
        <v>6.28572E17</v>
      </c>
      <c r="H687" s="5" t="s">
        <v>4105</v>
      </c>
      <c r="I687" s="5" t="s">
        <v>42</v>
      </c>
      <c r="J687" s="5" t="s">
        <v>43</v>
      </c>
      <c r="K687" s="5">
        <v>8.7733785699E10</v>
      </c>
      <c r="L687" s="4" t="s">
        <v>44</v>
      </c>
      <c r="M687" s="5" t="s">
        <v>42</v>
      </c>
      <c r="N687" s="4" t="s">
        <v>45</v>
      </c>
      <c r="O687" s="4" t="s">
        <v>46</v>
      </c>
      <c r="P687" s="4" t="s">
        <v>47</v>
      </c>
      <c r="Q687" s="4">
        <v>16451.0</v>
      </c>
      <c r="R687" s="5" t="s">
        <v>4106</v>
      </c>
      <c r="S687" s="8">
        <v>46185.0</v>
      </c>
      <c r="T687" s="9">
        <v>0.375</v>
      </c>
      <c r="U687" s="9">
        <v>0.9166666666666666</v>
      </c>
      <c r="V687" s="4" t="s">
        <v>49</v>
      </c>
      <c r="W687" s="5">
        <v>1.0</v>
      </c>
      <c r="X687" s="5" t="b">
        <v>1</v>
      </c>
      <c r="Y687" s="5" t="s">
        <v>50</v>
      </c>
      <c r="Z687" s="5" t="b">
        <v>0</v>
      </c>
      <c r="AA687" s="10"/>
      <c r="AB687" s="4">
        <v>1.0</v>
      </c>
      <c r="AC687" s="11" t="s">
        <v>4107</v>
      </c>
      <c r="AD687" s="5">
        <v>0.0</v>
      </c>
      <c r="AE687" s="5">
        <v>1.0</v>
      </c>
      <c r="AF687" s="8">
        <v>46185.0</v>
      </c>
      <c r="AG687" s="9">
        <v>0.375</v>
      </c>
      <c r="AH687" s="9">
        <v>0.9166666666666666</v>
      </c>
      <c r="AI687" s="4" t="s">
        <v>49</v>
      </c>
      <c r="AJ687" s="5" t="s">
        <v>4108</v>
      </c>
      <c r="AK687" s="12"/>
      <c r="AL687" s="12"/>
      <c r="AM687" s="12" t="s">
        <v>52</v>
      </c>
      <c r="AN687" s="12"/>
      <c r="AO687" s="12"/>
      <c r="AP687" s="12"/>
      <c r="AQ687" s="12"/>
    </row>
    <row r="688">
      <c r="A688" s="5" t="s">
        <v>4109</v>
      </c>
      <c r="B688" s="5">
        <v>1.1398423E7</v>
      </c>
      <c r="C688" s="5" t="s">
        <v>37</v>
      </c>
      <c r="D688" s="5" t="s">
        <v>4110</v>
      </c>
      <c r="E688" s="5" t="s">
        <v>39</v>
      </c>
      <c r="F688" s="5" t="s">
        <v>4111</v>
      </c>
      <c r="G688" s="15">
        <v>8.2112829338E10</v>
      </c>
      <c r="H688" s="5" t="s">
        <v>4112</v>
      </c>
      <c r="I688" s="5" t="s">
        <v>42</v>
      </c>
      <c r="J688" s="5" t="s">
        <v>43</v>
      </c>
      <c r="K688" s="5">
        <v>8.7733785699E10</v>
      </c>
      <c r="L688" s="4" t="s">
        <v>44</v>
      </c>
      <c r="M688" s="5" t="s">
        <v>42</v>
      </c>
      <c r="N688" s="4" t="s">
        <v>45</v>
      </c>
      <c r="O688" s="4" t="s">
        <v>46</v>
      </c>
      <c r="P688" s="4" t="s">
        <v>47</v>
      </c>
      <c r="Q688" s="4">
        <v>16451.0</v>
      </c>
      <c r="R688" s="5" t="s">
        <v>4113</v>
      </c>
      <c r="S688" s="8">
        <v>46185.0</v>
      </c>
      <c r="T688" s="9">
        <v>0.375</v>
      </c>
      <c r="U688" s="9">
        <v>0.9166666666666666</v>
      </c>
      <c r="V688" s="4" t="s">
        <v>49</v>
      </c>
      <c r="W688" s="5">
        <v>1.0</v>
      </c>
      <c r="X688" s="5" t="b">
        <v>1</v>
      </c>
      <c r="Y688" s="5" t="s">
        <v>50</v>
      </c>
      <c r="Z688" s="5" t="b">
        <v>0</v>
      </c>
      <c r="AA688" s="10"/>
      <c r="AB688" s="4">
        <v>1.0</v>
      </c>
      <c r="AC688" s="11" t="s">
        <v>4114</v>
      </c>
      <c r="AD688" s="5">
        <v>0.0</v>
      </c>
      <c r="AE688" s="5">
        <v>1.0</v>
      </c>
      <c r="AF688" s="8">
        <v>46185.0</v>
      </c>
      <c r="AG688" s="9">
        <v>0.375</v>
      </c>
      <c r="AH688" s="9">
        <v>0.9166666666666666</v>
      </c>
      <c r="AI688" s="4" t="s">
        <v>49</v>
      </c>
      <c r="AJ688" s="5" t="s">
        <v>4115</v>
      </c>
      <c r="AK688" s="12"/>
      <c r="AL688" s="12"/>
      <c r="AM688" s="12" t="s">
        <v>52</v>
      </c>
      <c r="AN688" s="12"/>
      <c r="AO688" s="12"/>
      <c r="AP688" s="12"/>
      <c r="AQ688" s="12"/>
    </row>
    <row r="689">
      <c r="A689" s="5" t="s">
        <v>4116</v>
      </c>
      <c r="B689" s="5">
        <v>1.1398423E7</v>
      </c>
      <c r="C689" s="5" t="s">
        <v>37</v>
      </c>
      <c r="D689" s="5" t="s">
        <v>4117</v>
      </c>
      <c r="E689" s="5" t="s">
        <v>39</v>
      </c>
      <c r="F689" s="5" t="s">
        <v>2117</v>
      </c>
      <c r="G689" s="15">
        <v>6.28819E16</v>
      </c>
      <c r="H689" s="5" t="s">
        <v>2118</v>
      </c>
      <c r="I689" s="5" t="s">
        <v>42</v>
      </c>
      <c r="J689" s="5" t="s">
        <v>43</v>
      </c>
      <c r="K689" s="5">
        <v>8.7733785699E10</v>
      </c>
      <c r="L689" s="4" t="s">
        <v>44</v>
      </c>
      <c r="M689" s="5" t="s">
        <v>42</v>
      </c>
      <c r="N689" s="4" t="s">
        <v>45</v>
      </c>
      <c r="O689" s="4" t="s">
        <v>46</v>
      </c>
      <c r="P689" s="4" t="s">
        <v>47</v>
      </c>
      <c r="Q689" s="4">
        <v>16451.0</v>
      </c>
      <c r="R689" s="5" t="s">
        <v>4118</v>
      </c>
      <c r="S689" s="8">
        <v>46185.0</v>
      </c>
      <c r="T689" s="9">
        <v>0.375</v>
      </c>
      <c r="U689" s="9">
        <v>0.9166666666666666</v>
      </c>
      <c r="V689" s="4" t="s">
        <v>49</v>
      </c>
      <c r="W689" s="5">
        <v>1.0</v>
      </c>
      <c r="X689" s="5" t="b">
        <v>1</v>
      </c>
      <c r="Y689" s="5" t="s">
        <v>50</v>
      </c>
      <c r="Z689" s="5" t="b">
        <v>0</v>
      </c>
      <c r="AA689" s="10"/>
      <c r="AB689" s="4">
        <v>1.0</v>
      </c>
      <c r="AC689" s="11" t="s">
        <v>4119</v>
      </c>
      <c r="AD689" s="5">
        <v>0.0</v>
      </c>
      <c r="AE689" s="5">
        <v>1.0</v>
      </c>
      <c r="AF689" s="8">
        <v>46185.0</v>
      </c>
      <c r="AG689" s="9">
        <v>0.375</v>
      </c>
      <c r="AH689" s="9">
        <v>0.9166666666666666</v>
      </c>
      <c r="AI689" s="4" t="s">
        <v>49</v>
      </c>
      <c r="AJ689" s="5" t="s">
        <v>4120</v>
      </c>
      <c r="AK689" s="12"/>
      <c r="AL689" s="12"/>
      <c r="AM689" s="12" t="s">
        <v>52</v>
      </c>
      <c r="AN689" s="12"/>
      <c r="AO689" s="12"/>
      <c r="AP689" s="12"/>
      <c r="AQ689" s="12"/>
    </row>
    <row r="690">
      <c r="A690" s="5" t="s">
        <v>4121</v>
      </c>
      <c r="B690" s="5">
        <v>1.1398423E7</v>
      </c>
      <c r="C690" s="5" t="s">
        <v>37</v>
      </c>
      <c r="D690" s="5" t="s">
        <v>4122</v>
      </c>
      <c r="E690" s="5" t="s">
        <v>39</v>
      </c>
      <c r="F690" s="5" t="s">
        <v>4123</v>
      </c>
      <c r="G690" s="15">
        <v>6.28121E16</v>
      </c>
      <c r="H690" s="5" t="s">
        <v>4124</v>
      </c>
      <c r="I690" s="5" t="s">
        <v>42</v>
      </c>
      <c r="J690" s="5" t="s">
        <v>43</v>
      </c>
      <c r="K690" s="5">
        <v>8.7733785699E10</v>
      </c>
      <c r="L690" s="4" t="s">
        <v>44</v>
      </c>
      <c r="M690" s="5" t="s">
        <v>42</v>
      </c>
      <c r="N690" s="4" t="s">
        <v>45</v>
      </c>
      <c r="O690" s="4" t="s">
        <v>46</v>
      </c>
      <c r="P690" s="4" t="s">
        <v>47</v>
      </c>
      <c r="Q690" s="4">
        <v>16451.0</v>
      </c>
      <c r="R690" s="5" t="s">
        <v>4125</v>
      </c>
      <c r="S690" s="8">
        <v>46185.0</v>
      </c>
      <c r="T690" s="9">
        <v>0.375</v>
      </c>
      <c r="U690" s="9">
        <v>0.9166666666666666</v>
      </c>
      <c r="V690" s="4" t="s">
        <v>49</v>
      </c>
      <c r="W690" s="5">
        <v>1.0</v>
      </c>
      <c r="X690" s="5" t="b">
        <v>1</v>
      </c>
      <c r="Y690" s="5" t="s">
        <v>50</v>
      </c>
      <c r="Z690" s="5" t="b">
        <v>0</v>
      </c>
      <c r="AA690" s="10"/>
      <c r="AB690" s="4">
        <v>1.0</v>
      </c>
      <c r="AC690" s="11" t="s">
        <v>4126</v>
      </c>
      <c r="AD690" s="5">
        <v>0.0</v>
      </c>
      <c r="AE690" s="5">
        <v>1.0</v>
      </c>
      <c r="AF690" s="8">
        <v>46185.0</v>
      </c>
      <c r="AG690" s="9">
        <v>0.375</v>
      </c>
      <c r="AH690" s="9">
        <v>0.9166666666666666</v>
      </c>
      <c r="AI690" s="4" t="s">
        <v>49</v>
      </c>
      <c r="AJ690" s="5" t="s">
        <v>4127</v>
      </c>
      <c r="AK690" s="12"/>
      <c r="AL690" s="12"/>
      <c r="AM690" s="12" t="s">
        <v>52</v>
      </c>
      <c r="AN690" s="12"/>
      <c r="AO690" s="12"/>
      <c r="AP690" s="12"/>
      <c r="AQ690" s="12"/>
    </row>
    <row r="691">
      <c r="A691" s="5" t="s">
        <v>4128</v>
      </c>
      <c r="B691" s="5">
        <v>1.1398423E7</v>
      </c>
      <c r="C691" s="5" t="s">
        <v>37</v>
      </c>
      <c r="D691" s="5" t="s">
        <v>4129</v>
      </c>
      <c r="E691" s="5" t="s">
        <v>39</v>
      </c>
      <c r="F691" s="5" t="s">
        <v>4130</v>
      </c>
      <c r="G691" s="15">
        <v>8.2120390139E10</v>
      </c>
      <c r="H691" s="5" t="s">
        <v>4131</v>
      </c>
      <c r="I691" s="5" t="s">
        <v>42</v>
      </c>
      <c r="J691" s="5" t="s">
        <v>43</v>
      </c>
      <c r="K691" s="5">
        <v>8.7733785699E10</v>
      </c>
      <c r="L691" s="4" t="s">
        <v>44</v>
      </c>
      <c r="M691" s="5" t="s">
        <v>42</v>
      </c>
      <c r="N691" s="4" t="s">
        <v>45</v>
      </c>
      <c r="O691" s="4" t="s">
        <v>46</v>
      </c>
      <c r="P691" s="4" t="s">
        <v>47</v>
      </c>
      <c r="Q691" s="4">
        <v>16451.0</v>
      </c>
      <c r="R691" s="5" t="s">
        <v>4132</v>
      </c>
      <c r="S691" s="8">
        <v>46185.0</v>
      </c>
      <c r="T691" s="9">
        <v>0.375</v>
      </c>
      <c r="U691" s="9">
        <v>0.9166666666666666</v>
      </c>
      <c r="V691" s="4" t="s">
        <v>49</v>
      </c>
      <c r="W691" s="5">
        <v>1.0</v>
      </c>
      <c r="X691" s="5" t="b">
        <v>1</v>
      </c>
      <c r="Y691" s="5" t="s">
        <v>50</v>
      </c>
      <c r="Z691" s="5" t="b">
        <v>0</v>
      </c>
      <c r="AA691" s="10"/>
      <c r="AB691" s="4">
        <v>1.0</v>
      </c>
      <c r="AC691" s="11" t="s">
        <v>4133</v>
      </c>
      <c r="AD691" s="5">
        <v>0.0</v>
      </c>
      <c r="AE691" s="5">
        <v>1.0</v>
      </c>
      <c r="AF691" s="8">
        <v>46185.0</v>
      </c>
      <c r="AG691" s="9">
        <v>0.375</v>
      </c>
      <c r="AH691" s="9">
        <v>0.9166666666666666</v>
      </c>
      <c r="AI691" s="4" t="s">
        <v>49</v>
      </c>
      <c r="AJ691" s="5" t="s">
        <v>4134</v>
      </c>
      <c r="AK691" s="12"/>
      <c r="AL691" s="12"/>
      <c r="AM691" s="12" t="s">
        <v>52</v>
      </c>
      <c r="AN691" s="12"/>
      <c r="AO691" s="12"/>
      <c r="AP691" s="12"/>
      <c r="AQ691" s="12"/>
    </row>
    <row r="692">
      <c r="A692" s="5" t="s">
        <v>4135</v>
      </c>
      <c r="B692" s="5">
        <v>1.1398423E7</v>
      </c>
      <c r="C692" s="5" t="s">
        <v>37</v>
      </c>
      <c r="D692" s="5" t="s">
        <v>4136</v>
      </c>
      <c r="E692" s="5" t="s">
        <v>39</v>
      </c>
      <c r="F692" s="5" t="s">
        <v>4137</v>
      </c>
      <c r="G692" s="15">
        <v>8.989874843E9</v>
      </c>
      <c r="H692" s="5" t="s">
        <v>4138</v>
      </c>
      <c r="I692" s="5" t="s">
        <v>42</v>
      </c>
      <c r="J692" s="5" t="s">
        <v>43</v>
      </c>
      <c r="K692" s="5">
        <v>8.7733785699E10</v>
      </c>
      <c r="L692" s="4" t="s">
        <v>44</v>
      </c>
      <c r="M692" s="5" t="s">
        <v>42</v>
      </c>
      <c r="N692" s="4" t="s">
        <v>45</v>
      </c>
      <c r="O692" s="4" t="s">
        <v>46</v>
      </c>
      <c r="P692" s="4" t="s">
        <v>47</v>
      </c>
      <c r="Q692" s="4">
        <v>16451.0</v>
      </c>
      <c r="R692" s="5" t="s">
        <v>4139</v>
      </c>
      <c r="S692" s="8">
        <v>46185.0</v>
      </c>
      <c r="T692" s="9">
        <v>0.375</v>
      </c>
      <c r="U692" s="9">
        <v>0.9166666666666666</v>
      </c>
      <c r="V692" s="4" t="s">
        <v>49</v>
      </c>
      <c r="W692" s="5">
        <v>1.0</v>
      </c>
      <c r="X692" s="5" t="b">
        <v>1</v>
      </c>
      <c r="Y692" s="5" t="s">
        <v>50</v>
      </c>
      <c r="Z692" s="5" t="b">
        <v>0</v>
      </c>
      <c r="AA692" s="10"/>
      <c r="AB692" s="4">
        <v>1.0</v>
      </c>
      <c r="AC692" s="11" t="s">
        <v>4140</v>
      </c>
      <c r="AD692" s="5">
        <v>0.0</v>
      </c>
      <c r="AE692" s="5">
        <v>1.0</v>
      </c>
      <c r="AF692" s="8">
        <v>46185.0</v>
      </c>
      <c r="AG692" s="9">
        <v>0.375</v>
      </c>
      <c r="AH692" s="9">
        <v>0.9166666666666666</v>
      </c>
      <c r="AI692" s="4" t="s">
        <v>49</v>
      </c>
      <c r="AJ692" s="5" t="s">
        <v>4141</v>
      </c>
      <c r="AK692" s="12"/>
      <c r="AL692" s="12"/>
      <c r="AM692" s="12" t="s">
        <v>52</v>
      </c>
      <c r="AN692" s="12"/>
      <c r="AO692" s="12"/>
      <c r="AP692" s="12"/>
      <c r="AQ692" s="12"/>
    </row>
    <row r="693">
      <c r="A693" s="5" t="s">
        <v>4142</v>
      </c>
      <c r="B693" s="5">
        <v>1.1398423E7</v>
      </c>
      <c r="C693" s="5" t="s">
        <v>37</v>
      </c>
      <c r="D693" s="5" t="s">
        <v>4143</v>
      </c>
      <c r="E693" s="5" t="s">
        <v>39</v>
      </c>
      <c r="F693" s="5" t="s">
        <v>4144</v>
      </c>
      <c r="G693" s="15">
        <v>6.28218E17</v>
      </c>
      <c r="H693" s="5" t="s">
        <v>4145</v>
      </c>
      <c r="I693" s="5" t="s">
        <v>42</v>
      </c>
      <c r="J693" s="5" t="s">
        <v>43</v>
      </c>
      <c r="K693" s="5">
        <v>8.7733785699E10</v>
      </c>
      <c r="L693" s="4" t="s">
        <v>44</v>
      </c>
      <c r="M693" s="5" t="s">
        <v>42</v>
      </c>
      <c r="N693" s="4" t="s">
        <v>45</v>
      </c>
      <c r="O693" s="4" t="s">
        <v>46</v>
      </c>
      <c r="P693" s="4" t="s">
        <v>47</v>
      </c>
      <c r="Q693" s="4">
        <v>16451.0</v>
      </c>
      <c r="R693" s="5" t="s">
        <v>4146</v>
      </c>
      <c r="S693" s="8">
        <v>46185.0</v>
      </c>
      <c r="T693" s="9">
        <v>0.375</v>
      </c>
      <c r="U693" s="9">
        <v>0.9166666666666666</v>
      </c>
      <c r="V693" s="4" t="s">
        <v>49</v>
      </c>
      <c r="W693" s="5">
        <v>1.0</v>
      </c>
      <c r="X693" s="5" t="b">
        <v>1</v>
      </c>
      <c r="Y693" s="5" t="s">
        <v>50</v>
      </c>
      <c r="Z693" s="5" t="b">
        <v>0</v>
      </c>
      <c r="AA693" s="10"/>
      <c r="AB693" s="4">
        <v>1.0</v>
      </c>
      <c r="AC693" s="11" t="s">
        <v>4147</v>
      </c>
      <c r="AD693" s="5">
        <v>0.0</v>
      </c>
      <c r="AE693" s="5">
        <v>1.0</v>
      </c>
      <c r="AF693" s="8">
        <v>46185.0</v>
      </c>
      <c r="AG693" s="9">
        <v>0.375</v>
      </c>
      <c r="AH693" s="9">
        <v>0.9166666666666666</v>
      </c>
      <c r="AI693" s="4" t="s">
        <v>49</v>
      </c>
      <c r="AJ693" s="5" t="s">
        <v>4148</v>
      </c>
      <c r="AK693" s="12"/>
      <c r="AL693" s="12"/>
      <c r="AM693" s="12" t="s">
        <v>52</v>
      </c>
      <c r="AN693" s="12"/>
      <c r="AO693" s="12"/>
      <c r="AP693" s="12"/>
      <c r="AQ693" s="12"/>
    </row>
    <row r="694">
      <c r="A694" s="5" t="s">
        <v>4149</v>
      </c>
      <c r="B694" s="5">
        <v>1.1398423E7</v>
      </c>
      <c r="C694" s="5" t="s">
        <v>37</v>
      </c>
      <c r="D694" s="5" t="s">
        <v>4150</v>
      </c>
      <c r="E694" s="5" t="s">
        <v>39</v>
      </c>
      <c r="F694" s="5" t="s">
        <v>4151</v>
      </c>
      <c r="G694" s="15">
        <v>6.28213E17</v>
      </c>
      <c r="H694" s="5" t="s">
        <v>4152</v>
      </c>
      <c r="I694" s="5" t="s">
        <v>42</v>
      </c>
      <c r="J694" s="5" t="s">
        <v>43</v>
      </c>
      <c r="K694" s="5">
        <v>8.7733785699E10</v>
      </c>
      <c r="L694" s="4" t="s">
        <v>44</v>
      </c>
      <c r="M694" s="5" t="s">
        <v>42</v>
      </c>
      <c r="N694" s="4" t="s">
        <v>45</v>
      </c>
      <c r="O694" s="4" t="s">
        <v>46</v>
      </c>
      <c r="P694" s="4" t="s">
        <v>47</v>
      </c>
      <c r="Q694" s="4">
        <v>16451.0</v>
      </c>
      <c r="R694" s="5" t="s">
        <v>4153</v>
      </c>
      <c r="S694" s="8">
        <v>46185.0</v>
      </c>
      <c r="T694" s="9">
        <v>0.375</v>
      </c>
      <c r="U694" s="9">
        <v>0.9166666666666666</v>
      </c>
      <c r="V694" s="4" t="s">
        <v>49</v>
      </c>
      <c r="W694" s="5">
        <v>1.0</v>
      </c>
      <c r="X694" s="5" t="b">
        <v>1</v>
      </c>
      <c r="Y694" s="5" t="s">
        <v>50</v>
      </c>
      <c r="Z694" s="5" t="b">
        <v>0</v>
      </c>
      <c r="AA694" s="10"/>
      <c r="AB694" s="4">
        <v>1.0</v>
      </c>
      <c r="AC694" s="11" t="s">
        <v>4154</v>
      </c>
      <c r="AD694" s="5">
        <v>0.0</v>
      </c>
      <c r="AE694" s="5">
        <v>1.0</v>
      </c>
      <c r="AF694" s="8">
        <v>46185.0</v>
      </c>
      <c r="AG694" s="9">
        <v>0.375</v>
      </c>
      <c r="AH694" s="9">
        <v>0.9166666666666666</v>
      </c>
      <c r="AI694" s="4" t="s">
        <v>49</v>
      </c>
      <c r="AJ694" s="5" t="s">
        <v>4155</v>
      </c>
      <c r="AK694" s="12"/>
      <c r="AL694" s="12"/>
      <c r="AM694" s="12" t="s">
        <v>52</v>
      </c>
      <c r="AN694" s="12"/>
      <c r="AO694" s="12"/>
      <c r="AP694" s="12"/>
      <c r="AQ694" s="12"/>
    </row>
    <row r="695">
      <c r="A695" s="5" t="s">
        <v>4156</v>
      </c>
      <c r="B695" s="5">
        <v>1.1398423E7</v>
      </c>
      <c r="C695" s="5" t="s">
        <v>37</v>
      </c>
      <c r="D695" s="5" t="s">
        <v>4157</v>
      </c>
      <c r="E695" s="5" t="s">
        <v>39</v>
      </c>
      <c r="F695" s="5" t="s">
        <v>3220</v>
      </c>
      <c r="G695" s="15">
        <v>6.28131E17</v>
      </c>
      <c r="H695" s="5" t="s">
        <v>3221</v>
      </c>
      <c r="I695" s="5" t="s">
        <v>42</v>
      </c>
      <c r="J695" s="5" t="s">
        <v>43</v>
      </c>
      <c r="K695" s="5">
        <v>8.7733785699E10</v>
      </c>
      <c r="L695" s="4" t="s">
        <v>44</v>
      </c>
      <c r="M695" s="5" t="s">
        <v>42</v>
      </c>
      <c r="N695" s="4" t="s">
        <v>45</v>
      </c>
      <c r="O695" s="4" t="s">
        <v>46</v>
      </c>
      <c r="P695" s="4" t="s">
        <v>47</v>
      </c>
      <c r="Q695" s="4">
        <v>16451.0</v>
      </c>
      <c r="R695" s="5" t="s">
        <v>4158</v>
      </c>
      <c r="S695" s="8">
        <v>46185.0</v>
      </c>
      <c r="T695" s="9">
        <v>0.375</v>
      </c>
      <c r="U695" s="9">
        <v>0.9166666666666666</v>
      </c>
      <c r="V695" s="4" t="s">
        <v>49</v>
      </c>
      <c r="W695" s="5">
        <v>1.0</v>
      </c>
      <c r="X695" s="5" t="b">
        <v>1</v>
      </c>
      <c r="Y695" s="5" t="s">
        <v>50</v>
      </c>
      <c r="Z695" s="5" t="b">
        <v>0</v>
      </c>
      <c r="AA695" s="10"/>
      <c r="AB695" s="4">
        <v>1.0</v>
      </c>
      <c r="AC695" s="11" t="s">
        <v>4159</v>
      </c>
      <c r="AD695" s="5">
        <v>0.0</v>
      </c>
      <c r="AE695" s="5">
        <v>1.0</v>
      </c>
      <c r="AF695" s="8">
        <v>46185.0</v>
      </c>
      <c r="AG695" s="9">
        <v>0.375</v>
      </c>
      <c r="AH695" s="9">
        <v>0.9166666666666666</v>
      </c>
      <c r="AI695" s="4" t="s">
        <v>49</v>
      </c>
      <c r="AJ695" s="5" t="s">
        <v>4160</v>
      </c>
      <c r="AK695" s="12"/>
      <c r="AL695" s="12"/>
      <c r="AM695" s="12" t="s">
        <v>52</v>
      </c>
      <c r="AN695" s="12"/>
      <c r="AO695" s="12"/>
      <c r="AP695" s="12"/>
      <c r="AQ695" s="12"/>
    </row>
    <row r="696">
      <c r="A696" s="5" t="s">
        <v>4161</v>
      </c>
      <c r="B696" s="5">
        <v>1.1398423E7</v>
      </c>
      <c r="C696" s="5" t="s">
        <v>37</v>
      </c>
      <c r="D696" s="5" t="s">
        <v>4162</v>
      </c>
      <c r="E696" s="5" t="s">
        <v>39</v>
      </c>
      <c r="F696" s="5" t="s">
        <v>4163</v>
      </c>
      <c r="G696" s="15">
        <v>6.28211E17</v>
      </c>
      <c r="H696" s="5" t="s">
        <v>4164</v>
      </c>
      <c r="I696" s="5" t="s">
        <v>42</v>
      </c>
      <c r="J696" s="5" t="s">
        <v>43</v>
      </c>
      <c r="K696" s="5">
        <v>8.7733785699E10</v>
      </c>
      <c r="L696" s="4" t="s">
        <v>44</v>
      </c>
      <c r="M696" s="5" t="s">
        <v>42</v>
      </c>
      <c r="N696" s="4" t="s">
        <v>45</v>
      </c>
      <c r="O696" s="4" t="s">
        <v>46</v>
      </c>
      <c r="P696" s="4" t="s">
        <v>47</v>
      </c>
      <c r="Q696" s="4">
        <v>16451.0</v>
      </c>
      <c r="R696" s="5" t="s">
        <v>4165</v>
      </c>
      <c r="S696" s="8">
        <v>46185.0</v>
      </c>
      <c r="T696" s="9">
        <v>0.375</v>
      </c>
      <c r="U696" s="9">
        <v>0.9166666666666666</v>
      </c>
      <c r="V696" s="4" t="s">
        <v>49</v>
      </c>
      <c r="W696" s="5">
        <v>1.0</v>
      </c>
      <c r="X696" s="5" t="b">
        <v>1</v>
      </c>
      <c r="Y696" s="5" t="s">
        <v>50</v>
      </c>
      <c r="Z696" s="5" t="b">
        <v>0</v>
      </c>
      <c r="AA696" s="10"/>
      <c r="AB696" s="4">
        <v>1.0</v>
      </c>
      <c r="AC696" s="11" t="s">
        <v>4166</v>
      </c>
      <c r="AD696" s="5">
        <v>0.0</v>
      </c>
      <c r="AE696" s="5">
        <v>1.0</v>
      </c>
      <c r="AF696" s="8">
        <v>46185.0</v>
      </c>
      <c r="AG696" s="9">
        <v>0.375</v>
      </c>
      <c r="AH696" s="9">
        <v>0.9166666666666666</v>
      </c>
      <c r="AI696" s="4" t="s">
        <v>49</v>
      </c>
      <c r="AJ696" s="5" t="s">
        <v>4167</v>
      </c>
      <c r="AK696" s="12"/>
      <c r="AL696" s="12"/>
      <c r="AM696" s="12" t="s">
        <v>52</v>
      </c>
      <c r="AN696" s="12"/>
      <c r="AO696" s="12"/>
      <c r="AP696" s="12"/>
      <c r="AQ696" s="12"/>
    </row>
    <row r="697">
      <c r="A697" s="5" t="s">
        <v>4168</v>
      </c>
      <c r="B697" s="5">
        <v>1.1398423E7</v>
      </c>
      <c r="C697" s="5" t="s">
        <v>37</v>
      </c>
      <c r="D697" s="5" t="s">
        <v>4169</v>
      </c>
      <c r="E697" s="5" t="s">
        <v>39</v>
      </c>
      <c r="F697" s="5" t="s">
        <v>4170</v>
      </c>
      <c r="G697" s="15">
        <v>6.28126E17</v>
      </c>
      <c r="H697" s="5" t="s">
        <v>4171</v>
      </c>
      <c r="I697" s="5" t="s">
        <v>42</v>
      </c>
      <c r="J697" s="5" t="s">
        <v>43</v>
      </c>
      <c r="K697" s="5">
        <v>8.7733785699E10</v>
      </c>
      <c r="L697" s="4" t="s">
        <v>44</v>
      </c>
      <c r="M697" s="5" t="s">
        <v>42</v>
      </c>
      <c r="N697" s="4" t="s">
        <v>45</v>
      </c>
      <c r="O697" s="4" t="s">
        <v>46</v>
      </c>
      <c r="P697" s="4" t="s">
        <v>47</v>
      </c>
      <c r="Q697" s="4">
        <v>16451.0</v>
      </c>
      <c r="R697" s="5" t="s">
        <v>4172</v>
      </c>
      <c r="S697" s="8">
        <v>46185.0</v>
      </c>
      <c r="T697" s="9">
        <v>0.375</v>
      </c>
      <c r="U697" s="9">
        <v>0.9166666666666666</v>
      </c>
      <c r="V697" s="4" t="s">
        <v>49</v>
      </c>
      <c r="W697" s="5">
        <v>1.0</v>
      </c>
      <c r="X697" s="5" t="b">
        <v>1</v>
      </c>
      <c r="Y697" s="5" t="s">
        <v>50</v>
      </c>
      <c r="Z697" s="5" t="b">
        <v>0</v>
      </c>
      <c r="AA697" s="10"/>
      <c r="AB697" s="4">
        <v>1.0</v>
      </c>
      <c r="AC697" s="11" t="s">
        <v>4173</v>
      </c>
      <c r="AD697" s="5">
        <v>0.0</v>
      </c>
      <c r="AE697" s="5">
        <v>1.0</v>
      </c>
      <c r="AF697" s="8">
        <v>46185.0</v>
      </c>
      <c r="AG697" s="9">
        <v>0.375</v>
      </c>
      <c r="AH697" s="9">
        <v>0.9166666666666666</v>
      </c>
      <c r="AI697" s="4" t="s">
        <v>49</v>
      </c>
      <c r="AJ697" s="5" t="s">
        <v>4174</v>
      </c>
      <c r="AK697" s="12"/>
      <c r="AL697" s="12"/>
      <c r="AM697" s="12" t="s">
        <v>52</v>
      </c>
      <c r="AN697" s="12"/>
      <c r="AO697" s="12"/>
      <c r="AP697" s="12"/>
      <c r="AQ697" s="12"/>
    </row>
    <row r="698">
      <c r="A698" s="5" t="s">
        <v>4175</v>
      </c>
      <c r="B698" s="5">
        <v>1.1398423E7</v>
      </c>
      <c r="C698" s="5" t="s">
        <v>37</v>
      </c>
      <c r="D698" s="5" t="s">
        <v>4176</v>
      </c>
      <c r="E698" s="5" t="s">
        <v>39</v>
      </c>
      <c r="F698" s="5" t="s">
        <v>4177</v>
      </c>
      <c r="G698" s="15">
        <v>8.2297469623E10</v>
      </c>
      <c r="H698" s="5" t="s">
        <v>4178</v>
      </c>
      <c r="I698" s="5" t="s">
        <v>42</v>
      </c>
      <c r="J698" s="5" t="s">
        <v>43</v>
      </c>
      <c r="K698" s="5">
        <v>8.7733785699E10</v>
      </c>
      <c r="L698" s="4" t="s">
        <v>44</v>
      </c>
      <c r="M698" s="5" t="s">
        <v>42</v>
      </c>
      <c r="N698" s="4" t="s">
        <v>45</v>
      </c>
      <c r="O698" s="4" t="s">
        <v>46</v>
      </c>
      <c r="P698" s="4" t="s">
        <v>47</v>
      </c>
      <c r="Q698" s="4">
        <v>16451.0</v>
      </c>
      <c r="R698" s="5" t="s">
        <v>4179</v>
      </c>
      <c r="S698" s="8">
        <v>46185.0</v>
      </c>
      <c r="T698" s="9">
        <v>0.375</v>
      </c>
      <c r="U698" s="9">
        <v>0.9166666666666666</v>
      </c>
      <c r="V698" s="4" t="s">
        <v>49</v>
      </c>
      <c r="W698" s="5">
        <v>1.0</v>
      </c>
      <c r="X698" s="5" t="b">
        <v>1</v>
      </c>
      <c r="Y698" s="5" t="s">
        <v>50</v>
      </c>
      <c r="Z698" s="5" t="b">
        <v>0</v>
      </c>
      <c r="AA698" s="10"/>
      <c r="AB698" s="4">
        <v>1.0</v>
      </c>
      <c r="AC698" s="11" t="s">
        <v>4180</v>
      </c>
      <c r="AD698" s="5">
        <v>0.0</v>
      </c>
      <c r="AE698" s="5">
        <v>1.0</v>
      </c>
      <c r="AF698" s="8">
        <v>46185.0</v>
      </c>
      <c r="AG698" s="9">
        <v>0.375</v>
      </c>
      <c r="AH698" s="9">
        <v>0.9166666666666666</v>
      </c>
      <c r="AI698" s="4" t="s">
        <v>49</v>
      </c>
      <c r="AJ698" s="5" t="s">
        <v>4181</v>
      </c>
      <c r="AK698" s="12"/>
      <c r="AL698" s="12"/>
      <c r="AM698" s="12" t="s">
        <v>52</v>
      </c>
      <c r="AN698" s="12"/>
      <c r="AO698" s="12"/>
      <c r="AP698" s="12"/>
      <c r="AQ698" s="12"/>
    </row>
    <row r="699">
      <c r="A699" s="5" t="s">
        <v>4182</v>
      </c>
      <c r="B699" s="5">
        <v>1.1398423E7</v>
      </c>
      <c r="C699" s="5" t="s">
        <v>37</v>
      </c>
      <c r="D699" s="5" t="s">
        <v>4183</v>
      </c>
      <c r="E699" s="5" t="s">
        <v>39</v>
      </c>
      <c r="F699" s="5" t="s">
        <v>4184</v>
      </c>
      <c r="G699" s="15">
        <v>8.1221565672E10</v>
      </c>
      <c r="H699" s="5" t="s">
        <v>4185</v>
      </c>
      <c r="I699" s="5" t="s">
        <v>42</v>
      </c>
      <c r="J699" s="5" t="s">
        <v>43</v>
      </c>
      <c r="K699" s="5">
        <v>8.7733785699E10</v>
      </c>
      <c r="L699" s="4" t="s">
        <v>44</v>
      </c>
      <c r="M699" s="5" t="s">
        <v>42</v>
      </c>
      <c r="N699" s="4" t="s">
        <v>45</v>
      </c>
      <c r="O699" s="4" t="s">
        <v>46</v>
      </c>
      <c r="P699" s="4" t="s">
        <v>47</v>
      </c>
      <c r="Q699" s="4">
        <v>16451.0</v>
      </c>
      <c r="R699" s="5" t="s">
        <v>4186</v>
      </c>
      <c r="S699" s="8">
        <v>46185.0</v>
      </c>
      <c r="T699" s="9">
        <v>0.375</v>
      </c>
      <c r="U699" s="9">
        <v>0.9166666666666666</v>
      </c>
      <c r="V699" s="4" t="s">
        <v>49</v>
      </c>
      <c r="W699" s="5">
        <v>1.0</v>
      </c>
      <c r="X699" s="5" t="b">
        <v>1</v>
      </c>
      <c r="Y699" s="5" t="s">
        <v>50</v>
      </c>
      <c r="Z699" s="5" t="b">
        <v>0</v>
      </c>
      <c r="AA699" s="10"/>
      <c r="AB699" s="4">
        <v>1.0</v>
      </c>
      <c r="AC699" s="11" t="s">
        <v>4187</v>
      </c>
      <c r="AD699" s="5">
        <v>0.0</v>
      </c>
      <c r="AE699" s="5">
        <v>1.0</v>
      </c>
      <c r="AF699" s="8">
        <v>46185.0</v>
      </c>
      <c r="AG699" s="9">
        <v>0.375</v>
      </c>
      <c r="AH699" s="9">
        <v>0.9166666666666666</v>
      </c>
      <c r="AI699" s="4" t="s">
        <v>49</v>
      </c>
      <c r="AJ699" s="5" t="s">
        <v>4188</v>
      </c>
      <c r="AK699" s="12"/>
      <c r="AL699" s="12"/>
      <c r="AM699" s="12" t="s">
        <v>52</v>
      </c>
      <c r="AN699" s="12"/>
      <c r="AO699" s="12"/>
      <c r="AP699" s="12"/>
      <c r="AQ699" s="12"/>
    </row>
    <row r="700">
      <c r="A700" s="5" t="s">
        <v>4189</v>
      </c>
      <c r="B700" s="5">
        <v>1.1398423E7</v>
      </c>
      <c r="C700" s="5" t="s">
        <v>37</v>
      </c>
      <c r="D700" s="5" t="s">
        <v>4190</v>
      </c>
      <c r="E700" s="5" t="s">
        <v>39</v>
      </c>
      <c r="F700" s="5" t="s">
        <v>3473</v>
      </c>
      <c r="G700" s="15">
        <v>6.28132E17</v>
      </c>
      <c r="H700" s="5" t="s">
        <v>3474</v>
      </c>
      <c r="I700" s="5" t="s">
        <v>42</v>
      </c>
      <c r="J700" s="5" t="s">
        <v>43</v>
      </c>
      <c r="K700" s="5">
        <v>8.7733785699E10</v>
      </c>
      <c r="L700" s="4" t="s">
        <v>44</v>
      </c>
      <c r="M700" s="5" t="s">
        <v>42</v>
      </c>
      <c r="N700" s="4" t="s">
        <v>45</v>
      </c>
      <c r="O700" s="4" t="s">
        <v>46</v>
      </c>
      <c r="P700" s="4" t="s">
        <v>47</v>
      </c>
      <c r="Q700" s="4">
        <v>16451.0</v>
      </c>
      <c r="R700" s="5" t="s">
        <v>4191</v>
      </c>
      <c r="S700" s="8">
        <v>46185.0</v>
      </c>
      <c r="T700" s="9">
        <v>0.375</v>
      </c>
      <c r="U700" s="9">
        <v>0.9166666666666666</v>
      </c>
      <c r="V700" s="4" t="s">
        <v>49</v>
      </c>
      <c r="W700" s="5">
        <v>1.0</v>
      </c>
      <c r="X700" s="5" t="b">
        <v>1</v>
      </c>
      <c r="Y700" s="5" t="s">
        <v>50</v>
      </c>
      <c r="Z700" s="5" t="b">
        <v>0</v>
      </c>
      <c r="AA700" s="10"/>
      <c r="AB700" s="4">
        <v>1.0</v>
      </c>
      <c r="AC700" s="11" t="s">
        <v>4192</v>
      </c>
      <c r="AD700" s="5">
        <v>0.0</v>
      </c>
      <c r="AE700" s="5">
        <v>1.0</v>
      </c>
      <c r="AF700" s="8">
        <v>46185.0</v>
      </c>
      <c r="AG700" s="9">
        <v>0.375</v>
      </c>
      <c r="AH700" s="9">
        <v>0.9166666666666666</v>
      </c>
      <c r="AI700" s="4" t="s">
        <v>49</v>
      </c>
      <c r="AJ700" s="5" t="s">
        <v>4193</v>
      </c>
      <c r="AK700" s="12"/>
      <c r="AL700" s="12"/>
      <c r="AM700" s="12" t="s">
        <v>52</v>
      </c>
      <c r="AN700" s="12"/>
      <c r="AO700" s="12"/>
      <c r="AP700" s="12"/>
      <c r="AQ700" s="12"/>
    </row>
    <row r="701">
      <c r="A701" s="5" t="s">
        <v>4194</v>
      </c>
      <c r="B701" s="5">
        <v>1.1398423E7</v>
      </c>
      <c r="C701" s="5" t="s">
        <v>37</v>
      </c>
      <c r="D701" s="5" t="s">
        <v>4195</v>
      </c>
      <c r="E701" s="5" t="s">
        <v>39</v>
      </c>
      <c r="F701" s="5" t="s">
        <v>4196</v>
      </c>
      <c r="G701" s="15">
        <v>6.28124E17</v>
      </c>
      <c r="H701" s="5" t="s">
        <v>4197</v>
      </c>
      <c r="I701" s="5" t="s">
        <v>42</v>
      </c>
      <c r="J701" s="5" t="s">
        <v>43</v>
      </c>
      <c r="K701" s="5">
        <v>8.7733785699E10</v>
      </c>
      <c r="L701" s="4" t="s">
        <v>44</v>
      </c>
      <c r="M701" s="5" t="s">
        <v>42</v>
      </c>
      <c r="N701" s="4" t="s">
        <v>45</v>
      </c>
      <c r="O701" s="4" t="s">
        <v>46</v>
      </c>
      <c r="P701" s="4" t="s">
        <v>47</v>
      </c>
      <c r="Q701" s="4">
        <v>16451.0</v>
      </c>
      <c r="R701" s="5" t="s">
        <v>4198</v>
      </c>
      <c r="S701" s="8">
        <v>46185.0</v>
      </c>
      <c r="T701" s="9">
        <v>0.375</v>
      </c>
      <c r="U701" s="9">
        <v>0.9166666666666666</v>
      </c>
      <c r="V701" s="4" t="s">
        <v>49</v>
      </c>
      <c r="W701" s="5">
        <v>1.0</v>
      </c>
      <c r="X701" s="5" t="b">
        <v>1</v>
      </c>
      <c r="Y701" s="5" t="s">
        <v>50</v>
      </c>
      <c r="Z701" s="5" t="b">
        <v>0</v>
      </c>
      <c r="AA701" s="10"/>
      <c r="AB701" s="4">
        <v>1.0</v>
      </c>
      <c r="AC701" s="11" t="s">
        <v>4199</v>
      </c>
      <c r="AD701" s="5">
        <v>0.0</v>
      </c>
      <c r="AE701" s="5">
        <v>1.0</v>
      </c>
      <c r="AF701" s="8">
        <v>46185.0</v>
      </c>
      <c r="AG701" s="9">
        <v>0.375</v>
      </c>
      <c r="AH701" s="9">
        <v>0.9166666666666666</v>
      </c>
      <c r="AI701" s="4" t="s">
        <v>49</v>
      </c>
      <c r="AJ701" s="5" t="s">
        <v>4200</v>
      </c>
      <c r="AK701" s="12"/>
      <c r="AL701" s="12"/>
      <c r="AM701" s="12" t="s">
        <v>52</v>
      </c>
      <c r="AN701" s="12"/>
      <c r="AO701" s="12"/>
      <c r="AP701" s="12"/>
      <c r="AQ701" s="12"/>
    </row>
    <row r="702">
      <c r="A702" s="5" t="s">
        <v>4201</v>
      </c>
      <c r="B702" s="5">
        <v>1.1398423E7</v>
      </c>
      <c r="C702" s="5" t="s">
        <v>37</v>
      </c>
      <c r="D702" s="5" t="s">
        <v>4202</v>
      </c>
      <c r="E702" s="5" t="s">
        <v>39</v>
      </c>
      <c r="F702" s="5" t="s">
        <v>1926</v>
      </c>
      <c r="G702" s="15">
        <v>6.28132E17</v>
      </c>
      <c r="H702" s="5" t="s">
        <v>1927</v>
      </c>
      <c r="I702" s="5" t="s">
        <v>42</v>
      </c>
      <c r="J702" s="5" t="s">
        <v>43</v>
      </c>
      <c r="K702" s="5">
        <v>8.7733785699E10</v>
      </c>
      <c r="L702" s="4" t="s">
        <v>44</v>
      </c>
      <c r="M702" s="5" t="s">
        <v>42</v>
      </c>
      <c r="N702" s="4" t="s">
        <v>45</v>
      </c>
      <c r="O702" s="4" t="s">
        <v>46</v>
      </c>
      <c r="P702" s="4" t="s">
        <v>47</v>
      </c>
      <c r="Q702" s="4">
        <v>16451.0</v>
      </c>
      <c r="R702" s="5" t="s">
        <v>4203</v>
      </c>
      <c r="S702" s="8">
        <v>46185.0</v>
      </c>
      <c r="T702" s="9">
        <v>0.375</v>
      </c>
      <c r="U702" s="9">
        <v>0.9166666666666666</v>
      </c>
      <c r="V702" s="4" t="s">
        <v>49</v>
      </c>
      <c r="W702" s="5">
        <v>1.0</v>
      </c>
      <c r="X702" s="5" t="b">
        <v>1</v>
      </c>
      <c r="Y702" s="5" t="s">
        <v>50</v>
      </c>
      <c r="Z702" s="5" t="b">
        <v>0</v>
      </c>
      <c r="AA702" s="10"/>
      <c r="AB702" s="4">
        <v>1.0</v>
      </c>
      <c r="AC702" s="11" t="s">
        <v>4204</v>
      </c>
      <c r="AD702" s="5">
        <v>0.0</v>
      </c>
      <c r="AE702" s="5">
        <v>1.0</v>
      </c>
      <c r="AF702" s="8">
        <v>46185.0</v>
      </c>
      <c r="AG702" s="9">
        <v>0.375</v>
      </c>
      <c r="AH702" s="9">
        <v>0.9166666666666666</v>
      </c>
      <c r="AI702" s="4" t="s">
        <v>49</v>
      </c>
      <c r="AJ702" s="5" t="s">
        <v>4205</v>
      </c>
      <c r="AK702" s="12"/>
      <c r="AL702" s="12"/>
      <c r="AM702" s="12" t="s">
        <v>52</v>
      </c>
      <c r="AN702" s="12"/>
      <c r="AO702" s="12"/>
      <c r="AP702" s="12"/>
      <c r="AQ702" s="12"/>
    </row>
    <row r="703">
      <c r="A703" s="5" t="s">
        <v>4206</v>
      </c>
      <c r="B703" s="5">
        <v>1.1398423E7</v>
      </c>
      <c r="C703" s="5" t="s">
        <v>37</v>
      </c>
      <c r="D703" s="5" t="s">
        <v>4207</v>
      </c>
      <c r="E703" s="5" t="s">
        <v>39</v>
      </c>
      <c r="F703" s="5" t="s">
        <v>3440</v>
      </c>
      <c r="G703" s="15">
        <v>6.28129E17</v>
      </c>
      <c r="H703" s="5" t="s">
        <v>3441</v>
      </c>
      <c r="I703" s="5" t="s">
        <v>42</v>
      </c>
      <c r="J703" s="5" t="s">
        <v>43</v>
      </c>
      <c r="K703" s="5">
        <v>8.7733785699E10</v>
      </c>
      <c r="L703" s="4" t="s">
        <v>44</v>
      </c>
      <c r="M703" s="5" t="s">
        <v>42</v>
      </c>
      <c r="N703" s="4" t="s">
        <v>45</v>
      </c>
      <c r="O703" s="4" t="s">
        <v>46</v>
      </c>
      <c r="P703" s="4" t="s">
        <v>47</v>
      </c>
      <c r="Q703" s="4">
        <v>16451.0</v>
      </c>
      <c r="R703" s="5" t="s">
        <v>4208</v>
      </c>
      <c r="S703" s="8">
        <v>46185.0</v>
      </c>
      <c r="T703" s="9">
        <v>0.375</v>
      </c>
      <c r="U703" s="9">
        <v>0.9166666666666666</v>
      </c>
      <c r="V703" s="4" t="s">
        <v>49</v>
      </c>
      <c r="W703" s="5">
        <v>1.0</v>
      </c>
      <c r="X703" s="5" t="b">
        <v>1</v>
      </c>
      <c r="Y703" s="5" t="s">
        <v>50</v>
      </c>
      <c r="Z703" s="5" t="b">
        <v>0</v>
      </c>
      <c r="AA703" s="10"/>
      <c r="AB703" s="4">
        <v>1.0</v>
      </c>
      <c r="AC703" s="11" t="s">
        <v>4209</v>
      </c>
      <c r="AD703" s="5">
        <v>0.0</v>
      </c>
      <c r="AE703" s="5">
        <v>1.0</v>
      </c>
      <c r="AF703" s="8">
        <v>46185.0</v>
      </c>
      <c r="AG703" s="9">
        <v>0.375</v>
      </c>
      <c r="AH703" s="9">
        <v>0.9166666666666666</v>
      </c>
      <c r="AI703" s="4" t="s">
        <v>49</v>
      </c>
      <c r="AJ703" s="5" t="s">
        <v>4210</v>
      </c>
      <c r="AK703" s="12"/>
      <c r="AL703" s="12"/>
      <c r="AM703" s="12" t="s">
        <v>52</v>
      </c>
      <c r="AN703" s="12"/>
      <c r="AO703" s="12"/>
      <c r="AP703" s="12"/>
      <c r="AQ703" s="12"/>
    </row>
    <row r="704">
      <c r="A704" s="5" t="s">
        <v>4211</v>
      </c>
      <c r="B704" s="5">
        <v>1.1398423E7</v>
      </c>
      <c r="C704" s="5" t="s">
        <v>37</v>
      </c>
      <c r="D704" s="5" t="s">
        <v>4212</v>
      </c>
      <c r="E704" s="5" t="s">
        <v>39</v>
      </c>
      <c r="F704" s="5" t="s">
        <v>4213</v>
      </c>
      <c r="G704" s="15">
        <v>6.28137E17</v>
      </c>
      <c r="H704" s="5" t="s">
        <v>4214</v>
      </c>
      <c r="I704" s="5" t="s">
        <v>42</v>
      </c>
      <c r="J704" s="5" t="s">
        <v>43</v>
      </c>
      <c r="K704" s="5">
        <v>8.7733785699E10</v>
      </c>
      <c r="L704" s="4" t="s">
        <v>44</v>
      </c>
      <c r="M704" s="5" t="s">
        <v>42</v>
      </c>
      <c r="N704" s="4" t="s">
        <v>45</v>
      </c>
      <c r="O704" s="4" t="s">
        <v>46</v>
      </c>
      <c r="P704" s="4" t="s">
        <v>47</v>
      </c>
      <c r="Q704" s="4">
        <v>16451.0</v>
      </c>
      <c r="R704" s="5" t="s">
        <v>4215</v>
      </c>
      <c r="S704" s="8">
        <v>46185.0</v>
      </c>
      <c r="T704" s="9">
        <v>0.375</v>
      </c>
      <c r="U704" s="9">
        <v>0.9166666666666666</v>
      </c>
      <c r="V704" s="4" t="s">
        <v>49</v>
      </c>
      <c r="W704" s="5">
        <v>1.0</v>
      </c>
      <c r="X704" s="5" t="b">
        <v>1</v>
      </c>
      <c r="Y704" s="5" t="s">
        <v>50</v>
      </c>
      <c r="Z704" s="5" t="b">
        <v>0</v>
      </c>
      <c r="AA704" s="10"/>
      <c r="AB704" s="4">
        <v>1.0</v>
      </c>
      <c r="AC704" s="11" t="s">
        <v>4216</v>
      </c>
      <c r="AD704" s="5">
        <v>0.0</v>
      </c>
      <c r="AE704" s="5">
        <v>1.0</v>
      </c>
      <c r="AF704" s="8">
        <v>46185.0</v>
      </c>
      <c r="AG704" s="9">
        <v>0.375</v>
      </c>
      <c r="AH704" s="9">
        <v>0.9166666666666666</v>
      </c>
      <c r="AI704" s="4" t="s">
        <v>49</v>
      </c>
      <c r="AJ704" s="5" t="s">
        <v>4217</v>
      </c>
      <c r="AK704" s="12"/>
      <c r="AL704" s="12"/>
      <c r="AM704" s="12" t="s">
        <v>52</v>
      </c>
      <c r="AN704" s="12"/>
      <c r="AO704" s="12"/>
      <c r="AP704" s="12"/>
      <c r="AQ704" s="12"/>
    </row>
    <row r="705">
      <c r="A705" s="5" t="s">
        <v>4218</v>
      </c>
      <c r="B705" s="5">
        <v>1.1398423E7</v>
      </c>
      <c r="C705" s="5" t="s">
        <v>37</v>
      </c>
      <c r="D705" s="5" t="s">
        <v>4219</v>
      </c>
      <c r="E705" s="5" t="s">
        <v>39</v>
      </c>
      <c r="F705" s="5" t="s">
        <v>4220</v>
      </c>
      <c r="G705" s="15">
        <v>8.16196494E9</v>
      </c>
      <c r="H705" s="5" t="s">
        <v>4221</v>
      </c>
      <c r="I705" s="5" t="s">
        <v>42</v>
      </c>
      <c r="J705" s="5" t="s">
        <v>43</v>
      </c>
      <c r="K705" s="5">
        <v>8.7733785699E10</v>
      </c>
      <c r="L705" s="4" t="s">
        <v>44</v>
      </c>
      <c r="M705" s="5" t="s">
        <v>42</v>
      </c>
      <c r="N705" s="4" t="s">
        <v>45</v>
      </c>
      <c r="O705" s="4" t="s">
        <v>46</v>
      </c>
      <c r="P705" s="4" t="s">
        <v>47</v>
      </c>
      <c r="Q705" s="4">
        <v>16451.0</v>
      </c>
      <c r="R705" s="5" t="s">
        <v>4222</v>
      </c>
      <c r="S705" s="8">
        <v>46185.0</v>
      </c>
      <c r="T705" s="9">
        <v>0.375</v>
      </c>
      <c r="U705" s="9">
        <v>0.9166666666666666</v>
      </c>
      <c r="V705" s="4" t="s">
        <v>49</v>
      </c>
      <c r="W705" s="5">
        <v>1.0</v>
      </c>
      <c r="X705" s="5" t="b">
        <v>1</v>
      </c>
      <c r="Y705" s="5" t="s">
        <v>50</v>
      </c>
      <c r="Z705" s="5" t="b">
        <v>0</v>
      </c>
      <c r="AA705" s="10"/>
      <c r="AB705" s="4">
        <v>1.0</v>
      </c>
      <c r="AC705" s="11" t="s">
        <v>4223</v>
      </c>
      <c r="AD705" s="5">
        <v>0.0</v>
      </c>
      <c r="AE705" s="5">
        <v>1.0</v>
      </c>
      <c r="AF705" s="8">
        <v>46185.0</v>
      </c>
      <c r="AG705" s="9">
        <v>0.375</v>
      </c>
      <c r="AH705" s="9">
        <v>0.9166666666666666</v>
      </c>
      <c r="AI705" s="4" t="s">
        <v>49</v>
      </c>
      <c r="AJ705" s="5" t="s">
        <v>4224</v>
      </c>
      <c r="AK705" s="12"/>
      <c r="AL705" s="12"/>
      <c r="AM705" s="12" t="s">
        <v>52</v>
      </c>
      <c r="AN705" s="12"/>
      <c r="AO705" s="12"/>
      <c r="AP705" s="12"/>
      <c r="AQ705" s="12"/>
    </row>
    <row r="706">
      <c r="A706" s="5" t="s">
        <v>4225</v>
      </c>
      <c r="B706" s="5">
        <v>1.1398423E7</v>
      </c>
      <c r="C706" s="5" t="s">
        <v>37</v>
      </c>
      <c r="D706" s="5" t="s">
        <v>4226</v>
      </c>
      <c r="E706" s="5" t="s">
        <v>39</v>
      </c>
      <c r="F706" s="5" t="s">
        <v>2978</v>
      </c>
      <c r="G706" s="15">
        <v>8.16806328E8</v>
      </c>
      <c r="H706" s="5" t="s">
        <v>2979</v>
      </c>
      <c r="I706" s="5" t="s">
        <v>42</v>
      </c>
      <c r="J706" s="5" t="s">
        <v>43</v>
      </c>
      <c r="K706" s="5">
        <v>8.7733785699E10</v>
      </c>
      <c r="L706" s="4" t="s">
        <v>44</v>
      </c>
      <c r="M706" s="5" t="s">
        <v>42</v>
      </c>
      <c r="N706" s="4" t="s">
        <v>45</v>
      </c>
      <c r="O706" s="4" t="s">
        <v>46</v>
      </c>
      <c r="P706" s="4" t="s">
        <v>47</v>
      </c>
      <c r="Q706" s="4">
        <v>16451.0</v>
      </c>
      <c r="R706" s="5" t="s">
        <v>4227</v>
      </c>
      <c r="S706" s="8">
        <v>46185.0</v>
      </c>
      <c r="T706" s="9">
        <v>0.375</v>
      </c>
      <c r="U706" s="9">
        <v>0.9166666666666666</v>
      </c>
      <c r="V706" s="4" t="s">
        <v>49</v>
      </c>
      <c r="W706" s="5">
        <v>1.0</v>
      </c>
      <c r="X706" s="5" t="b">
        <v>1</v>
      </c>
      <c r="Y706" s="5" t="s">
        <v>50</v>
      </c>
      <c r="Z706" s="5" t="b">
        <v>0</v>
      </c>
      <c r="AA706" s="10"/>
      <c r="AB706" s="4">
        <v>1.0</v>
      </c>
      <c r="AC706" s="11" t="s">
        <v>4228</v>
      </c>
      <c r="AD706" s="5">
        <v>0.0</v>
      </c>
      <c r="AE706" s="5">
        <v>1.0</v>
      </c>
      <c r="AF706" s="8">
        <v>46185.0</v>
      </c>
      <c r="AG706" s="9">
        <v>0.375</v>
      </c>
      <c r="AH706" s="9">
        <v>0.9166666666666666</v>
      </c>
      <c r="AI706" s="4" t="s">
        <v>49</v>
      </c>
      <c r="AJ706" s="5" t="s">
        <v>4229</v>
      </c>
      <c r="AK706" s="12"/>
      <c r="AL706" s="12"/>
      <c r="AM706" s="12" t="s">
        <v>52</v>
      </c>
      <c r="AN706" s="12"/>
      <c r="AO706" s="12"/>
      <c r="AP706" s="12"/>
      <c r="AQ706" s="12"/>
    </row>
    <row r="707">
      <c r="A707" s="5" t="s">
        <v>4230</v>
      </c>
      <c r="B707" s="5">
        <v>1.1398423E7</v>
      </c>
      <c r="C707" s="5" t="s">
        <v>37</v>
      </c>
      <c r="D707" s="5" t="s">
        <v>4231</v>
      </c>
      <c r="E707" s="5" t="s">
        <v>39</v>
      </c>
      <c r="F707" s="5" t="s">
        <v>3113</v>
      </c>
      <c r="G707" s="15">
        <v>8.2111234473E10</v>
      </c>
      <c r="H707" s="5" t="s">
        <v>4232</v>
      </c>
      <c r="I707" s="5" t="s">
        <v>42</v>
      </c>
      <c r="J707" s="5" t="s">
        <v>43</v>
      </c>
      <c r="K707" s="5">
        <v>8.7733785699E10</v>
      </c>
      <c r="L707" s="4" t="s">
        <v>44</v>
      </c>
      <c r="M707" s="5" t="s">
        <v>42</v>
      </c>
      <c r="N707" s="4" t="s">
        <v>45</v>
      </c>
      <c r="O707" s="4" t="s">
        <v>46</v>
      </c>
      <c r="P707" s="4" t="s">
        <v>47</v>
      </c>
      <c r="Q707" s="4">
        <v>16451.0</v>
      </c>
      <c r="R707" s="5" t="s">
        <v>4233</v>
      </c>
      <c r="S707" s="8">
        <v>46185.0</v>
      </c>
      <c r="T707" s="9">
        <v>0.375</v>
      </c>
      <c r="U707" s="9">
        <v>0.9166666666666666</v>
      </c>
      <c r="V707" s="4" t="s">
        <v>49</v>
      </c>
      <c r="W707" s="5">
        <v>1.0</v>
      </c>
      <c r="X707" s="5" t="b">
        <v>1</v>
      </c>
      <c r="Y707" s="5" t="s">
        <v>50</v>
      </c>
      <c r="Z707" s="5" t="b">
        <v>0</v>
      </c>
      <c r="AA707" s="10"/>
      <c r="AB707" s="4">
        <v>1.0</v>
      </c>
      <c r="AC707" s="11" t="s">
        <v>4234</v>
      </c>
      <c r="AD707" s="5">
        <v>0.0</v>
      </c>
      <c r="AE707" s="5">
        <v>1.0</v>
      </c>
      <c r="AF707" s="8">
        <v>46185.0</v>
      </c>
      <c r="AG707" s="9">
        <v>0.375</v>
      </c>
      <c r="AH707" s="9">
        <v>0.9166666666666666</v>
      </c>
      <c r="AI707" s="4" t="s">
        <v>49</v>
      </c>
      <c r="AJ707" s="5" t="s">
        <v>4235</v>
      </c>
      <c r="AK707" s="12"/>
      <c r="AL707" s="12"/>
      <c r="AM707" s="12" t="s">
        <v>52</v>
      </c>
      <c r="AN707" s="12"/>
      <c r="AO707" s="12"/>
      <c r="AP707" s="12"/>
      <c r="AQ707" s="12"/>
    </row>
    <row r="708">
      <c r="A708" s="5" t="s">
        <v>4236</v>
      </c>
      <c r="B708" s="5">
        <v>1.1398423E7</v>
      </c>
      <c r="C708" s="5" t="s">
        <v>37</v>
      </c>
      <c r="D708" s="5" t="s">
        <v>4237</v>
      </c>
      <c r="E708" s="5" t="s">
        <v>39</v>
      </c>
      <c r="F708" s="5" t="s">
        <v>660</v>
      </c>
      <c r="G708" s="15">
        <v>8.7877209076E10</v>
      </c>
      <c r="H708" s="5" t="s">
        <v>661</v>
      </c>
      <c r="I708" s="5" t="s">
        <v>42</v>
      </c>
      <c r="J708" s="5" t="s">
        <v>43</v>
      </c>
      <c r="K708" s="5">
        <v>8.7733785699E10</v>
      </c>
      <c r="L708" s="4" t="s">
        <v>44</v>
      </c>
      <c r="M708" s="5" t="s">
        <v>42</v>
      </c>
      <c r="N708" s="4" t="s">
        <v>45</v>
      </c>
      <c r="O708" s="4" t="s">
        <v>46</v>
      </c>
      <c r="P708" s="4" t="s">
        <v>47</v>
      </c>
      <c r="Q708" s="4">
        <v>16451.0</v>
      </c>
      <c r="R708" s="5" t="s">
        <v>4238</v>
      </c>
      <c r="S708" s="8">
        <v>46185.0</v>
      </c>
      <c r="T708" s="9">
        <v>0.375</v>
      </c>
      <c r="U708" s="9">
        <v>0.9166666666666666</v>
      </c>
      <c r="V708" s="4" t="s">
        <v>49</v>
      </c>
      <c r="W708" s="5">
        <v>1.0</v>
      </c>
      <c r="X708" s="5" t="b">
        <v>1</v>
      </c>
      <c r="Y708" s="5" t="s">
        <v>50</v>
      </c>
      <c r="Z708" s="5" t="b">
        <v>0</v>
      </c>
      <c r="AA708" s="10"/>
      <c r="AB708" s="4">
        <v>1.0</v>
      </c>
      <c r="AC708" s="11" t="s">
        <v>4239</v>
      </c>
      <c r="AD708" s="5">
        <v>0.0</v>
      </c>
      <c r="AE708" s="5">
        <v>1.0</v>
      </c>
      <c r="AF708" s="8">
        <v>46185.0</v>
      </c>
      <c r="AG708" s="9">
        <v>0.375</v>
      </c>
      <c r="AH708" s="9">
        <v>0.9166666666666666</v>
      </c>
      <c r="AI708" s="4" t="s">
        <v>49</v>
      </c>
      <c r="AJ708" s="5" t="s">
        <v>4240</v>
      </c>
      <c r="AK708" s="12"/>
      <c r="AL708" s="12"/>
      <c r="AM708" s="12" t="s">
        <v>52</v>
      </c>
      <c r="AN708" s="12"/>
      <c r="AO708" s="12"/>
      <c r="AP708" s="12"/>
      <c r="AQ708" s="12"/>
    </row>
    <row r="709">
      <c r="A709" s="5" t="s">
        <v>4241</v>
      </c>
      <c r="B709" s="5">
        <v>1.1398423E7</v>
      </c>
      <c r="C709" s="5" t="s">
        <v>37</v>
      </c>
      <c r="D709" s="5" t="s">
        <v>4242</v>
      </c>
      <c r="E709" s="5" t="s">
        <v>39</v>
      </c>
      <c r="F709" s="5" t="s">
        <v>4243</v>
      </c>
      <c r="G709" s="15">
        <v>8.5277074887E10</v>
      </c>
      <c r="H709" s="5" t="s">
        <v>4244</v>
      </c>
      <c r="I709" s="5" t="s">
        <v>42</v>
      </c>
      <c r="J709" s="5" t="s">
        <v>43</v>
      </c>
      <c r="K709" s="5">
        <v>8.7733785699E10</v>
      </c>
      <c r="L709" s="4" t="s">
        <v>44</v>
      </c>
      <c r="M709" s="5" t="s">
        <v>42</v>
      </c>
      <c r="N709" s="4" t="s">
        <v>45</v>
      </c>
      <c r="O709" s="4" t="s">
        <v>46</v>
      </c>
      <c r="P709" s="4" t="s">
        <v>47</v>
      </c>
      <c r="Q709" s="4">
        <v>16451.0</v>
      </c>
      <c r="R709" s="5" t="s">
        <v>4245</v>
      </c>
      <c r="S709" s="8">
        <v>46185.0</v>
      </c>
      <c r="T709" s="9">
        <v>0.375</v>
      </c>
      <c r="U709" s="9">
        <v>0.9166666666666666</v>
      </c>
      <c r="V709" s="4" t="s">
        <v>49</v>
      </c>
      <c r="W709" s="5">
        <v>1.0</v>
      </c>
      <c r="X709" s="5" t="b">
        <v>1</v>
      </c>
      <c r="Y709" s="5" t="s">
        <v>50</v>
      </c>
      <c r="Z709" s="5" t="b">
        <v>0</v>
      </c>
      <c r="AA709" s="10"/>
      <c r="AB709" s="4">
        <v>1.0</v>
      </c>
      <c r="AC709" s="11" t="s">
        <v>4246</v>
      </c>
      <c r="AD709" s="5">
        <v>0.0</v>
      </c>
      <c r="AE709" s="5">
        <v>1.0</v>
      </c>
      <c r="AF709" s="8">
        <v>46185.0</v>
      </c>
      <c r="AG709" s="9">
        <v>0.375</v>
      </c>
      <c r="AH709" s="9">
        <v>0.9166666666666666</v>
      </c>
      <c r="AI709" s="4" t="s">
        <v>49</v>
      </c>
      <c r="AJ709" s="5" t="s">
        <v>4247</v>
      </c>
      <c r="AK709" s="12"/>
      <c r="AL709" s="12"/>
      <c r="AM709" s="12" t="s">
        <v>52</v>
      </c>
      <c r="AN709" s="12"/>
      <c r="AO709" s="12"/>
      <c r="AP709" s="12"/>
      <c r="AQ709" s="12"/>
    </row>
    <row r="710">
      <c r="A710" s="5" t="s">
        <v>4248</v>
      </c>
      <c r="B710" s="5">
        <v>1.1398423E7</v>
      </c>
      <c r="C710" s="5" t="s">
        <v>37</v>
      </c>
      <c r="D710" s="5" t="s">
        <v>4249</v>
      </c>
      <c r="E710" s="5" t="s">
        <v>39</v>
      </c>
      <c r="F710" s="5" t="s">
        <v>1151</v>
      </c>
      <c r="G710" s="15">
        <v>8.1318305911E10</v>
      </c>
      <c r="H710" s="5" t="s">
        <v>1152</v>
      </c>
      <c r="I710" s="5" t="s">
        <v>42</v>
      </c>
      <c r="J710" s="5" t="s">
        <v>43</v>
      </c>
      <c r="K710" s="5">
        <v>8.7733785699E10</v>
      </c>
      <c r="L710" s="4" t="s">
        <v>44</v>
      </c>
      <c r="M710" s="5" t="s">
        <v>42</v>
      </c>
      <c r="N710" s="4" t="s">
        <v>45</v>
      </c>
      <c r="O710" s="4" t="s">
        <v>46</v>
      </c>
      <c r="P710" s="4" t="s">
        <v>47</v>
      </c>
      <c r="Q710" s="4">
        <v>16451.0</v>
      </c>
      <c r="R710" s="5" t="s">
        <v>4250</v>
      </c>
      <c r="S710" s="8">
        <v>46185.0</v>
      </c>
      <c r="T710" s="9">
        <v>0.375</v>
      </c>
      <c r="U710" s="9">
        <v>0.9166666666666666</v>
      </c>
      <c r="V710" s="4" t="s">
        <v>49</v>
      </c>
      <c r="W710" s="5">
        <v>1.0</v>
      </c>
      <c r="X710" s="5" t="b">
        <v>1</v>
      </c>
      <c r="Y710" s="5" t="s">
        <v>50</v>
      </c>
      <c r="Z710" s="5" t="b">
        <v>0</v>
      </c>
      <c r="AA710" s="10"/>
      <c r="AB710" s="4">
        <v>1.0</v>
      </c>
      <c r="AC710" s="11" t="s">
        <v>4251</v>
      </c>
      <c r="AD710" s="5">
        <v>0.0</v>
      </c>
      <c r="AE710" s="5">
        <v>1.0</v>
      </c>
      <c r="AF710" s="8">
        <v>46185.0</v>
      </c>
      <c r="AG710" s="9">
        <v>0.375</v>
      </c>
      <c r="AH710" s="9">
        <v>0.9166666666666666</v>
      </c>
      <c r="AI710" s="4" t="s">
        <v>49</v>
      </c>
      <c r="AJ710" s="5" t="s">
        <v>4252</v>
      </c>
      <c r="AK710" s="12"/>
      <c r="AL710" s="12"/>
      <c r="AM710" s="12" t="s">
        <v>52</v>
      </c>
      <c r="AN710" s="12"/>
      <c r="AO710" s="12"/>
      <c r="AP710" s="12"/>
      <c r="AQ710" s="12"/>
    </row>
    <row r="711">
      <c r="A711" s="5" t="s">
        <v>4253</v>
      </c>
      <c r="B711" s="5">
        <v>1.1398423E7</v>
      </c>
      <c r="C711" s="5" t="s">
        <v>37</v>
      </c>
      <c r="D711" s="5" t="s">
        <v>4254</v>
      </c>
      <c r="E711" s="5" t="s">
        <v>39</v>
      </c>
      <c r="F711" s="5" t="s">
        <v>4177</v>
      </c>
      <c r="G711" s="15">
        <v>8.2297469623E10</v>
      </c>
      <c r="H711" s="5" t="s">
        <v>4178</v>
      </c>
      <c r="I711" s="5" t="s">
        <v>42</v>
      </c>
      <c r="J711" s="5" t="s">
        <v>43</v>
      </c>
      <c r="K711" s="5">
        <v>8.7733785699E10</v>
      </c>
      <c r="L711" s="4" t="s">
        <v>44</v>
      </c>
      <c r="M711" s="5" t="s">
        <v>42</v>
      </c>
      <c r="N711" s="4" t="s">
        <v>45</v>
      </c>
      <c r="O711" s="4" t="s">
        <v>46</v>
      </c>
      <c r="P711" s="4" t="s">
        <v>47</v>
      </c>
      <c r="Q711" s="4">
        <v>16451.0</v>
      </c>
      <c r="R711" s="5" t="s">
        <v>4255</v>
      </c>
      <c r="S711" s="8">
        <v>46185.0</v>
      </c>
      <c r="T711" s="9">
        <v>0.375</v>
      </c>
      <c r="U711" s="9">
        <v>0.9166666666666666</v>
      </c>
      <c r="V711" s="4" t="s">
        <v>49</v>
      </c>
      <c r="W711" s="5">
        <v>1.0</v>
      </c>
      <c r="X711" s="5" t="b">
        <v>1</v>
      </c>
      <c r="Y711" s="5" t="s">
        <v>50</v>
      </c>
      <c r="Z711" s="5" t="b">
        <v>0</v>
      </c>
      <c r="AA711" s="10"/>
      <c r="AB711" s="4">
        <v>1.0</v>
      </c>
      <c r="AC711" s="11" t="s">
        <v>4256</v>
      </c>
      <c r="AD711" s="5">
        <v>0.0</v>
      </c>
      <c r="AE711" s="5">
        <v>1.0</v>
      </c>
      <c r="AF711" s="8">
        <v>46185.0</v>
      </c>
      <c r="AG711" s="9">
        <v>0.375</v>
      </c>
      <c r="AH711" s="9">
        <v>0.9166666666666666</v>
      </c>
      <c r="AI711" s="4" t="s">
        <v>49</v>
      </c>
      <c r="AJ711" s="5" t="s">
        <v>4257</v>
      </c>
      <c r="AK711" s="12"/>
      <c r="AL711" s="12"/>
      <c r="AM711" s="12" t="s">
        <v>52</v>
      </c>
      <c r="AN711" s="12"/>
      <c r="AO711" s="12"/>
      <c r="AP711" s="12"/>
      <c r="AQ711" s="12"/>
    </row>
    <row r="712">
      <c r="A712" s="5" t="s">
        <v>4258</v>
      </c>
      <c r="B712" s="5">
        <v>1.1398423E7</v>
      </c>
      <c r="C712" s="5" t="s">
        <v>37</v>
      </c>
      <c r="D712" s="5" t="s">
        <v>4259</v>
      </c>
      <c r="E712" s="5" t="s">
        <v>39</v>
      </c>
      <c r="F712" s="5" t="s">
        <v>4260</v>
      </c>
      <c r="G712" s="15">
        <v>8.5222036236E10</v>
      </c>
      <c r="H712" s="5" t="s">
        <v>4261</v>
      </c>
      <c r="I712" s="5" t="s">
        <v>42</v>
      </c>
      <c r="J712" s="5" t="s">
        <v>43</v>
      </c>
      <c r="K712" s="5">
        <v>8.7733785699E10</v>
      </c>
      <c r="L712" s="4" t="s">
        <v>44</v>
      </c>
      <c r="M712" s="5" t="s">
        <v>42</v>
      </c>
      <c r="N712" s="4" t="s">
        <v>45</v>
      </c>
      <c r="O712" s="4" t="s">
        <v>46</v>
      </c>
      <c r="P712" s="4" t="s">
        <v>47</v>
      </c>
      <c r="Q712" s="4">
        <v>16451.0</v>
      </c>
      <c r="R712" s="5" t="s">
        <v>4262</v>
      </c>
      <c r="S712" s="8">
        <v>46185.0</v>
      </c>
      <c r="T712" s="9">
        <v>0.375</v>
      </c>
      <c r="U712" s="9">
        <v>0.9166666666666666</v>
      </c>
      <c r="V712" s="4" t="s">
        <v>49</v>
      </c>
      <c r="W712" s="5">
        <v>1.0</v>
      </c>
      <c r="X712" s="5" t="b">
        <v>1</v>
      </c>
      <c r="Y712" s="5" t="s">
        <v>50</v>
      </c>
      <c r="Z712" s="5" t="b">
        <v>0</v>
      </c>
      <c r="AA712" s="10"/>
      <c r="AB712" s="4">
        <v>1.0</v>
      </c>
      <c r="AC712" s="11" t="s">
        <v>4263</v>
      </c>
      <c r="AD712" s="5">
        <v>0.0</v>
      </c>
      <c r="AE712" s="5">
        <v>1.0</v>
      </c>
      <c r="AF712" s="8">
        <v>46185.0</v>
      </c>
      <c r="AG712" s="9">
        <v>0.375</v>
      </c>
      <c r="AH712" s="9">
        <v>0.9166666666666666</v>
      </c>
      <c r="AI712" s="4" t="s">
        <v>49</v>
      </c>
      <c r="AJ712" s="5" t="s">
        <v>4264</v>
      </c>
      <c r="AK712" s="12"/>
      <c r="AL712" s="12"/>
      <c r="AM712" s="12" t="s">
        <v>52</v>
      </c>
      <c r="AN712" s="12"/>
      <c r="AO712" s="12"/>
      <c r="AP712" s="12"/>
      <c r="AQ712" s="12"/>
    </row>
    <row r="713">
      <c r="A713" s="5" t="s">
        <v>4265</v>
      </c>
      <c r="B713" s="5">
        <v>1.1398423E7</v>
      </c>
      <c r="C713" s="5" t="s">
        <v>37</v>
      </c>
      <c r="D713" s="5" t="s">
        <v>4266</v>
      </c>
      <c r="E713" s="5" t="s">
        <v>39</v>
      </c>
      <c r="F713" s="5" t="s">
        <v>4267</v>
      </c>
      <c r="G713" s="15">
        <v>8.2210423531E10</v>
      </c>
      <c r="H713" s="5" t="s">
        <v>4268</v>
      </c>
      <c r="I713" s="5" t="s">
        <v>42</v>
      </c>
      <c r="J713" s="5" t="s">
        <v>43</v>
      </c>
      <c r="K713" s="5">
        <v>8.7733785699E10</v>
      </c>
      <c r="L713" s="4" t="s">
        <v>44</v>
      </c>
      <c r="M713" s="5" t="s">
        <v>42</v>
      </c>
      <c r="N713" s="4" t="s">
        <v>45</v>
      </c>
      <c r="O713" s="4" t="s">
        <v>46</v>
      </c>
      <c r="P713" s="4" t="s">
        <v>47</v>
      </c>
      <c r="Q713" s="4">
        <v>16451.0</v>
      </c>
      <c r="R713" s="5" t="s">
        <v>4269</v>
      </c>
      <c r="S713" s="8">
        <v>46185.0</v>
      </c>
      <c r="T713" s="9">
        <v>0.375</v>
      </c>
      <c r="U713" s="9">
        <v>0.9166666666666666</v>
      </c>
      <c r="V713" s="4" t="s">
        <v>49</v>
      </c>
      <c r="W713" s="5">
        <v>1.0</v>
      </c>
      <c r="X713" s="5" t="b">
        <v>1</v>
      </c>
      <c r="Y713" s="5" t="s">
        <v>50</v>
      </c>
      <c r="Z713" s="5" t="b">
        <v>0</v>
      </c>
      <c r="AA713" s="10"/>
      <c r="AB713" s="4">
        <v>1.0</v>
      </c>
      <c r="AC713" s="11" t="s">
        <v>4270</v>
      </c>
      <c r="AD713" s="5">
        <v>0.0</v>
      </c>
      <c r="AE713" s="5">
        <v>1.0</v>
      </c>
      <c r="AF713" s="8">
        <v>46185.0</v>
      </c>
      <c r="AG713" s="9">
        <v>0.375</v>
      </c>
      <c r="AH713" s="9">
        <v>0.9166666666666666</v>
      </c>
      <c r="AI713" s="4" t="s">
        <v>49</v>
      </c>
      <c r="AJ713" s="5" t="s">
        <v>4271</v>
      </c>
      <c r="AK713" s="12"/>
      <c r="AL713" s="12"/>
      <c r="AM713" s="12" t="s">
        <v>52</v>
      </c>
      <c r="AN713" s="12"/>
      <c r="AO713" s="12"/>
      <c r="AP713" s="12"/>
      <c r="AQ713" s="12"/>
    </row>
    <row r="714">
      <c r="A714" s="5" t="s">
        <v>4272</v>
      </c>
      <c r="B714" s="5">
        <v>1.1398423E7</v>
      </c>
      <c r="C714" s="5" t="s">
        <v>37</v>
      </c>
      <c r="D714" s="5" t="s">
        <v>4273</v>
      </c>
      <c r="E714" s="5" t="s">
        <v>39</v>
      </c>
      <c r="F714" s="5" t="s">
        <v>4274</v>
      </c>
      <c r="G714" s="15">
        <v>8.129629831E10</v>
      </c>
      <c r="H714" s="5" t="s">
        <v>4275</v>
      </c>
      <c r="I714" s="5" t="s">
        <v>42</v>
      </c>
      <c r="J714" s="5" t="s">
        <v>43</v>
      </c>
      <c r="K714" s="5">
        <v>8.7733785699E10</v>
      </c>
      <c r="L714" s="4" t="s">
        <v>44</v>
      </c>
      <c r="M714" s="5" t="s">
        <v>42</v>
      </c>
      <c r="N714" s="4" t="s">
        <v>45</v>
      </c>
      <c r="O714" s="4" t="s">
        <v>46</v>
      </c>
      <c r="P714" s="4" t="s">
        <v>47</v>
      </c>
      <c r="Q714" s="4">
        <v>16451.0</v>
      </c>
      <c r="R714" s="5" t="s">
        <v>4276</v>
      </c>
      <c r="S714" s="8">
        <v>46185.0</v>
      </c>
      <c r="T714" s="9">
        <v>0.375</v>
      </c>
      <c r="U714" s="9">
        <v>0.9166666666666666</v>
      </c>
      <c r="V714" s="4" t="s">
        <v>49</v>
      </c>
      <c r="W714" s="5">
        <v>1.0</v>
      </c>
      <c r="X714" s="5" t="b">
        <v>1</v>
      </c>
      <c r="Y714" s="5" t="s">
        <v>50</v>
      </c>
      <c r="Z714" s="5" t="b">
        <v>0</v>
      </c>
      <c r="AA714" s="10"/>
      <c r="AB714" s="4">
        <v>1.0</v>
      </c>
      <c r="AC714" s="11" t="s">
        <v>4277</v>
      </c>
      <c r="AD714" s="5">
        <v>0.0</v>
      </c>
      <c r="AE714" s="5">
        <v>1.0</v>
      </c>
      <c r="AF714" s="8">
        <v>46185.0</v>
      </c>
      <c r="AG714" s="9">
        <v>0.375</v>
      </c>
      <c r="AH714" s="9">
        <v>0.9166666666666666</v>
      </c>
      <c r="AI714" s="4" t="s">
        <v>49</v>
      </c>
      <c r="AJ714" s="5" t="s">
        <v>4278</v>
      </c>
      <c r="AK714" s="12"/>
      <c r="AL714" s="12"/>
      <c r="AM714" s="12" t="s">
        <v>52</v>
      </c>
      <c r="AN714" s="12"/>
      <c r="AO714" s="12"/>
      <c r="AP714" s="12"/>
      <c r="AQ714" s="12"/>
    </row>
    <row r="715">
      <c r="A715" s="5" t="s">
        <v>4279</v>
      </c>
      <c r="B715" s="5">
        <v>1.1398423E7</v>
      </c>
      <c r="C715" s="5" t="s">
        <v>37</v>
      </c>
      <c r="D715" s="5" t="s">
        <v>4280</v>
      </c>
      <c r="E715" s="5" t="s">
        <v>39</v>
      </c>
      <c r="F715" s="5" t="s">
        <v>2900</v>
      </c>
      <c r="G715" s="15">
        <v>8.1316511464E10</v>
      </c>
      <c r="H715" s="5" t="s">
        <v>2901</v>
      </c>
      <c r="I715" s="5" t="s">
        <v>42</v>
      </c>
      <c r="J715" s="5" t="s">
        <v>43</v>
      </c>
      <c r="K715" s="5">
        <v>8.7733785699E10</v>
      </c>
      <c r="L715" s="4" t="s">
        <v>44</v>
      </c>
      <c r="M715" s="5" t="s">
        <v>42</v>
      </c>
      <c r="N715" s="4" t="s">
        <v>45</v>
      </c>
      <c r="O715" s="4" t="s">
        <v>46</v>
      </c>
      <c r="P715" s="4" t="s">
        <v>47</v>
      </c>
      <c r="Q715" s="4">
        <v>16451.0</v>
      </c>
      <c r="R715" s="5" t="s">
        <v>4281</v>
      </c>
      <c r="S715" s="8">
        <v>46185.0</v>
      </c>
      <c r="T715" s="9">
        <v>0.375</v>
      </c>
      <c r="U715" s="9">
        <v>0.9166666666666666</v>
      </c>
      <c r="V715" s="4" t="s">
        <v>49</v>
      </c>
      <c r="W715" s="5">
        <v>1.0</v>
      </c>
      <c r="X715" s="5" t="b">
        <v>1</v>
      </c>
      <c r="Y715" s="5" t="s">
        <v>50</v>
      </c>
      <c r="Z715" s="5" t="b">
        <v>0</v>
      </c>
      <c r="AA715" s="10"/>
      <c r="AB715" s="4">
        <v>1.0</v>
      </c>
      <c r="AC715" s="11" t="s">
        <v>4282</v>
      </c>
      <c r="AD715" s="5">
        <v>0.0</v>
      </c>
      <c r="AE715" s="5">
        <v>1.0</v>
      </c>
      <c r="AF715" s="8">
        <v>46185.0</v>
      </c>
      <c r="AG715" s="9">
        <v>0.375</v>
      </c>
      <c r="AH715" s="9">
        <v>0.9166666666666666</v>
      </c>
      <c r="AI715" s="4" t="s">
        <v>49</v>
      </c>
      <c r="AJ715" s="5" t="s">
        <v>4283</v>
      </c>
      <c r="AK715" s="12"/>
      <c r="AL715" s="12"/>
      <c r="AM715" s="12" t="s">
        <v>52</v>
      </c>
      <c r="AN715" s="12"/>
      <c r="AO715" s="12"/>
      <c r="AP715" s="12"/>
      <c r="AQ715" s="12"/>
    </row>
    <row r="716">
      <c r="A716" s="5" t="s">
        <v>4284</v>
      </c>
      <c r="B716" s="5">
        <v>1.1398423E7</v>
      </c>
      <c r="C716" s="5" t="s">
        <v>37</v>
      </c>
      <c r="D716" s="5" t="s">
        <v>4285</v>
      </c>
      <c r="E716" s="5" t="s">
        <v>39</v>
      </c>
      <c r="F716" s="5" t="s">
        <v>4286</v>
      </c>
      <c r="G716" s="15">
        <v>8.971410378E9</v>
      </c>
      <c r="H716" s="5" t="s">
        <v>4287</v>
      </c>
      <c r="I716" s="5" t="s">
        <v>42</v>
      </c>
      <c r="J716" s="5" t="s">
        <v>43</v>
      </c>
      <c r="K716" s="5">
        <v>8.7733785699E10</v>
      </c>
      <c r="L716" s="4" t="s">
        <v>44</v>
      </c>
      <c r="M716" s="5" t="s">
        <v>42</v>
      </c>
      <c r="N716" s="4" t="s">
        <v>45</v>
      </c>
      <c r="O716" s="4" t="s">
        <v>46</v>
      </c>
      <c r="P716" s="4" t="s">
        <v>47</v>
      </c>
      <c r="Q716" s="4">
        <v>16451.0</v>
      </c>
      <c r="R716" s="5" t="s">
        <v>4288</v>
      </c>
      <c r="S716" s="8">
        <v>46185.0</v>
      </c>
      <c r="T716" s="9">
        <v>0.375</v>
      </c>
      <c r="U716" s="9">
        <v>0.9166666666666666</v>
      </c>
      <c r="V716" s="4" t="s">
        <v>49</v>
      </c>
      <c r="W716" s="5">
        <v>1.0</v>
      </c>
      <c r="X716" s="5" t="b">
        <v>1</v>
      </c>
      <c r="Y716" s="5" t="s">
        <v>50</v>
      </c>
      <c r="Z716" s="5" t="b">
        <v>0</v>
      </c>
      <c r="AA716" s="10"/>
      <c r="AB716" s="4">
        <v>1.0</v>
      </c>
      <c r="AC716" s="11" t="s">
        <v>4289</v>
      </c>
      <c r="AD716" s="5">
        <v>0.0</v>
      </c>
      <c r="AE716" s="5">
        <v>1.0</v>
      </c>
      <c r="AF716" s="8">
        <v>46185.0</v>
      </c>
      <c r="AG716" s="9">
        <v>0.375</v>
      </c>
      <c r="AH716" s="9">
        <v>0.9166666666666666</v>
      </c>
      <c r="AI716" s="4" t="s">
        <v>49</v>
      </c>
      <c r="AJ716" s="5" t="s">
        <v>4290</v>
      </c>
      <c r="AK716" s="12"/>
      <c r="AL716" s="12"/>
      <c r="AM716" s="12" t="s">
        <v>52</v>
      </c>
      <c r="AN716" s="12"/>
      <c r="AO716" s="12"/>
      <c r="AP716" s="12"/>
      <c r="AQ716" s="12"/>
    </row>
    <row r="717">
      <c r="A717" s="5" t="s">
        <v>4291</v>
      </c>
      <c r="B717" s="5">
        <v>1.1398423E7</v>
      </c>
      <c r="C717" s="5" t="s">
        <v>37</v>
      </c>
      <c r="D717" s="5" t="s">
        <v>4292</v>
      </c>
      <c r="E717" s="5" t="s">
        <v>39</v>
      </c>
      <c r="F717" s="5" t="s">
        <v>4293</v>
      </c>
      <c r="G717" s="15">
        <v>6.28119E17</v>
      </c>
      <c r="H717" s="5" t="s">
        <v>4294</v>
      </c>
      <c r="I717" s="5" t="s">
        <v>42</v>
      </c>
      <c r="J717" s="5" t="s">
        <v>43</v>
      </c>
      <c r="K717" s="5">
        <v>8.7733785699E10</v>
      </c>
      <c r="L717" s="4" t="s">
        <v>44</v>
      </c>
      <c r="M717" s="5" t="s">
        <v>42</v>
      </c>
      <c r="N717" s="4" t="s">
        <v>45</v>
      </c>
      <c r="O717" s="4" t="s">
        <v>46</v>
      </c>
      <c r="P717" s="4" t="s">
        <v>47</v>
      </c>
      <c r="Q717" s="4">
        <v>16451.0</v>
      </c>
      <c r="R717" s="5" t="s">
        <v>4295</v>
      </c>
      <c r="S717" s="8">
        <v>46185.0</v>
      </c>
      <c r="T717" s="9">
        <v>0.375</v>
      </c>
      <c r="U717" s="9">
        <v>0.9166666666666666</v>
      </c>
      <c r="V717" s="4" t="s">
        <v>49</v>
      </c>
      <c r="W717" s="5">
        <v>1.0</v>
      </c>
      <c r="X717" s="5" t="b">
        <v>1</v>
      </c>
      <c r="Y717" s="5" t="s">
        <v>50</v>
      </c>
      <c r="Z717" s="5" t="b">
        <v>0</v>
      </c>
      <c r="AA717" s="10"/>
      <c r="AB717" s="4">
        <v>1.0</v>
      </c>
      <c r="AC717" s="11" t="s">
        <v>4296</v>
      </c>
      <c r="AD717" s="5">
        <v>0.0</v>
      </c>
      <c r="AE717" s="5">
        <v>1.0</v>
      </c>
      <c r="AF717" s="8">
        <v>46185.0</v>
      </c>
      <c r="AG717" s="9">
        <v>0.375</v>
      </c>
      <c r="AH717" s="9">
        <v>0.9166666666666666</v>
      </c>
      <c r="AI717" s="4" t="s">
        <v>49</v>
      </c>
      <c r="AJ717" s="5" t="s">
        <v>4297</v>
      </c>
      <c r="AK717" s="12"/>
      <c r="AL717" s="12"/>
      <c r="AM717" s="12" t="s">
        <v>52</v>
      </c>
      <c r="AN717" s="12"/>
      <c r="AO717" s="12"/>
      <c r="AP717" s="12"/>
      <c r="AQ717" s="12"/>
    </row>
    <row r="718">
      <c r="A718" s="5" t="s">
        <v>4298</v>
      </c>
      <c r="B718" s="5">
        <v>1.1398423E7</v>
      </c>
      <c r="C718" s="5" t="s">
        <v>37</v>
      </c>
      <c r="D718" s="5" t="s">
        <v>4299</v>
      </c>
      <c r="E718" s="5" t="s">
        <v>39</v>
      </c>
      <c r="F718" s="5" t="s">
        <v>1193</v>
      </c>
      <c r="G718" s="15">
        <v>6.28128E17</v>
      </c>
      <c r="H718" s="5" t="s">
        <v>1194</v>
      </c>
      <c r="I718" s="5" t="s">
        <v>42</v>
      </c>
      <c r="J718" s="5" t="s">
        <v>43</v>
      </c>
      <c r="K718" s="5">
        <v>8.7733785699E10</v>
      </c>
      <c r="L718" s="4" t="s">
        <v>44</v>
      </c>
      <c r="M718" s="5" t="s">
        <v>42</v>
      </c>
      <c r="N718" s="4" t="s">
        <v>45</v>
      </c>
      <c r="O718" s="4" t="s">
        <v>46</v>
      </c>
      <c r="P718" s="4" t="s">
        <v>47</v>
      </c>
      <c r="Q718" s="4">
        <v>16451.0</v>
      </c>
      <c r="R718" s="5" t="s">
        <v>4300</v>
      </c>
      <c r="S718" s="8">
        <v>46185.0</v>
      </c>
      <c r="T718" s="9">
        <v>0.375</v>
      </c>
      <c r="U718" s="9">
        <v>0.9166666666666666</v>
      </c>
      <c r="V718" s="4" t="s">
        <v>49</v>
      </c>
      <c r="W718" s="5">
        <v>1.0</v>
      </c>
      <c r="X718" s="5" t="b">
        <v>1</v>
      </c>
      <c r="Y718" s="5" t="s">
        <v>50</v>
      </c>
      <c r="Z718" s="5" t="b">
        <v>0</v>
      </c>
      <c r="AA718" s="10"/>
      <c r="AB718" s="4">
        <v>1.0</v>
      </c>
      <c r="AC718" s="11" t="s">
        <v>4301</v>
      </c>
      <c r="AD718" s="5">
        <v>0.0</v>
      </c>
      <c r="AE718" s="5">
        <v>1.0</v>
      </c>
      <c r="AF718" s="8">
        <v>46185.0</v>
      </c>
      <c r="AG718" s="9">
        <v>0.375</v>
      </c>
      <c r="AH718" s="9">
        <v>0.9166666666666666</v>
      </c>
      <c r="AI718" s="4" t="s">
        <v>49</v>
      </c>
      <c r="AJ718" s="5" t="s">
        <v>4302</v>
      </c>
      <c r="AK718" s="12"/>
      <c r="AL718" s="12"/>
      <c r="AM718" s="12" t="s">
        <v>52</v>
      </c>
      <c r="AN718" s="12"/>
      <c r="AO718" s="12"/>
      <c r="AP718" s="12"/>
      <c r="AQ718" s="12"/>
    </row>
    <row r="719">
      <c r="A719" s="5" t="s">
        <v>4303</v>
      </c>
      <c r="B719" s="5">
        <v>1.1398423E7</v>
      </c>
      <c r="C719" s="5" t="s">
        <v>37</v>
      </c>
      <c r="D719" s="5" t="s">
        <v>4304</v>
      </c>
      <c r="E719" s="5" t="s">
        <v>39</v>
      </c>
      <c r="F719" s="5" t="s">
        <v>1193</v>
      </c>
      <c r="G719" s="15">
        <v>6.28128E17</v>
      </c>
      <c r="H719" s="5" t="s">
        <v>1194</v>
      </c>
      <c r="I719" s="5" t="s">
        <v>42</v>
      </c>
      <c r="J719" s="5" t="s">
        <v>43</v>
      </c>
      <c r="K719" s="5">
        <v>8.7733785699E10</v>
      </c>
      <c r="L719" s="4" t="s">
        <v>44</v>
      </c>
      <c r="M719" s="5" t="s">
        <v>42</v>
      </c>
      <c r="N719" s="4" t="s">
        <v>45</v>
      </c>
      <c r="O719" s="4" t="s">
        <v>46</v>
      </c>
      <c r="P719" s="4" t="s">
        <v>47</v>
      </c>
      <c r="Q719" s="4">
        <v>16451.0</v>
      </c>
      <c r="R719" s="5" t="s">
        <v>4305</v>
      </c>
      <c r="S719" s="8">
        <v>46185.0</v>
      </c>
      <c r="T719" s="9">
        <v>0.375</v>
      </c>
      <c r="U719" s="9">
        <v>0.9166666666666666</v>
      </c>
      <c r="V719" s="4" t="s">
        <v>49</v>
      </c>
      <c r="W719" s="5">
        <v>1.0</v>
      </c>
      <c r="X719" s="5" t="b">
        <v>1</v>
      </c>
      <c r="Y719" s="5" t="s">
        <v>50</v>
      </c>
      <c r="Z719" s="5" t="b">
        <v>0</v>
      </c>
      <c r="AA719" s="10"/>
      <c r="AB719" s="4">
        <v>1.0</v>
      </c>
      <c r="AC719" s="11" t="s">
        <v>4306</v>
      </c>
      <c r="AD719" s="5">
        <v>0.0</v>
      </c>
      <c r="AE719" s="5">
        <v>1.0</v>
      </c>
      <c r="AF719" s="8">
        <v>46185.0</v>
      </c>
      <c r="AG719" s="9">
        <v>0.375</v>
      </c>
      <c r="AH719" s="9">
        <v>0.9166666666666666</v>
      </c>
      <c r="AI719" s="4" t="s">
        <v>49</v>
      </c>
      <c r="AJ719" s="5" t="s">
        <v>4307</v>
      </c>
      <c r="AK719" s="12"/>
      <c r="AL719" s="12"/>
      <c r="AM719" s="12" t="s">
        <v>52</v>
      </c>
      <c r="AN719" s="12"/>
      <c r="AO719" s="12"/>
      <c r="AP719" s="12"/>
      <c r="AQ719" s="12"/>
    </row>
    <row r="720">
      <c r="A720" s="5" t="s">
        <v>4308</v>
      </c>
      <c r="B720" s="5">
        <v>1.1398423E7</v>
      </c>
      <c r="C720" s="5" t="s">
        <v>37</v>
      </c>
      <c r="D720" s="5" t="s">
        <v>4309</v>
      </c>
      <c r="E720" s="5" t="s">
        <v>39</v>
      </c>
      <c r="F720" s="5" t="s">
        <v>4310</v>
      </c>
      <c r="G720" s="15">
        <v>6.28588E17</v>
      </c>
      <c r="H720" s="5" t="s">
        <v>4311</v>
      </c>
      <c r="I720" s="5" t="s">
        <v>42</v>
      </c>
      <c r="J720" s="5" t="s">
        <v>43</v>
      </c>
      <c r="K720" s="5">
        <v>8.7733785699E10</v>
      </c>
      <c r="L720" s="4" t="s">
        <v>44</v>
      </c>
      <c r="M720" s="5" t="s">
        <v>42</v>
      </c>
      <c r="N720" s="4" t="s">
        <v>45</v>
      </c>
      <c r="O720" s="4" t="s">
        <v>46</v>
      </c>
      <c r="P720" s="4" t="s">
        <v>47</v>
      </c>
      <c r="Q720" s="4">
        <v>16451.0</v>
      </c>
      <c r="R720" s="5" t="s">
        <v>4312</v>
      </c>
      <c r="S720" s="8">
        <v>46185.0</v>
      </c>
      <c r="T720" s="9">
        <v>0.375</v>
      </c>
      <c r="U720" s="9">
        <v>0.9166666666666666</v>
      </c>
      <c r="V720" s="4" t="s">
        <v>49</v>
      </c>
      <c r="W720" s="5">
        <v>1.0</v>
      </c>
      <c r="X720" s="5" t="b">
        <v>1</v>
      </c>
      <c r="Y720" s="5" t="s">
        <v>50</v>
      </c>
      <c r="Z720" s="5" t="b">
        <v>0</v>
      </c>
      <c r="AA720" s="10"/>
      <c r="AB720" s="4">
        <v>1.0</v>
      </c>
      <c r="AC720" s="11" t="s">
        <v>4313</v>
      </c>
      <c r="AD720" s="5">
        <v>0.0</v>
      </c>
      <c r="AE720" s="5">
        <v>1.0</v>
      </c>
      <c r="AF720" s="8">
        <v>46185.0</v>
      </c>
      <c r="AG720" s="9">
        <v>0.375</v>
      </c>
      <c r="AH720" s="9">
        <v>0.9166666666666666</v>
      </c>
      <c r="AI720" s="4" t="s">
        <v>49</v>
      </c>
      <c r="AJ720" s="5" t="s">
        <v>4314</v>
      </c>
      <c r="AK720" s="12"/>
      <c r="AL720" s="12"/>
      <c r="AM720" s="12" t="s">
        <v>52</v>
      </c>
      <c r="AN720" s="12"/>
      <c r="AO720" s="12"/>
      <c r="AP720" s="12"/>
      <c r="AQ720" s="12"/>
    </row>
    <row r="721">
      <c r="A721" s="5" t="s">
        <v>4315</v>
      </c>
      <c r="B721" s="5">
        <v>1.1398423E7</v>
      </c>
      <c r="C721" s="5" t="s">
        <v>37</v>
      </c>
      <c r="D721" s="5" t="s">
        <v>4316</v>
      </c>
      <c r="E721" s="5" t="s">
        <v>39</v>
      </c>
      <c r="F721" s="5" t="s">
        <v>330</v>
      </c>
      <c r="G721" s="15">
        <v>6.28138E17</v>
      </c>
      <c r="H721" s="5" t="s">
        <v>331</v>
      </c>
      <c r="I721" s="5" t="s">
        <v>42</v>
      </c>
      <c r="J721" s="5" t="s">
        <v>43</v>
      </c>
      <c r="K721" s="5">
        <v>8.7733785699E10</v>
      </c>
      <c r="L721" s="4" t="s">
        <v>44</v>
      </c>
      <c r="M721" s="5" t="s">
        <v>42</v>
      </c>
      <c r="N721" s="4" t="s">
        <v>45</v>
      </c>
      <c r="O721" s="4" t="s">
        <v>46</v>
      </c>
      <c r="P721" s="4" t="s">
        <v>47</v>
      </c>
      <c r="Q721" s="4">
        <v>16451.0</v>
      </c>
      <c r="R721" s="5" t="s">
        <v>4317</v>
      </c>
      <c r="S721" s="8">
        <v>46185.0</v>
      </c>
      <c r="T721" s="9">
        <v>0.375</v>
      </c>
      <c r="U721" s="9">
        <v>0.9166666666666666</v>
      </c>
      <c r="V721" s="4" t="s">
        <v>49</v>
      </c>
      <c r="W721" s="5">
        <v>1.0</v>
      </c>
      <c r="X721" s="5" t="b">
        <v>1</v>
      </c>
      <c r="Y721" s="5" t="s">
        <v>50</v>
      </c>
      <c r="Z721" s="5" t="b">
        <v>0</v>
      </c>
      <c r="AA721" s="10"/>
      <c r="AB721" s="4">
        <v>1.0</v>
      </c>
      <c r="AC721" s="11" t="s">
        <v>4318</v>
      </c>
      <c r="AD721" s="5">
        <v>0.0</v>
      </c>
      <c r="AE721" s="5">
        <v>1.0</v>
      </c>
      <c r="AF721" s="8">
        <v>46185.0</v>
      </c>
      <c r="AG721" s="9">
        <v>0.375</v>
      </c>
      <c r="AH721" s="9">
        <v>0.9166666666666666</v>
      </c>
      <c r="AI721" s="4" t="s">
        <v>49</v>
      </c>
      <c r="AJ721" s="5" t="s">
        <v>4319</v>
      </c>
      <c r="AK721" s="12"/>
      <c r="AL721" s="12"/>
      <c r="AM721" s="12" t="s">
        <v>52</v>
      </c>
      <c r="AN721" s="12"/>
      <c r="AO721" s="12"/>
      <c r="AP721" s="12"/>
      <c r="AQ721" s="12"/>
    </row>
    <row r="722">
      <c r="A722" s="5" t="s">
        <v>4320</v>
      </c>
      <c r="B722" s="5">
        <v>1.1398423E7</v>
      </c>
      <c r="C722" s="5" t="s">
        <v>37</v>
      </c>
      <c r="D722" s="5" t="s">
        <v>4321</v>
      </c>
      <c r="E722" s="5" t="s">
        <v>39</v>
      </c>
      <c r="F722" s="5" t="s">
        <v>167</v>
      </c>
      <c r="G722" s="15">
        <v>6.28226E17</v>
      </c>
      <c r="H722" s="5" t="s">
        <v>168</v>
      </c>
      <c r="I722" s="5" t="s">
        <v>42</v>
      </c>
      <c r="J722" s="5" t="s">
        <v>43</v>
      </c>
      <c r="K722" s="5">
        <v>8.7733785699E10</v>
      </c>
      <c r="L722" s="4" t="s">
        <v>44</v>
      </c>
      <c r="M722" s="5" t="s">
        <v>42</v>
      </c>
      <c r="N722" s="4" t="s">
        <v>45</v>
      </c>
      <c r="O722" s="4" t="s">
        <v>46</v>
      </c>
      <c r="P722" s="4" t="s">
        <v>47</v>
      </c>
      <c r="Q722" s="4">
        <v>16451.0</v>
      </c>
      <c r="R722" s="5" t="s">
        <v>4322</v>
      </c>
      <c r="S722" s="8">
        <v>46185.0</v>
      </c>
      <c r="T722" s="9">
        <v>0.375</v>
      </c>
      <c r="U722" s="9">
        <v>0.9166666666666666</v>
      </c>
      <c r="V722" s="4" t="s">
        <v>49</v>
      </c>
      <c r="W722" s="5">
        <v>1.0</v>
      </c>
      <c r="X722" s="5" t="b">
        <v>1</v>
      </c>
      <c r="Y722" s="5" t="s">
        <v>50</v>
      </c>
      <c r="Z722" s="5" t="b">
        <v>0</v>
      </c>
      <c r="AA722" s="10"/>
      <c r="AB722" s="4">
        <v>1.0</v>
      </c>
      <c r="AC722" s="11" t="s">
        <v>4323</v>
      </c>
      <c r="AD722" s="5">
        <v>0.0</v>
      </c>
      <c r="AE722" s="5">
        <v>1.0</v>
      </c>
      <c r="AF722" s="8">
        <v>46185.0</v>
      </c>
      <c r="AG722" s="9">
        <v>0.375</v>
      </c>
      <c r="AH722" s="9">
        <v>0.9166666666666666</v>
      </c>
      <c r="AI722" s="4" t="s">
        <v>49</v>
      </c>
      <c r="AJ722" s="5" t="s">
        <v>4324</v>
      </c>
      <c r="AK722" s="12"/>
      <c r="AL722" s="12"/>
      <c r="AM722" s="12" t="s">
        <v>52</v>
      </c>
      <c r="AN722" s="12"/>
      <c r="AO722" s="12"/>
      <c r="AP722" s="12"/>
      <c r="AQ722" s="12"/>
    </row>
    <row r="723">
      <c r="A723" s="5" t="s">
        <v>4325</v>
      </c>
      <c r="B723" s="5">
        <v>1.1398423E7</v>
      </c>
      <c r="C723" s="5" t="s">
        <v>37</v>
      </c>
      <c r="D723" s="5" t="s">
        <v>4326</v>
      </c>
      <c r="E723" s="5" t="s">
        <v>39</v>
      </c>
      <c r="F723" s="5" t="s">
        <v>4327</v>
      </c>
      <c r="G723" s="15">
        <v>2.174633026E9</v>
      </c>
      <c r="H723" s="5" t="s">
        <v>4328</v>
      </c>
      <c r="I723" s="5" t="s">
        <v>42</v>
      </c>
      <c r="J723" s="5" t="s">
        <v>43</v>
      </c>
      <c r="K723" s="5">
        <v>8.7733785699E10</v>
      </c>
      <c r="L723" s="4" t="s">
        <v>44</v>
      </c>
      <c r="M723" s="5" t="s">
        <v>42</v>
      </c>
      <c r="N723" s="4" t="s">
        <v>45</v>
      </c>
      <c r="O723" s="4" t="s">
        <v>46</v>
      </c>
      <c r="P723" s="4" t="s">
        <v>47</v>
      </c>
      <c r="Q723" s="4">
        <v>16451.0</v>
      </c>
      <c r="R723" s="5" t="s">
        <v>4329</v>
      </c>
      <c r="S723" s="8">
        <v>46185.0</v>
      </c>
      <c r="T723" s="9">
        <v>0.375</v>
      </c>
      <c r="U723" s="9">
        <v>0.9166666666666666</v>
      </c>
      <c r="V723" s="4" t="s">
        <v>49</v>
      </c>
      <c r="W723" s="5">
        <v>1.0</v>
      </c>
      <c r="X723" s="5" t="b">
        <v>1</v>
      </c>
      <c r="Y723" s="5" t="s">
        <v>50</v>
      </c>
      <c r="Z723" s="5" t="b">
        <v>0</v>
      </c>
      <c r="AA723" s="10"/>
      <c r="AB723" s="4">
        <v>1.0</v>
      </c>
      <c r="AC723" s="11" t="s">
        <v>4330</v>
      </c>
      <c r="AD723" s="5">
        <v>0.0</v>
      </c>
      <c r="AE723" s="5">
        <v>1.0</v>
      </c>
      <c r="AF723" s="8">
        <v>46185.0</v>
      </c>
      <c r="AG723" s="9">
        <v>0.375</v>
      </c>
      <c r="AH723" s="9">
        <v>0.9166666666666666</v>
      </c>
      <c r="AI723" s="4" t="s">
        <v>49</v>
      </c>
      <c r="AJ723" s="5" t="s">
        <v>4331</v>
      </c>
      <c r="AK723" s="12"/>
      <c r="AL723" s="12"/>
      <c r="AM723" s="12" t="s">
        <v>52</v>
      </c>
      <c r="AN723" s="12"/>
      <c r="AO723" s="12"/>
      <c r="AP723" s="12"/>
      <c r="AQ723" s="12"/>
    </row>
    <row r="724">
      <c r="A724" s="5" t="s">
        <v>4332</v>
      </c>
      <c r="B724" s="5">
        <v>1.1398423E7</v>
      </c>
      <c r="C724" s="5" t="s">
        <v>37</v>
      </c>
      <c r="D724" s="5" t="s">
        <v>4333</v>
      </c>
      <c r="E724" s="5" t="s">
        <v>39</v>
      </c>
      <c r="F724" s="5" t="s">
        <v>4334</v>
      </c>
      <c r="G724" s="15">
        <v>6.2857E16</v>
      </c>
      <c r="H724" s="5" t="s">
        <v>4335</v>
      </c>
      <c r="I724" s="5" t="s">
        <v>42</v>
      </c>
      <c r="J724" s="5" t="s">
        <v>43</v>
      </c>
      <c r="K724" s="5">
        <v>8.7733785699E10</v>
      </c>
      <c r="L724" s="4" t="s">
        <v>44</v>
      </c>
      <c r="M724" s="5" t="s">
        <v>42</v>
      </c>
      <c r="N724" s="4" t="s">
        <v>45</v>
      </c>
      <c r="O724" s="4" t="s">
        <v>46</v>
      </c>
      <c r="P724" s="4" t="s">
        <v>47</v>
      </c>
      <c r="Q724" s="4">
        <v>16451.0</v>
      </c>
      <c r="R724" s="5" t="s">
        <v>4336</v>
      </c>
      <c r="S724" s="8">
        <v>46185.0</v>
      </c>
      <c r="T724" s="9">
        <v>0.375</v>
      </c>
      <c r="U724" s="9">
        <v>0.9166666666666666</v>
      </c>
      <c r="V724" s="4" t="s">
        <v>49</v>
      </c>
      <c r="W724" s="5">
        <v>1.0</v>
      </c>
      <c r="X724" s="5" t="b">
        <v>1</v>
      </c>
      <c r="Y724" s="5" t="s">
        <v>50</v>
      </c>
      <c r="Z724" s="5" t="b">
        <v>0</v>
      </c>
      <c r="AA724" s="10"/>
      <c r="AB724" s="4">
        <v>1.0</v>
      </c>
      <c r="AC724" s="11" t="s">
        <v>4337</v>
      </c>
      <c r="AD724" s="5">
        <v>0.0</v>
      </c>
      <c r="AE724" s="5">
        <v>1.0</v>
      </c>
      <c r="AF724" s="8">
        <v>46185.0</v>
      </c>
      <c r="AG724" s="9">
        <v>0.375</v>
      </c>
      <c r="AH724" s="9">
        <v>0.9166666666666666</v>
      </c>
      <c r="AI724" s="4" t="s">
        <v>49</v>
      </c>
      <c r="AJ724" s="5" t="s">
        <v>4338</v>
      </c>
      <c r="AK724" s="12"/>
      <c r="AL724" s="12"/>
      <c r="AM724" s="12" t="s">
        <v>52</v>
      </c>
      <c r="AN724" s="12"/>
      <c r="AO724" s="12"/>
      <c r="AP724" s="12"/>
      <c r="AQ724" s="12"/>
    </row>
    <row r="725">
      <c r="A725" s="5" t="s">
        <v>4339</v>
      </c>
      <c r="B725" s="5">
        <v>1.1398423E7</v>
      </c>
      <c r="C725" s="5" t="s">
        <v>37</v>
      </c>
      <c r="D725" s="5" t="s">
        <v>4340</v>
      </c>
      <c r="E725" s="5" t="s">
        <v>39</v>
      </c>
      <c r="F725" s="5" t="s">
        <v>2140</v>
      </c>
      <c r="G725" s="15">
        <v>8.5216518363E10</v>
      </c>
      <c r="H725" s="5" t="s">
        <v>2141</v>
      </c>
      <c r="I725" s="5" t="s">
        <v>42</v>
      </c>
      <c r="J725" s="5" t="s">
        <v>43</v>
      </c>
      <c r="K725" s="5">
        <v>8.7733785699E10</v>
      </c>
      <c r="L725" s="4" t="s">
        <v>44</v>
      </c>
      <c r="M725" s="5" t="s">
        <v>42</v>
      </c>
      <c r="N725" s="4" t="s">
        <v>45</v>
      </c>
      <c r="O725" s="4" t="s">
        <v>46</v>
      </c>
      <c r="P725" s="4" t="s">
        <v>47</v>
      </c>
      <c r="Q725" s="4">
        <v>16451.0</v>
      </c>
      <c r="R725" s="5" t="s">
        <v>4341</v>
      </c>
      <c r="S725" s="8">
        <v>46185.0</v>
      </c>
      <c r="T725" s="9">
        <v>0.375</v>
      </c>
      <c r="U725" s="9">
        <v>0.9166666666666666</v>
      </c>
      <c r="V725" s="4" t="s">
        <v>49</v>
      </c>
      <c r="W725" s="5">
        <v>1.0</v>
      </c>
      <c r="X725" s="5" t="b">
        <v>1</v>
      </c>
      <c r="Y725" s="5" t="s">
        <v>50</v>
      </c>
      <c r="Z725" s="5" t="b">
        <v>0</v>
      </c>
      <c r="AA725" s="10"/>
      <c r="AB725" s="4">
        <v>1.0</v>
      </c>
      <c r="AC725" s="11" t="s">
        <v>4342</v>
      </c>
      <c r="AD725" s="5">
        <v>0.0</v>
      </c>
      <c r="AE725" s="5">
        <v>1.0</v>
      </c>
      <c r="AF725" s="8">
        <v>46185.0</v>
      </c>
      <c r="AG725" s="9">
        <v>0.375</v>
      </c>
      <c r="AH725" s="9">
        <v>0.9166666666666666</v>
      </c>
      <c r="AI725" s="4" t="s">
        <v>49</v>
      </c>
      <c r="AJ725" s="5" t="s">
        <v>4343</v>
      </c>
      <c r="AK725" s="12"/>
      <c r="AL725" s="12"/>
      <c r="AM725" s="12" t="s">
        <v>52</v>
      </c>
      <c r="AN725" s="12"/>
      <c r="AO725" s="12"/>
      <c r="AP725" s="12"/>
      <c r="AQ725" s="12"/>
    </row>
    <row r="726">
      <c r="A726" s="5" t="s">
        <v>4344</v>
      </c>
      <c r="B726" s="5">
        <v>1.1398423E7</v>
      </c>
      <c r="C726" s="5" t="s">
        <v>37</v>
      </c>
      <c r="D726" s="5" t="s">
        <v>4345</v>
      </c>
      <c r="E726" s="5" t="s">
        <v>39</v>
      </c>
      <c r="F726" s="5" t="s">
        <v>1363</v>
      </c>
      <c r="G726" s="15">
        <v>6.28217E17</v>
      </c>
      <c r="H726" s="5" t="s">
        <v>1364</v>
      </c>
      <c r="I726" s="5" t="s">
        <v>42</v>
      </c>
      <c r="J726" s="5" t="s">
        <v>43</v>
      </c>
      <c r="K726" s="5">
        <v>8.7733785699E10</v>
      </c>
      <c r="L726" s="4" t="s">
        <v>44</v>
      </c>
      <c r="M726" s="5" t="s">
        <v>42</v>
      </c>
      <c r="N726" s="4" t="s">
        <v>45</v>
      </c>
      <c r="O726" s="4" t="s">
        <v>46</v>
      </c>
      <c r="P726" s="4" t="s">
        <v>47</v>
      </c>
      <c r="Q726" s="4">
        <v>16451.0</v>
      </c>
      <c r="R726" s="5" t="s">
        <v>4346</v>
      </c>
      <c r="S726" s="8">
        <v>46185.0</v>
      </c>
      <c r="T726" s="9">
        <v>0.375</v>
      </c>
      <c r="U726" s="9">
        <v>0.9166666666666666</v>
      </c>
      <c r="V726" s="4" t="s">
        <v>49</v>
      </c>
      <c r="W726" s="5">
        <v>1.0</v>
      </c>
      <c r="X726" s="5" t="b">
        <v>1</v>
      </c>
      <c r="Y726" s="5" t="s">
        <v>50</v>
      </c>
      <c r="Z726" s="5" t="b">
        <v>0</v>
      </c>
      <c r="AA726" s="10"/>
      <c r="AB726" s="4">
        <v>1.0</v>
      </c>
      <c r="AC726" s="11" t="s">
        <v>4347</v>
      </c>
      <c r="AD726" s="5">
        <v>0.0</v>
      </c>
      <c r="AE726" s="5">
        <v>1.0</v>
      </c>
      <c r="AF726" s="8">
        <v>46185.0</v>
      </c>
      <c r="AG726" s="9">
        <v>0.375</v>
      </c>
      <c r="AH726" s="9">
        <v>0.9166666666666666</v>
      </c>
      <c r="AI726" s="4" t="s">
        <v>49</v>
      </c>
      <c r="AJ726" s="5" t="s">
        <v>4348</v>
      </c>
      <c r="AK726" s="12"/>
      <c r="AL726" s="12"/>
      <c r="AM726" s="12" t="s">
        <v>52</v>
      </c>
      <c r="AN726" s="12"/>
      <c r="AO726" s="12"/>
      <c r="AP726" s="12"/>
      <c r="AQ726" s="12"/>
    </row>
    <row r="727">
      <c r="A727" s="5" t="s">
        <v>4349</v>
      </c>
      <c r="B727" s="5">
        <v>1.1398423E7</v>
      </c>
      <c r="C727" s="5" t="s">
        <v>37</v>
      </c>
      <c r="D727" s="5" t="s">
        <v>4350</v>
      </c>
      <c r="E727" s="5" t="s">
        <v>39</v>
      </c>
      <c r="F727" s="5" t="s">
        <v>4351</v>
      </c>
      <c r="G727" s="15">
        <v>6.28953E17</v>
      </c>
      <c r="H727" s="5" t="s">
        <v>4352</v>
      </c>
      <c r="I727" s="5" t="s">
        <v>42</v>
      </c>
      <c r="J727" s="5" t="s">
        <v>43</v>
      </c>
      <c r="K727" s="5">
        <v>8.7733785699E10</v>
      </c>
      <c r="L727" s="4" t="s">
        <v>44</v>
      </c>
      <c r="M727" s="5" t="s">
        <v>42</v>
      </c>
      <c r="N727" s="4" t="s">
        <v>45</v>
      </c>
      <c r="O727" s="4" t="s">
        <v>46</v>
      </c>
      <c r="P727" s="4" t="s">
        <v>47</v>
      </c>
      <c r="Q727" s="4">
        <v>16451.0</v>
      </c>
      <c r="R727" s="5" t="s">
        <v>4353</v>
      </c>
      <c r="S727" s="8">
        <v>46185.0</v>
      </c>
      <c r="T727" s="9">
        <v>0.375</v>
      </c>
      <c r="U727" s="9">
        <v>0.9166666666666666</v>
      </c>
      <c r="V727" s="4" t="s">
        <v>49</v>
      </c>
      <c r="W727" s="5">
        <v>1.0</v>
      </c>
      <c r="X727" s="5" t="b">
        <v>1</v>
      </c>
      <c r="Y727" s="5" t="s">
        <v>50</v>
      </c>
      <c r="Z727" s="5" t="b">
        <v>0</v>
      </c>
      <c r="AA727" s="10"/>
      <c r="AB727" s="4">
        <v>1.0</v>
      </c>
      <c r="AC727" s="11" t="s">
        <v>4354</v>
      </c>
      <c r="AD727" s="5">
        <v>0.0</v>
      </c>
      <c r="AE727" s="5">
        <v>1.0</v>
      </c>
      <c r="AF727" s="8">
        <v>46185.0</v>
      </c>
      <c r="AG727" s="9">
        <v>0.375</v>
      </c>
      <c r="AH727" s="9">
        <v>0.9166666666666666</v>
      </c>
      <c r="AI727" s="4" t="s">
        <v>49</v>
      </c>
      <c r="AJ727" s="5" t="s">
        <v>4355</v>
      </c>
      <c r="AK727" s="12"/>
      <c r="AL727" s="12"/>
      <c r="AM727" s="12" t="s">
        <v>52</v>
      </c>
      <c r="AN727" s="12"/>
      <c r="AO727" s="12"/>
      <c r="AP727" s="12"/>
      <c r="AQ727" s="12"/>
    </row>
    <row r="728">
      <c r="A728" s="5" t="s">
        <v>4356</v>
      </c>
      <c r="B728" s="5">
        <v>1.1398423E7</v>
      </c>
      <c r="C728" s="5" t="s">
        <v>37</v>
      </c>
      <c r="D728" s="5" t="s">
        <v>4357</v>
      </c>
      <c r="E728" s="5" t="s">
        <v>39</v>
      </c>
      <c r="F728" s="5" t="s">
        <v>252</v>
      </c>
      <c r="G728" s="15">
        <v>6.28121E17</v>
      </c>
      <c r="H728" s="5" t="s">
        <v>253</v>
      </c>
      <c r="I728" s="5" t="s">
        <v>42</v>
      </c>
      <c r="J728" s="5" t="s">
        <v>43</v>
      </c>
      <c r="K728" s="5">
        <v>8.7733785699E10</v>
      </c>
      <c r="L728" s="4" t="s">
        <v>44</v>
      </c>
      <c r="M728" s="5" t="s">
        <v>42</v>
      </c>
      <c r="N728" s="4" t="s">
        <v>45</v>
      </c>
      <c r="O728" s="4" t="s">
        <v>46</v>
      </c>
      <c r="P728" s="4" t="s">
        <v>47</v>
      </c>
      <c r="Q728" s="4">
        <v>16451.0</v>
      </c>
      <c r="R728" s="5" t="s">
        <v>4358</v>
      </c>
      <c r="S728" s="8">
        <v>46185.0</v>
      </c>
      <c r="T728" s="9">
        <v>0.375</v>
      </c>
      <c r="U728" s="9">
        <v>0.9166666666666666</v>
      </c>
      <c r="V728" s="4" t="s">
        <v>49</v>
      </c>
      <c r="W728" s="5">
        <v>1.0</v>
      </c>
      <c r="X728" s="5" t="b">
        <v>1</v>
      </c>
      <c r="Y728" s="5" t="s">
        <v>50</v>
      </c>
      <c r="Z728" s="5" t="b">
        <v>0</v>
      </c>
      <c r="AA728" s="10"/>
      <c r="AB728" s="4">
        <v>1.0</v>
      </c>
      <c r="AC728" s="11" t="s">
        <v>4359</v>
      </c>
      <c r="AD728" s="5">
        <v>0.0</v>
      </c>
      <c r="AE728" s="5">
        <v>1.0</v>
      </c>
      <c r="AF728" s="8">
        <v>46185.0</v>
      </c>
      <c r="AG728" s="9">
        <v>0.375</v>
      </c>
      <c r="AH728" s="9">
        <v>0.9166666666666666</v>
      </c>
      <c r="AI728" s="4" t="s">
        <v>49</v>
      </c>
      <c r="AJ728" s="5" t="s">
        <v>4360</v>
      </c>
      <c r="AK728" s="12"/>
      <c r="AL728" s="12"/>
      <c r="AM728" s="12" t="s">
        <v>52</v>
      </c>
      <c r="AN728" s="12"/>
      <c r="AO728" s="12"/>
      <c r="AP728" s="12"/>
      <c r="AQ728" s="12"/>
    </row>
    <row r="729">
      <c r="A729" s="5" t="s">
        <v>4361</v>
      </c>
      <c r="B729" s="5">
        <v>1.1398423E7</v>
      </c>
      <c r="C729" s="5" t="s">
        <v>37</v>
      </c>
      <c r="D729" s="5" t="s">
        <v>4362</v>
      </c>
      <c r="E729" s="5" t="s">
        <v>39</v>
      </c>
      <c r="F729" s="5" t="s">
        <v>161</v>
      </c>
      <c r="G729" s="15">
        <v>6.28138E17</v>
      </c>
      <c r="H729" s="5" t="s">
        <v>162</v>
      </c>
      <c r="I729" s="5" t="s">
        <v>42</v>
      </c>
      <c r="J729" s="5" t="s">
        <v>43</v>
      </c>
      <c r="K729" s="5">
        <v>8.7733785699E10</v>
      </c>
      <c r="L729" s="4" t="s">
        <v>44</v>
      </c>
      <c r="M729" s="5" t="s">
        <v>42</v>
      </c>
      <c r="N729" s="4" t="s">
        <v>45</v>
      </c>
      <c r="O729" s="4" t="s">
        <v>46</v>
      </c>
      <c r="P729" s="4" t="s">
        <v>47</v>
      </c>
      <c r="Q729" s="4">
        <v>16451.0</v>
      </c>
      <c r="R729" s="5" t="s">
        <v>4363</v>
      </c>
      <c r="S729" s="8">
        <v>46185.0</v>
      </c>
      <c r="T729" s="9">
        <v>0.375</v>
      </c>
      <c r="U729" s="9">
        <v>0.9166666666666666</v>
      </c>
      <c r="V729" s="4" t="s">
        <v>49</v>
      </c>
      <c r="W729" s="5">
        <v>1.0</v>
      </c>
      <c r="X729" s="5" t="b">
        <v>1</v>
      </c>
      <c r="Y729" s="5" t="s">
        <v>50</v>
      </c>
      <c r="Z729" s="5" t="b">
        <v>0</v>
      </c>
      <c r="AA729" s="10"/>
      <c r="AB729" s="4">
        <v>1.0</v>
      </c>
      <c r="AC729" s="11" t="s">
        <v>4364</v>
      </c>
      <c r="AD729" s="5">
        <v>0.0</v>
      </c>
      <c r="AE729" s="5">
        <v>1.0</v>
      </c>
      <c r="AF729" s="8">
        <v>46185.0</v>
      </c>
      <c r="AG729" s="9">
        <v>0.375</v>
      </c>
      <c r="AH729" s="9">
        <v>0.9166666666666666</v>
      </c>
      <c r="AI729" s="4" t="s">
        <v>49</v>
      </c>
      <c r="AJ729" s="5" t="s">
        <v>4365</v>
      </c>
      <c r="AK729" s="12"/>
      <c r="AL729" s="12"/>
      <c r="AM729" s="12" t="s">
        <v>52</v>
      </c>
      <c r="AN729" s="12"/>
      <c r="AO729" s="12"/>
      <c r="AP729" s="12"/>
      <c r="AQ729" s="12"/>
    </row>
    <row r="730">
      <c r="A730" s="5" t="s">
        <v>4366</v>
      </c>
      <c r="B730" s="5">
        <v>1.1398423E7</v>
      </c>
      <c r="C730" s="5" t="s">
        <v>37</v>
      </c>
      <c r="D730" s="5" t="s">
        <v>4367</v>
      </c>
      <c r="E730" s="5" t="s">
        <v>39</v>
      </c>
      <c r="F730" s="5" t="s">
        <v>1870</v>
      </c>
      <c r="G730" s="15">
        <v>2.15703335E8</v>
      </c>
      <c r="H730" s="5" t="s">
        <v>1871</v>
      </c>
      <c r="I730" s="5" t="s">
        <v>42</v>
      </c>
      <c r="J730" s="5" t="s">
        <v>43</v>
      </c>
      <c r="K730" s="5">
        <v>8.7733785699E10</v>
      </c>
      <c r="L730" s="4" t="s">
        <v>44</v>
      </c>
      <c r="M730" s="5" t="s">
        <v>42</v>
      </c>
      <c r="N730" s="4" t="s">
        <v>45</v>
      </c>
      <c r="O730" s="4" t="s">
        <v>46</v>
      </c>
      <c r="P730" s="4" t="s">
        <v>47</v>
      </c>
      <c r="Q730" s="4">
        <v>16451.0</v>
      </c>
      <c r="R730" s="5" t="s">
        <v>4368</v>
      </c>
      <c r="S730" s="8">
        <v>46185.0</v>
      </c>
      <c r="T730" s="9">
        <v>0.375</v>
      </c>
      <c r="U730" s="9">
        <v>0.9166666666666666</v>
      </c>
      <c r="V730" s="4" t="s">
        <v>49</v>
      </c>
      <c r="W730" s="5">
        <v>1.0</v>
      </c>
      <c r="X730" s="5" t="b">
        <v>1</v>
      </c>
      <c r="Y730" s="5" t="s">
        <v>50</v>
      </c>
      <c r="Z730" s="5" t="b">
        <v>0</v>
      </c>
      <c r="AA730" s="10"/>
      <c r="AB730" s="4">
        <v>1.0</v>
      </c>
      <c r="AC730" s="11" t="s">
        <v>4369</v>
      </c>
      <c r="AD730" s="5">
        <v>0.0</v>
      </c>
      <c r="AE730" s="5">
        <v>1.0</v>
      </c>
      <c r="AF730" s="8">
        <v>46185.0</v>
      </c>
      <c r="AG730" s="9">
        <v>0.375</v>
      </c>
      <c r="AH730" s="9">
        <v>0.9166666666666666</v>
      </c>
      <c r="AI730" s="4" t="s">
        <v>49</v>
      </c>
      <c r="AJ730" s="5" t="s">
        <v>4370</v>
      </c>
      <c r="AK730" s="12"/>
      <c r="AL730" s="12"/>
      <c r="AM730" s="12" t="s">
        <v>52</v>
      </c>
      <c r="AN730" s="12"/>
      <c r="AO730" s="12"/>
      <c r="AP730" s="12"/>
      <c r="AQ730" s="12"/>
    </row>
    <row r="731">
      <c r="A731" s="5" t="s">
        <v>4371</v>
      </c>
      <c r="B731" s="5">
        <v>1.1398423E7</v>
      </c>
      <c r="C731" s="5" t="s">
        <v>37</v>
      </c>
      <c r="D731" s="5" t="s">
        <v>4372</v>
      </c>
      <c r="E731" s="5" t="s">
        <v>39</v>
      </c>
      <c r="F731" s="5" t="s">
        <v>1654</v>
      </c>
      <c r="G731" s="15">
        <v>8.5703465396E10</v>
      </c>
      <c r="H731" s="5" t="s">
        <v>1655</v>
      </c>
      <c r="I731" s="5" t="s">
        <v>42</v>
      </c>
      <c r="J731" s="5" t="s">
        <v>43</v>
      </c>
      <c r="K731" s="5">
        <v>8.7733785699E10</v>
      </c>
      <c r="L731" s="4" t="s">
        <v>44</v>
      </c>
      <c r="M731" s="5" t="s">
        <v>42</v>
      </c>
      <c r="N731" s="4" t="s">
        <v>45</v>
      </c>
      <c r="O731" s="4" t="s">
        <v>46</v>
      </c>
      <c r="P731" s="4" t="s">
        <v>47</v>
      </c>
      <c r="Q731" s="4">
        <v>16451.0</v>
      </c>
      <c r="R731" s="5" t="s">
        <v>4373</v>
      </c>
      <c r="S731" s="8">
        <v>46185.0</v>
      </c>
      <c r="T731" s="9">
        <v>0.375</v>
      </c>
      <c r="U731" s="9">
        <v>0.9166666666666666</v>
      </c>
      <c r="V731" s="4" t="s">
        <v>49</v>
      </c>
      <c r="W731" s="5">
        <v>1.0</v>
      </c>
      <c r="X731" s="5" t="b">
        <v>1</v>
      </c>
      <c r="Y731" s="5" t="s">
        <v>50</v>
      </c>
      <c r="Z731" s="5" t="b">
        <v>0</v>
      </c>
      <c r="AA731" s="10"/>
      <c r="AB731" s="4">
        <v>1.0</v>
      </c>
      <c r="AC731" s="11" t="s">
        <v>4374</v>
      </c>
      <c r="AD731" s="5">
        <v>0.0</v>
      </c>
      <c r="AE731" s="5">
        <v>1.0</v>
      </c>
      <c r="AF731" s="8">
        <v>46185.0</v>
      </c>
      <c r="AG731" s="9">
        <v>0.375</v>
      </c>
      <c r="AH731" s="9">
        <v>0.9166666666666666</v>
      </c>
      <c r="AI731" s="4" t="s">
        <v>49</v>
      </c>
      <c r="AJ731" s="5" t="s">
        <v>4375</v>
      </c>
      <c r="AK731" s="12"/>
      <c r="AL731" s="12"/>
      <c r="AM731" s="12" t="s">
        <v>52</v>
      </c>
      <c r="AN731" s="12"/>
      <c r="AO731" s="12"/>
      <c r="AP731" s="12"/>
      <c r="AQ731" s="12"/>
    </row>
    <row r="732">
      <c r="A732" s="5" t="s">
        <v>4376</v>
      </c>
      <c r="B732" s="5">
        <v>1.1398423E7</v>
      </c>
      <c r="C732" s="5" t="s">
        <v>37</v>
      </c>
      <c r="D732" s="5" t="s">
        <v>4377</v>
      </c>
      <c r="E732" s="5" t="s">
        <v>39</v>
      </c>
      <c r="F732" s="5" t="s">
        <v>4378</v>
      </c>
      <c r="G732" s="15">
        <v>8.95411E16</v>
      </c>
      <c r="H732" s="5" t="s">
        <v>4379</v>
      </c>
      <c r="I732" s="5" t="s">
        <v>42</v>
      </c>
      <c r="J732" s="5" t="s">
        <v>43</v>
      </c>
      <c r="K732" s="5">
        <v>8.7733785699E10</v>
      </c>
      <c r="L732" s="4" t="s">
        <v>44</v>
      </c>
      <c r="M732" s="5" t="s">
        <v>42</v>
      </c>
      <c r="N732" s="4" t="s">
        <v>45</v>
      </c>
      <c r="O732" s="4" t="s">
        <v>46</v>
      </c>
      <c r="P732" s="4" t="s">
        <v>47</v>
      </c>
      <c r="Q732" s="4">
        <v>16451.0</v>
      </c>
      <c r="R732" s="5" t="s">
        <v>4380</v>
      </c>
      <c r="S732" s="8">
        <v>46185.0</v>
      </c>
      <c r="T732" s="9">
        <v>0.375</v>
      </c>
      <c r="U732" s="9">
        <v>0.9166666666666666</v>
      </c>
      <c r="V732" s="4" t="s">
        <v>49</v>
      </c>
      <c r="W732" s="5">
        <v>1.0</v>
      </c>
      <c r="X732" s="5" t="b">
        <v>1</v>
      </c>
      <c r="Y732" s="5" t="s">
        <v>50</v>
      </c>
      <c r="Z732" s="5" t="b">
        <v>0</v>
      </c>
      <c r="AA732" s="10"/>
      <c r="AB732" s="4">
        <v>1.0</v>
      </c>
      <c r="AC732" s="11" t="s">
        <v>4381</v>
      </c>
      <c r="AD732" s="5">
        <v>0.0</v>
      </c>
      <c r="AE732" s="5">
        <v>1.0</v>
      </c>
      <c r="AF732" s="8">
        <v>46185.0</v>
      </c>
      <c r="AG732" s="9">
        <v>0.375</v>
      </c>
      <c r="AH732" s="9">
        <v>0.9166666666666666</v>
      </c>
      <c r="AI732" s="4" t="s">
        <v>49</v>
      </c>
      <c r="AJ732" s="5" t="s">
        <v>4382</v>
      </c>
      <c r="AK732" s="12"/>
      <c r="AL732" s="12"/>
      <c r="AM732" s="12" t="s">
        <v>52</v>
      </c>
      <c r="AN732" s="12"/>
      <c r="AO732" s="12"/>
      <c r="AP732" s="12"/>
      <c r="AQ732" s="12"/>
    </row>
    <row r="733">
      <c r="A733" s="5" t="s">
        <v>4383</v>
      </c>
      <c r="B733" s="5">
        <v>1.1398423E7</v>
      </c>
      <c r="C733" s="5" t="s">
        <v>37</v>
      </c>
      <c r="D733" s="5" t="s">
        <v>4384</v>
      </c>
      <c r="E733" s="5" t="s">
        <v>39</v>
      </c>
      <c r="F733" s="5" t="s">
        <v>4385</v>
      </c>
      <c r="G733" s="15">
        <v>6.2814E16</v>
      </c>
      <c r="H733" s="5" t="s">
        <v>4386</v>
      </c>
      <c r="I733" s="5" t="s">
        <v>42</v>
      </c>
      <c r="J733" s="5" t="s">
        <v>43</v>
      </c>
      <c r="K733" s="5">
        <v>8.7733785699E10</v>
      </c>
      <c r="L733" s="4" t="s">
        <v>44</v>
      </c>
      <c r="M733" s="5" t="s">
        <v>42</v>
      </c>
      <c r="N733" s="4" t="s">
        <v>45</v>
      </c>
      <c r="O733" s="4" t="s">
        <v>46</v>
      </c>
      <c r="P733" s="4" t="s">
        <v>47</v>
      </c>
      <c r="Q733" s="4">
        <v>16451.0</v>
      </c>
      <c r="R733" s="5" t="s">
        <v>4387</v>
      </c>
      <c r="S733" s="8">
        <v>46186.0</v>
      </c>
      <c r="T733" s="9">
        <v>0.375</v>
      </c>
      <c r="U733" s="9">
        <v>0.9166666666666666</v>
      </c>
      <c r="V733" s="4" t="s">
        <v>49</v>
      </c>
      <c r="W733" s="5">
        <v>1.0</v>
      </c>
      <c r="X733" s="5" t="b">
        <v>1</v>
      </c>
      <c r="Y733" s="5" t="s">
        <v>50</v>
      </c>
      <c r="Z733" s="5" t="b">
        <v>0</v>
      </c>
      <c r="AA733" s="10"/>
      <c r="AB733" s="4">
        <v>1.0</v>
      </c>
      <c r="AC733" s="11" t="s">
        <v>4388</v>
      </c>
      <c r="AD733" s="5">
        <v>0.0</v>
      </c>
      <c r="AE733" s="5">
        <v>1.0</v>
      </c>
      <c r="AF733" s="8">
        <v>46186.0</v>
      </c>
      <c r="AG733" s="9">
        <v>0.375</v>
      </c>
      <c r="AH733" s="9">
        <v>0.9166666666666666</v>
      </c>
      <c r="AI733" s="4" t="s">
        <v>49</v>
      </c>
      <c r="AJ733" s="5" t="s">
        <v>4389</v>
      </c>
      <c r="AK733" s="12"/>
      <c r="AL733" s="12"/>
      <c r="AM733" s="12"/>
      <c r="AN733" s="12"/>
      <c r="AO733" s="12"/>
      <c r="AP733" s="12"/>
      <c r="AQ733" s="12"/>
    </row>
    <row r="734">
      <c r="A734" s="5" t="s">
        <v>4390</v>
      </c>
      <c r="B734" s="5">
        <v>1.1398423E7</v>
      </c>
      <c r="C734" s="5" t="s">
        <v>37</v>
      </c>
      <c r="D734" s="5" t="s">
        <v>4391</v>
      </c>
      <c r="E734" s="5" t="s">
        <v>39</v>
      </c>
      <c r="F734" s="5" t="s">
        <v>4392</v>
      </c>
      <c r="G734" s="15">
        <v>8.9656440136E10</v>
      </c>
      <c r="H734" s="5" t="s">
        <v>4393</v>
      </c>
      <c r="I734" s="5" t="s">
        <v>42</v>
      </c>
      <c r="J734" s="5" t="s">
        <v>43</v>
      </c>
      <c r="K734" s="5">
        <v>8.7733785699E10</v>
      </c>
      <c r="L734" s="4" t="s">
        <v>44</v>
      </c>
      <c r="M734" s="5" t="s">
        <v>42</v>
      </c>
      <c r="N734" s="4" t="s">
        <v>45</v>
      </c>
      <c r="O734" s="4" t="s">
        <v>46</v>
      </c>
      <c r="P734" s="4" t="s">
        <v>47</v>
      </c>
      <c r="Q734" s="4">
        <v>16451.0</v>
      </c>
      <c r="R734" s="5" t="s">
        <v>4394</v>
      </c>
      <c r="S734" s="8">
        <v>46186.0</v>
      </c>
      <c r="T734" s="9">
        <v>0.375</v>
      </c>
      <c r="U734" s="9">
        <v>0.9166666666666666</v>
      </c>
      <c r="V734" s="4" t="s">
        <v>49</v>
      </c>
      <c r="W734" s="5">
        <v>1.0</v>
      </c>
      <c r="X734" s="5" t="b">
        <v>1</v>
      </c>
      <c r="Y734" s="5" t="s">
        <v>50</v>
      </c>
      <c r="Z734" s="5" t="b">
        <v>0</v>
      </c>
      <c r="AA734" s="10"/>
      <c r="AB734" s="4">
        <v>1.0</v>
      </c>
      <c r="AC734" s="11" t="s">
        <v>4395</v>
      </c>
      <c r="AD734" s="5">
        <v>0.0</v>
      </c>
      <c r="AE734" s="5">
        <v>1.0</v>
      </c>
      <c r="AF734" s="8">
        <v>46186.0</v>
      </c>
      <c r="AG734" s="9">
        <v>0.375</v>
      </c>
      <c r="AH734" s="9">
        <v>0.9166666666666666</v>
      </c>
      <c r="AI734" s="4" t="s">
        <v>49</v>
      </c>
      <c r="AJ734" s="5" t="s">
        <v>4396</v>
      </c>
      <c r="AK734" s="12"/>
      <c r="AL734" s="12"/>
      <c r="AM734" s="12"/>
      <c r="AN734" s="12"/>
      <c r="AO734" s="12"/>
      <c r="AP734" s="12"/>
      <c r="AQ734" s="12"/>
    </row>
    <row r="735">
      <c r="A735" s="5" t="s">
        <v>4397</v>
      </c>
      <c r="B735" s="5">
        <v>1.1398423E7</v>
      </c>
      <c r="C735" s="5" t="s">
        <v>37</v>
      </c>
      <c r="D735" s="5" t="s">
        <v>4398</v>
      </c>
      <c r="E735" s="5" t="s">
        <v>39</v>
      </c>
      <c r="F735" s="5" t="s">
        <v>4399</v>
      </c>
      <c r="G735" s="15">
        <v>8.1380649551E10</v>
      </c>
      <c r="H735" s="5" t="s">
        <v>4400</v>
      </c>
      <c r="I735" s="5" t="s">
        <v>42</v>
      </c>
      <c r="J735" s="5" t="s">
        <v>43</v>
      </c>
      <c r="K735" s="5">
        <v>8.7733785699E10</v>
      </c>
      <c r="L735" s="4" t="s">
        <v>44</v>
      </c>
      <c r="M735" s="5" t="s">
        <v>42</v>
      </c>
      <c r="N735" s="4" t="s">
        <v>45</v>
      </c>
      <c r="O735" s="4" t="s">
        <v>46</v>
      </c>
      <c r="P735" s="4" t="s">
        <v>47</v>
      </c>
      <c r="Q735" s="4">
        <v>16451.0</v>
      </c>
      <c r="R735" s="5" t="s">
        <v>4401</v>
      </c>
      <c r="S735" s="8">
        <v>46186.0</v>
      </c>
      <c r="T735" s="9">
        <v>0.375</v>
      </c>
      <c r="U735" s="9">
        <v>0.9166666666666666</v>
      </c>
      <c r="V735" s="4" t="s">
        <v>49</v>
      </c>
      <c r="W735" s="5">
        <v>1.0</v>
      </c>
      <c r="X735" s="5" t="b">
        <v>1</v>
      </c>
      <c r="Y735" s="5" t="s">
        <v>50</v>
      </c>
      <c r="Z735" s="5" t="b">
        <v>0</v>
      </c>
      <c r="AA735" s="10"/>
      <c r="AB735" s="4">
        <v>1.0</v>
      </c>
      <c r="AC735" s="11" t="s">
        <v>4402</v>
      </c>
      <c r="AD735" s="5">
        <v>0.0</v>
      </c>
      <c r="AE735" s="5">
        <v>1.0</v>
      </c>
      <c r="AF735" s="8">
        <v>46186.0</v>
      </c>
      <c r="AG735" s="9">
        <v>0.375</v>
      </c>
      <c r="AH735" s="9">
        <v>0.9166666666666666</v>
      </c>
      <c r="AI735" s="4" t="s">
        <v>49</v>
      </c>
      <c r="AJ735" s="5" t="s">
        <v>4403</v>
      </c>
      <c r="AK735" s="12"/>
      <c r="AL735" s="12"/>
      <c r="AM735" s="12"/>
      <c r="AN735" s="12"/>
      <c r="AO735" s="12"/>
      <c r="AP735" s="12"/>
      <c r="AQ735" s="12"/>
    </row>
    <row r="736">
      <c r="A736" s="5" t="s">
        <v>4404</v>
      </c>
      <c r="B736" s="5">
        <v>1.1398423E7</v>
      </c>
      <c r="C736" s="5" t="s">
        <v>37</v>
      </c>
      <c r="D736" s="5" t="s">
        <v>4405</v>
      </c>
      <c r="E736" s="5" t="s">
        <v>39</v>
      </c>
      <c r="F736" s="5" t="s">
        <v>4406</v>
      </c>
      <c r="G736" s="15">
        <v>6.28127E16</v>
      </c>
      <c r="H736" s="5" t="s">
        <v>4407</v>
      </c>
      <c r="I736" s="5" t="s">
        <v>42</v>
      </c>
      <c r="J736" s="5" t="s">
        <v>43</v>
      </c>
      <c r="K736" s="5">
        <v>8.7733785699E10</v>
      </c>
      <c r="L736" s="4" t="s">
        <v>44</v>
      </c>
      <c r="M736" s="5" t="s">
        <v>42</v>
      </c>
      <c r="N736" s="4" t="s">
        <v>45</v>
      </c>
      <c r="O736" s="4" t="s">
        <v>46</v>
      </c>
      <c r="P736" s="4" t="s">
        <v>47</v>
      </c>
      <c r="Q736" s="4">
        <v>16451.0</v>
      </c>
      <c r="R736" s="5" t="s">
        <v>4408</v>
      </c>
      <c r="S736" s="8">
        <v>46186.0</v>
      </c>
      <c r="T736" s="9">
        <v>0.375</v>
      </c>
      <c r="U736" s="9">
        <v>0.9166666666666666</v>
      </c>
      <c r="V736" s="4" t="s">
        <v>49</v>
      </c>
      <c r="W736" s="5">
        <v>1.0</v>
      </c>
      <c r="X736" s="5" t="b">
        <v>1</v>
      </c>
      <c r="Y736" s="5" t="s">
        <v>50</v>
      </c>
      <c r="Z736" s="5" t="b">
        <v>0</v>
      </c>
      <c r="AA736" s="10"/>
      <c r="AB736" s="4">
        <v>1.0</v>
      </c>
      <c r="AC736" s="11" t="s">
        <v>4409</v>
      </c>
      <c r="AD736" s="5">
        <v>0.0</v>
      </c>
      <c r="AE736" s="5">
        <v>1.0</v>
      </c>
      <c r="AF736" s="8">
        <v>46186.0</v>
      </c>
      <c r="AG736" s="9">
        <v>0.375</v>
      </c>
      <c r="AH736" s="9">
        <v>0.9166666666666666</v>
      </c>
      <c r="AI736" s="4" t="s">
        <v>49</v>
      </c>
      <c r="AJ736" s="5" t="s">
        <v>4410</v>
      </c>
      <c r="AK736" s="12"/>
      <c r="AL736" s="12"/>
      <c r="AM736" s="12"/>
      <c r="AN736" s="12"/>
      <c r="AO736" s="12"/>
      <c r="AP736" s="12"/>
      <c r="AQ736" s="12"/>
    </row>
    <row r="737">
      <c r="A737" s="5" t="s">
        <v>4411</v>
      </c>
      <c r="B737" s="5">
        <v>1.1398423E7</v>
      </c>
      <c r="C737" s="5" t="s">
        <v>37</v>
      </c>
      <c r="D737" s="5" t="s">
        <v>4377</v>
      </c>
      <c r="E737" s="5" t="s">
        <v>39</v>
      </c>
      <c r="F737" s="5" t="s">
        <v>4378</v>
      </c>
      <c r="G737" s="15">
        <v>8.95411E16</v>
      </c>
      <c r="H737" s="5" t="s">
        <v>4379</v>
      </c>
      <c r="I737" s="5" t="s">
        <v>42</v>
      </c>
      <c r="J737" s="5" t="s">
        <v>43</v>
      </c>
      <c r="K737" s="5">
        <v>8.7733785699E10</v>
      </c>
      <c r="L737" s="4" t="s">
        <v>44</v>
      </c>
      <c r="M737" s="5" t="s">
        <v>42</v>
      </c>
      <c r="N737" s="4" t="s">
        <v>45</v>
      </c>
      <c r="O737" s="4" t="s">
        <v>46</v>
      </c>
      <c r="P737" s="4" t="s">
        <v>47</v>
      </c>
      <c r="Q737" s="4">
        <v>16451.0</v>
      </c>
      <c r="R737" s="5" t="s">
        <v>4412</v>
      </c>
      <c r="S737" s="8">
        <v>46186.0</v>
      </c>
      <c r="T737" s="9">
        <v>0.375</v>
      </c>
      <c r="U737" s="9">
        <v>0.9166666666666666</v>
      </c>
      <c r="V737" s="4" t="s">
        <v>49</v>
      </c>
      <c r="W737" s="5">
        <v>1.0</v>
      </c>
      <c r="X737" s="5" t="b">
        <v>1</v>
      </c>
      <c r="Y737" s="5" t="s">
        <v>50</v>
      </c>
      <c r="Z737" s="5" t="b">
        <v>0</v>
      </c>
      <c r="AA737" s="10"/>
      <c r="AB737" s="4">
        <v>1.0</v>
      </c>
      <c r="AC737" s="11" t="s">
        <v>4413</v>
      </c>
      <c r="AD737" s="5">
        <v>0.0</v>
      </c>
      <c r="AE737" s="5">
        <v>1.0</v>
      </c>
      <c r="AF737" s="8">
        <v>46186.0</v>
      </c>
      <c r="AG737" s="9">
        <v>0.375</v>
      </c>
      <c r="AH737" s="9">
        <v>0.9166666666666666</v>
      </c>
      <c r="AI737" s="4" t="s">
        <v>49</v>
      </c>
      <c r="AJ737" s="5" t="s">
        <v>4414</v>
      </c>
      <c r="AK737" s="12"/>
      <c r="AL737" s="12"/>
      <c r="AM737" s="12"/>
      <c r="AN737" s="12"/>
      <c r="AO737" s="12"/>
      <c r="AP737" s="12"/>
      <c r="AQ737" s="12"/>
    </row>
    <row r="738">
      <c r="A738" s="5" t="s">
        <v>4415</v>
      </c>
      <c r="B738" s="5">
        <v>1.1398423E7</v>
      </c>
      <c r="C738" s="5" t="s">
        <v>37</v>
      </c>
      <c r="D738" s="5" t="s">
        <v>4416</v>
      </c>
      <c r="E738" s="5" t="s">
        <v>39</v>
      </c>
      <c r="F738" s="5" t="s">
        <v>3254</v>
      </c>
      <c r="G738" s="15">
        <v>8.1210468236E10</v>
      </c>
      <c r="H738" s="5" t="s">
        <v>3255</v>
      </c>
      <c r="I738" s="5" t="s">
        <v>42</v>
      </c>
      <c r="J738" s="5" t="s">
        <v>43</v>
      </c>
      <c r="K738" s="5">
        <v>8.7733785699E10</v>
      </c>
      <c r="L738" s="4" t="s">
        <v>44</v>
      </c>
      <c r="M738" s="5" t="s">
        <v>42</v>
      </c>
      <c r="N738" s="4" t="s">
        <v>45</v>
      </c>
      <c r="O738" s="4" t="s">
        <v>46</v>
      </c>
      <c r="P738" s="4" t="s">
        <v>47</v>
      </c>
      <c r="Q738" s="4">
        <v>16451.0</v>
      </c>
      <c r="R738" s="5" t="s">
        <v>4417</v>
      </c>
      <c r="S738" s="8">
        <v>46186.0</v>
      </c>
      <c r="T738" s="9">
        <v>0.375</v>
      </c>
      <c r="U738" s="9">
        <v>0.9166666666666666</v>
      </c>
      <c r="V738" s="4" t="s">
        <v>49</v>
      </c>
      <c r="W738" s="5">
        <v>1.0</v>
      </c>
      <c r="X738" s="5" t="b">
        <v>1</v>
      </c>
      <c r="Y738" s="5" t="s">
        <v>50</v>
      </c>
      <c r="Z738" s="5" t="b">
        <v>0</v>
      </c>
      <c r="AA738" s="10"/>
      <c r="AB738" s="4">
        <v>1.0</v>
      </c>
      <c r="AC738" s="11" t="s">
        <v>4418</v>
      </c>
      <c r="AD738" s="5">
        <v>0.0</v>
      </c>
      <c r="AE738" s="5">
        <v>1.0</v>
      </c>
      <c r="AF738" s="8">
        <v>46186.0</v>
      </c>
      <c r="AG738" s="9">
        <v>0.375</v>
      </c>
      <c r="AH738" s="9">
        <v>0.9166666666666666</v>
      </c>
      <c r="AI738" s="4" t="s">
        <v>49</v>
      </c>
      <c r="AJ738" s="5" t="s">
        <v>4419</v>
      </c>
      <c r="AK738" s="12"/>
      <c r="AL738" s="12"/>
      <c r="AM738" s="12"/>
      <c r="AN738" s="12"/>
      <c r="AO738" s="12"/>
      <c r="AP738" s="12"/>
      <c r="AQ738" s="12"/>
    </row>
    <row r="739">
      <c r="A739" s="5" t="s">
        <v>4420</v>
      </c>
      <c r="B739" s="5">
        <v>1.1398423E7</v>
      </c>
      <c r="C739" s="5" t="s">
        <v>37</v>
      </c>
      <c r="D739" s="5" t="s">
        <v>4421</v>
      </c>
      <c r="E739" s="5" t="s">
        <v>39</v>
      </c>
      <c r="F739" s="5" t="s">
        <v>2926</v>
      </c>
      <c r="G739" s="15">
        <v>8.1585857777E10</v>
      </c>
      <c r="H739" s="5" t="s">
        <v>2927</v>
      </c>
      <c r="I739" s="5" t="s">
        <v>42</v>
      </c>
      <c r="J739" s="5" t="s">
        <v>43</v>
      </c>
      <c r="K739" s="5">
        <v>8.7733785699E10</v>
      </c>
      <c r="L739" s="4" t="s">
        <v>44</v>
      </c>
      <c r="M739" s="5" t="s">
        <v>42</v>
      </c>
      <c r="N739" s="4" t="s">
        <v>45</v>
      </c>
      <c r="O739" s="4" t="s">
        <v>46</v>
      </c>
      <c r="P739" s="4" t="s">
        <v>47</v>
      </c>
      <c r="Q739" s="4">
        <v>16451.0</v>
      </c>
      <c r="R739" s="5" t="s">
        <v>4422</v>
      </c>
      <c r="S739" s="8">
        <v>46186.0</v>
      </c>
      <c r="T739" s="9">
        <v>0.375</v>
      </c>
      <c r="U739" s="9">
        <v>0.9166666666666666</v>
      </c>
      <c r="V739" s="4" t="s">
        <v>49</v>
      </c>
      <c r="W739" s="5">
        <v>1.0</v>
      </c>
      <c r="X739" s="5" t="b">
        <v>1</v>
      </c>
      <c r="Y739" s="5" t="s">
        <v>50</v>
      </c>
      <c r="Z739" s="5" t="b">
        <v>0</v>
      </c>
      <c r="AA739" s="10"/>
      <c r="AB739" s="4">
        <v>1.0</v>
      </c>
      <c r="AC739" s="11" t="s">
        <v>4423</v>
      </c>
      <c r="AD739" s="5">
        <v>0.0</v>
      </c>
      <c r="AE739" s="5">
        <v>1.0</v>
      </c>
      <c r="AF739" s="8">
        <v>46186.0</v>
      </c>
      <c r="AG739" s="9">
        <v>0.375</v>
      </c>
      <c r="AH739" s="9">
        <v>0.9166666666666666</v>
      </c>
      <c r="AI739" s="4" t="s">
        <v>49</v>
      </c>
      <c r="AJ739" s="5" t="s">
        <v>4424</v>
      </c>
      <c r="AK739" s="12"/>
      <c r="AL739" s="12"/>
      <c r="AM739" s="12"/>
      <c r="AN739" s="12"/>
      <c r="AO739" s="12"/>
      <c r="AP739" s="12"/>
      <c r="AQ739" s="12"/>
    </row>
    <row r="740">
      <c r="A740" s="5" t="s">
        <v>4425</v>
      </c>
      <c r="B740" s="5">
        <v>1.1398423E7</v>
      </c>
      <c r="C740" s="5" t="s">
        <v>37</v>
      </c>
      <c r="D740" s="5" t="s">
        <v>4426</v>
      </c>
      <c r="E740" s="5" t="s">
        <v>39</v>
      </c>
      <c r="F740" s="5" t="s">
        <v>2012</v>
      </c>
      <c r="G740" s="15">
        <v>6.28191E17</v>
      </c>
      <c r="H740" s="5" t="s">
        <v>2013</v>
      </c>
      <c r="I740" s="5" t="s">
        <v>42</v>
      </c>
      <c r="J740" s="5" t="s">
        <v>43</v>
      </c>
      <c r="K740" s="5">
        <v>8.7733785699E10</v>
      </c>
      <c r="L740" s="4" t="s">
        <v>44</v>
      </c>
      <c r="M740" s="5" t="s">
        <v>42</v>
      </c>
      <c r="N740" s="4" t="s">
        <v>45</v>
      </c>
      <c r="O740" s="4" t="s">
        <v>46</v>
      </c>
      <c r="P740" s="4" t="s">
        <v>47</v>
      </c>
      <c r="Q740" s="4">
        <v>16451.0</v>
      </c>
      <c r="R740" s="5" t="s">
        <v>4427</v>
      </c>
      <c r="S740" s="8">
        <v>46186.0</v>
      </c>
      <c r="T740" s="9">
        <v>0.375</v>
      </c>
      <c r="U740" s="9">
        <v>0.9166666666666666</v>
      </c>
      <c r="V740" s="4" t="s">
        <v>49</v>
      </c>
      <c r="W740" s="5">
        <v>1.0</v>
      </c>
      <c r="X740" s="5" t="b">
        <v>1</v>
      </c>
      <c r="Y740" s="5" t="s">
        <v>50</v>
      </c>
      <c r="Z740" s="5" t="b">
        <v>0</v>
      </c>
      <c r="AA740" s="10"/>
      <c r="AB740" s="4">
        <v>1.0</v>
      </c>
      <c r="AC740" s="11" t="s">
        <v>4428</v>
      </c>
      <c r="AD740" s="5">
        <v>0.0</v>
      </c>
      <c r="AE740" s="5">
        <v>1.0</v>
      </c>
      <c r="AF740" s="8">
        <v>46186.0</v>
      </c>
      <c r="AG740" s="9">
        <v>0.375</v>
      </c>
      <c r="AH740" s="9">
        <v>0.9166666666666666</v>
      </c>
      <c r="AI740" s="4" t="s">
        <v>49</v>
      </c>
      <c r="AJ740" s="5" t="s">
        <v>4429</v>
      </c>
      <c r="AK740" s="12"/>
      <c r="AL740" s="12"/>
      <c r="AM740" s="12"/>
      <c r="AN740" s="12"/>
      <c r="AO740" s="12"/>
      <c r="AP740" s="12"/>
      <c r="AQ740" s="12"/>
    </row>
    <row r="741">
      <c r="A741" s="5" t="s">
        <v>4430</v>
      </c>
      <c r="B741" s="5">
        <v>1.1398423E7</v>
      </c>
      <c r="C741" s="5" t="s">
        <v>37</v>
      </c>
      <c r="D741" s="5" t="s">
        <v>4431</v>
      </c>
      <c r="E741" s="5" t="s">
        <v>39</v>
      </c>
      <c r="F741" s="5" t="s">
        <v>1263</v>
      </c>
      <c r="G741" s="15">
        <v>6.28226E17</v>
      </c>
      <c r="H741" s="5" t="s">
        <v>1264</v>
      </c>
      <c r="I741" s="5" t="s">
        <v>42</v>
      </c>
      <c r="J741" s="5" t="s">
        <v>43</v>
      </c>
      <c r="K741" s="5">
        <v>8.7733785699E10</v>
      </c>
      <c r="L741" s="4" t="s">
        <v>44</v>
      </c>
      <c r="M741" s="5" t="s">
        <v>42</v>
      </c>
      <c r="N741" s="4" t="s">
        <v>45</v>
      </c>
      <c r="O741" s="4" t="s">
        <v>46</v>
      </c>
      <c r="P741" s="4" t="s">
        <v>47</v>
      </c>
      <c r="Q741" s="4">
        <v>16451.0</v>
      </c>
      <c r="R741" s="5" t="s">
        <v>4432</v>
      </c>
      <c r="S741" s="8">
        <v>46186.0</v>
      </c>
      <c r="T741" s="9">
        <v>0.375</v>
      </c>
      <c r="U741" s="9">
        <v>0.9166666666666666</v>
      </c>
      <c r="V741" s="4" t="s">
        <v>49</v>
      </c>
      <c r="W741" s="5">
        <v>1.0</v>
      </c>
      <c r="X741" s="5" t="b">
        <v>1</v>
      </c>
      <c r="Y741" s="5" t="s">
        <v>50</v>
      </c>
      <c r="Z741" s="5" t="b">
        <v>0</v>
      </c>
      <c r="AA741" s="10"/>
      <c r="AB741" s="4">
        <v>1.0</v>
      </c>
      <c r="AC741" s="11" t="s">
        <v>4433</v>
      </c>
      <c r="AD741" s="5">
        <v>0.0</v>
      </c>
      <c r="AE741" s="5">
        <v>1.0</v>
      </c>
      <c r="AF741" s="8">
        <v>46186.0</v>
      </c>
      <c r="AG741" s="9">
        <v>0.375</v>
      </c>
      <c r="AH741" s="9">
        <v>0.9166666666666666</v>
      </c>
      <c r="AI741" s="4" t="s">
        <v>49</v>
      </c>
      <c r="AJ741" s="5" t="s">
        <v>4434</v>
      </c>
      <c r="AK741" s="12"/>
      <c r="AL741" s="12"/>
      <c r="AM741" s="12"/>
      <c r="AN741" s="12"/>
      <c r="AO741" s="12"/>
      <c r="AP741" s="12"/>
      <c r="AQ741" s="12"/>
    </row>
    <row r="742">
      <c r="A742" s="5" t="s">
        <v>4435</v>
      </c>
      <c r="B742" s="5">
        <v>1.1398423E7</v>
      </c>
      <c r="C742" s="5" t="s">
        <v>37</v>
      </c>
      <c r="D742" s="5" t="s">
        <v>4436</v>
      </c>
      <c r="E742" s="5" t="s">
        <v>39</v>
      </c>
      <c r="F742" s="5" t="s">
        <v>2997</v>
      </c>
      <c r="G742" s="15">
        <v>6.28138E17</v>
      </c>
      <c r="H742" s="5" t="s">
        <v>2998</v>
      </c>
      <c r="I742" s="5" t="s">
        <v>42</v>
      </c>
      <c r="J742" s="5" t="s">
        <v>43</v>
      </c>
      <c r="K742" s="5">
        <v>8.7733785699E10</v>
      </c>
      <c r="L742" s="4" t="s">
        <v>44</v>
      </c>
      <c r="M742" s="5" t="s">
        <v>42</v>
      </c>
      <c r="N742" s="4" t="s">
        <v>45</v>
      </c>
      <c r="O742" s="4" t="s">
        <v>46</v>
      </c>
      <c r="P742" s="4" t="s">
        <v>47</v>
      </c>
      <c r="Q742" s="4">
        <v>16451.0</v>
      </c>
      <c r="R742" s="5" t="s">
        <v>4437</v>
      </c>
      <c r="S742" s="8">
        <v>46186.0</v>
      </c>
      <c r="T742" s="9">
        <v>0.375</v>
      </c>
      <c r="U742" s="9">
        <v>0.9166666666666666</v>
      </c>
      <c r="V742" s="4" t="s">
        <v>49</v>
      </c>
      <c r="W742" s="5">
        <v>1.0</v>
      </c>
      <c r="X742" s="5" t="b">
        <v>1</v>
      </c>
      <c r="Y742" s="5" t="s">
        <v>50</v>
      </c>
      <c r="Z742" s="5" t="b">
        <v>0</v>
      </c>
      <c r="AA742" s="10"/>
      <c r="AB742" s="4">
        <v>1.0</v>
      </c>
      <c r="AC742" s="11" t="s">
        <v>4438</v>
      </c>
      <c r="AD742" s="5">
        <v>0.0</v>
      </c>
      <c r="AE742" s="5">
        <v>1.0</v>
      </c>
      <c r="AF742" s="8">
        <v>46186.0</v>
      </c>
      <c r="AG742" s="9">
        <v>0.375</v>
      </c>
      <c r="AH742" s="9">
        <v>0.9166666666666666</v>
      </c>
      <c r="AI742" s="4" t="s">
        <v>49</v>
      </c>
      <c r="AJ742" s="5" t="s">
        <v>4439</v>
      </c>
      <c r="AK742" s="12"/>
      <c r="AL742" s="12"/>
      <c r="AM742" s="12"/>
      <c r="AN742" s="12"/>
      <c r="AO742" s="12"/>
      <c r="AP742" s="12"/>
      <c r="AQ742" s="12"/>
    </row>
    <row r="743">
      <c r="A743" s="5" t="s">
        <v>4440</v>
      </c>
      <c r="B743" s="5">
        <v>1.1398423E7</v>
      </c>
      <c r="C743" s="5" t="s">
        <v>37</v>
      </c>
      <c r="D743" s="5" t="s">
        <v>4441</v>
      </c>
      <c r="E743" s="5" t="s">
        <v>39</v>
      </c>
      <c r="F743" s="5" t="s">
        <v>4442</v>
      </c>
      <c r="G743" s="15">
        <v>6.28137E17</v>
      </c>
      <c r="H743" s="5" t="s">
        <v>4443</v>
      </c>
      <c r="I743" s="5" t="s">
        <v>42</v>
      </c>
      <c r="J743" s="5" t="s">
        <v>43</v>
      </c>
      <c r="K743" s="5">
        <v>8.7733785699E10</v>
      </c>
      <c r="L743" s="4" t="s">
        <v>44</v>
      </c>
      <c r="M743" s="5" t="s">
        <v>42</v>
      </c>
      <c r="N743" s="4" t="s">
        <v>45</v>
      </c>
      <c r="O743" s="4" t="s">
        <v>46</v>
      </c>
      <c r="P743" s="4" t="s">
        <v>47</v>
      </c>
      <c r="Q743" s="4">
        <v>16451.0</v>
      </c>
      <c r="R743" s="5" t="s">
        <v>4444</v>
      </c>
      <c r="S743" s="8">
        <v>46186.0</v>
      </c>
      <c r="T743" s="9">
        <v>0.375</v>
      </c>
      <c r="U743" s="9">
        <v>0.9166666666666666</v>
      </c>
      <c r="V743" s="4" t="s">
        <v>49</v>
      </c>
      <c r="W743" s="5">
        <v>1.0</v>
      </c>
      <c r="X743" s="5" t="b">
        <v>1</v>
      </c>
      <c r="Y743" s="5" t="s">
        <v>50</v>
      </c>
      <c r="Z743" s="5" t="b">
        <v>0</v>
      </c>
      <c r="AA743" s="10"/>
      <c r="AB743" s="4">
        <v>1.0</v>
      </c>
      <c r="AC743" s="11" t="s">
        <v>4445</v>
      </c>
      <c r="AD743" s="5">
        <v>0.0</v>
      </c>
      <c r="AE743" s="5">
        <v>1.0</v>
      </c>
      <c r="AF743" s="8">
        <v>46186.0</v>
      </c>
      <c r="AG743" s="9">
        <v>0.375</v>
      </c>
      <c r="AH743" s="9">
        <v>0.9166666666666666</v>
      </c>
      <c r="AI743" s="4" t="s">
        <v>49</v>
      </c>
      <c r="AJ743" s="5" t="s">
        <v>4446</v>
      </c>
      <c r="AK743" s="12"/>
      <c r="AL743" s="12"/>
      <c r="AM743" s="12"/>
      <c r="AN743" s="12"/>
      <c r="AO743" s="12"/>
      <c r="AP743" s="12"/>
      <c r="AQ743" s="12"/>
    </row>
    <row r="744">
      <c r="A744" s="5" t="s">
        <v>4447</v>
      </c>
      <c r="B744" s="5">
        <v>1.1398423E7</v>
      </c>
      <c r="C744" s="5" t="s">
        <v>37</v>
      </c>
      <c r="D744" s="5" t="s">
        <v>4448</v>
      </c>
      <c r="E744" s="5" t="s">
        <v>39</v>
      </c>
      <c r="F744" s="5" t="s">
        <v>4449</v>
      </c>
      <c r="G744" s="15">
        <v>8.5894805758E10</v>
      </c>
      <c r="H744" s="5" t="s">
        <v>4450</v>
      </c>
      <c r="I744" s="5" t="s">
        <v>42</v>
      </c>
      <c r="J744" s="5" t="s">
        <v>43</v>
      </c>
      <c r="K744" s="5">
        <v>8.7733785699E10</v>
      </c>
      <c r="L744" s="4" t="s">
        <v>44</v>
      </c>
      <c r="M744" s="5" t="s">
        <v>42</v>
      </c>
      <c r="N744" s="4" t="s">
        <v>45</v>
      </c>
      <c r="O744" s="4" t="s">
        <v>46</v>
      </c>
      <c r="P744" s="4" t="s">
        <v>47</v>
      </c>
      <c r="Q744" s="4">
        <v>16451.0</v>
      </c>
      <c r="R744" s="5" t="s">
        <v>4451</v>
      </c>
      <c r="S744" s="8">
        <v>46186.0</v>
      </c>
      <c r="T744" s="9">
        <v>0.375</v>
      </c>
      <c r="U744" s="9">
        <v>0.9166666666666666</v>
      </c>
      <c r="V744" s="4" t="s">
        <v>49</v>
      </c>
      <c r="W744" s="5">
        <v>1.0</v>
      </c>
      <c r="X744" s="5" t="b">
        <v>1</v>
      </c>
      <c r="Y744" s="5" t="s">
        <v>50</v>
      </c>
      <c r="Z744" s="5" t="b">
        <v>0</v>
      </c>
      <c r="AA744" s="10"/>
      <c r="AB744" s="4">
        <v>1.0</v>
      </c>
      <c r="AC744" s="11" t="s">
        <v>4452</v>
      </c>
      <c r="AD744" s="5">
        <v>0.0</v>
      </c>
      <c r="AE744" s="5">
        <v>1.0</v>
      </c>
      <c r="AF744" s="8">
        <v>46186.0</v>
      </c>
      <c r="AG744" s="9">
        <v>0.375</v>
      </c>
      <c r="AH744" s="9">
        <v>0.9166666666666666</v>
      </c>
      <c r="AI744" s="4" t="s">
        <v>49</v>
      </c>
      <c r="AJ744" s="5" t="s">
        <v>4453</v>
      </c>
      <c r="AK744" s="12"/>
      <c r="AL744" s="12"/>
      <c r="AM744" s="12"/>
      <c r="AN744" s="12"/>
      <c r="AO744" s="12"/>
      <c r="AP744" s="12"/>
      <c r="AQ744" s="12"/>
    </row>
    <row r="745">
      <c r="A745" s="5" t="s">
        <v>4454</v>
      </c>
      <c r="B745" s="5">
        <v>1.1398423E7</v>
      </c>
      <c r="C745" s="5" t="s">
        <v>37</v>
      </c>
      <c r="D745" s="5" t="s">
        <v>4455</v>
      </c>
      <c r="E745" s="5" t="s">
        <v>39</v>
      </c>
      <c r="F745" s="5" t="s">
        <v>4456</v>
      </c>
      <c r="G745" s="15">
        <v>6.28778E17</v>
      </c>
      <c r="H745" s="5" t="s">
        <v>4457</v>
      </c>
      <c r="I745" s="5" t="s">
        <v>42</v>
      </c>
      <c r="J745" s="5" t="s">
        <v>43</v>
      </c>
      <c r="K745" s="5">
        <v>8.7733785699E10</v>
      </c>
      <c r="L745" s="4" t="s">
        <v>44</v>
      </c>
      <c r="M745" s="5" t="s">
        <v>42</v>
      </c>
      <c r="N745" s="4" t="s">
        <v>45</v>
      </c>
      <c r="O745" s="4" t="s">
        <v>46</v>
      </c>
      <c r="P745" s="4" t="s">
        <v>47</v>
      </c>
      <c r="Q745" s="4">
        <v>16451.0</v>
      </c>
      <c r="R745" s="5" t="s">
        <v>4458</v>
      </c>
      <c r="S745" s="8">
        <v>46186.0</v>
      </c>
      <c r="T745" s="9">
        <v>0.375</v>
      </c>
      <c r="U745" s="9">
        <v>0.9166666666666666</v>
      </c>
      <c r="V745" s="4" t="s">
        <v>49</v>
      </c>
      <c r="W745" s="5">
        <v>1.0</v>
      </c>
      <c r="X745" s="5" t="b">
        <v>1</v>
      </c>
      <c r="Y745" s="5" t="s">
        <v>50</v>
      </c>
      <c r="Z745" s="5" t="b">
        <v>0</v>
      </c>
      <c r="AA745" s="10"/>
      <c r="AB745" s="4">
        <v>1.0</v>
      </c>
      <c r="AC745" s="11" t="s">
        <v>4459</v>
      </c>
      <c r="AD745" s="5">
        <v>0.0</v>
      </c>
      <c r="AE745" s="5">
        <v>1.0</v>
      </c>
      <c r="AF745" s="8">
        <v>46186.0</v>
      </c>
      <c r="AG745" s="9">
        <v>0.375</v>
      </c>
      <c r="AH745" s="9">
        <v>0.9166666666666666</v>
      </c>
      <c r="AI745" s="4" t="s">
        <v>49</v>
      </c>
      <c r="AJ745" s="5" t="s">
        <v>4460</v>
      </c>
      <c r="AK745" s="12"/>
      <c r="AL745" s="12"/>
      <c r="AM745" s="12"/>
      <c r="AN745" s="12"/>
      <c r="AO745" s="12"/>
      <c r="AP745" s="12"/>
      <c r="AQ745" s="12"/>
    </row>
    <row r="746">
      <c r="A746" s="5" t="s">
        <v>4461</v>
      </c>
      <c r="B746" s="5">
        <v>1.1398423E7</v>
      </c>
      <c r="C746" s="5" t="s">
        <v>37</v>
      </c>
      <c r="D746" s="5" t="s">
        <v>4462</v>
      </c>
      <c r="E746" s="5" t="s">
        <v>39</v>
      </c>
      <c r="F746" s="5" t="s">
        <v>4463</v>
      </c>
      <c r="G746" s="15">
        <v>6.28213E17</v>
      </c>
      <c r="H746" s="5" t="s">
        <v>4464</v>
      </c>
      <c r="I746" s="5" t="s">
        <v>42</v>
      </c>
      <c r="J746" s="5" t="s">
        <v>43</v>
      </c>
      <c r="K746" s="5">
        <v>8.7733785699E10</v>
      </c>
      <c r="L746" s="4" t="s">
        <v>44</v>
      </c>
      <c r="M746" s="5" t="s">
        <v>42</v>
      </c>
      <c r="N746" s="4" t="s">
        <v>45</v>
      </c>
      <c r="O746" s="4" t="s">
        <v>46</v>
      </c>
      <c r="P746" s="4" t="s">
        <v>47</v>
      </c>
      <c r="Q746" s="4">
        <v>16451.0</v>
      </c>
      <c r="R746" s="5" t="s">
        <v>4465</v>
      </c>
      <c r="S746" s="8">
        <v>46186.0</v>
      </c>
      <c r="T746" s="9">
        <v>0.375</v>
      </c>
      <c r="U746" s="9">
        <v>0.9166666666666666</v>
      </c>
      <c r="V746" s="4" t="s">
        <v>49</v>
      </c>
      <c r="W746" s="5">
        <v>1.0</v>
      </c>
      <c r="X746" s="5" t="b">
        <v>1</v>
      </c>
      <c r="Y746" s="5" t="s">
        <v>50</v>
      </c>
      <c r="Z746" s="5" t="b">
        <v>0</v>
      </c>
      <c r="AA746" s="10"/>
      <c r="AB746" s="4">
        <v>1.0</v>
      </c>
      <c r="AC746" s="11" t="s">
        <v>4466</v>
      </c>
      <c r="AD746" s="5">
        <v>0.0</v>
      </c>
      <c r="AE746" s="5">
        <v>1.0</v>
      </c>
      <c r="AF746" s="8">
        <v>46186.0</v>
      </c>
      <c r="AG746" s="9">
        <v>0.375</v>
      </c>
      <c r="AH746" s="9">
        <v>0.9166666666666666</v>
      </c>
      <c r="AI746" s="4" t="s">
        <v>49</v>
      </c>
      <c r="AJ746" s="5" t="s">
        <v>4467</v>
      </c>
      <c r="AK746" s="12"/>
      <c r="AL746" s="12"/>
      <c r="AM746" s="12"/>
      <c r="AN746" s="12"/>
      <c r="AO746" s="12"/>
      <c r="AP746" s="12"/>
      <c r="AQ746" s="12"/>
    </row>
    <row r="747">
      <c r="A747" s="5" t="s">
        <v>4468</v>
      </c>
      <c r="B747" s="5">
        <v>1.1398423E7</v>
      </c>
      <c r="C747" s="5" t="s">
        <v>37</v>
      </c>
      <c r="D747" s="5" t="s">
        <v>4469</v>
      </c>
      <c r="E747" s="5" t="s">
        <v>39</v>
      </c>
      <c r="F747" s="5" t="s">
        <v>4470</v>
      </c>
      <c r="G747" s="15">
        <v>6.28521E17</v>
      </c>
      <c r="H747" s="5" t="s">
        <v>4471</v>
      </c>
      <c r="I747" s="5" t="s">
        <v>42</v>
      </c>
      <c r="J747" s="5" t="s">
        <v>43</v>
      </c>
      <c r="K747" s="5">
        <v>8.7733785699E10</v>
      </c>
      <c r="L747" s="4" t="s">
        <v>44</v>
      </c>
      <c r="M747" s="5" t="s">
        <v>42</v>
      </c>
      <c r="N747" s="4" t="s">
        <v>45</v>
      </c>
      <c r="O747" s="4" t="s">
        <v>46</v>
      </c>
      <c r="P747" s="4" t="s">
        <v>47</v>
      </c>
      <c r="Q747" s="4">
        <v>16451.0</v>
      </c>
      <c r="R747" s="5" t="s">
        <v>4472</v>
      </c>
      <c r="S747" s="8">
        <v>46186.0</v>
      </c>
      <c r="T747" s="9">
        <v>0.375</v>
      </c>
      <c r="U747" s="9">
        <v>0.9166666666666666</v>
      </c>
      <c r="V747" s="4" t="s">
        <v>49</v>
      </c>
      <c r="W747" s="5">
        <v>1.0</v>
      </c>
      <c r="X747" s="5" t="b">
        <v>1</v>
      </c>
      <c r="Y747" s="5" t="s">
        <v>50</v>
      </c>
      <c r="Z747" s="5" t="b">
        <v>0</v>
      </c>
      <c r="AA747" s="10"/>
      <c r="AB747" s="4">
        <v>1.0</v>
      </c>
      <c r="AC747" s="11" t="s">
        <v>4473</v>
      </c>
      <c r="AD747" s="5">
        <v>0.0</v>
      </c>
      <c r="AE747" s="5">
        <v>1.0</v>
      </c>
      <c r="AF747" s="8">
        <v>46186.0</v>
      </c>
      <c r="AG747" s="9">
        <v>0.375</v>
      </c>
      <c r="AH747" s="9">
        <v>0.9166666666666666</v>
      </c>
      <c r="AI747" s="4" t="s">
        <v>49</v>
      </c>
      <c r="AJ747" s="5" t="s">
        <v>4474</v>
      </c>
      <c r="AK747" s="12"/>
      <c r="AL747" s="12"/>
      <c r="AM747" s="12"/>
      <c r="AN747" s="12"/>
      <c r="AO747" s="12"/>
      <c r="AP747" s="12"/>
      <c r="AQ747" s="12"/>
    </row>
    <row r="748">
      <c r="A748" s="5" t="s">
        <v>4475</v>
      </c>
      <c r="B748" s="5">
        <v>1.1398423E7</v>
      </c>
      <c r="C748" s="5" t="s">
        <v>37</v>
      </c>
      <c r="D748" s="5" t="s">
        <v>4476</v>
      </c>
      <c r="E748" s="5" t="s">
        <v>39</v>
      </c>
      <c r="F748" s="5" t="s">
        <v>4477</v>
      </c>
      <c r="G748" s="15">
        <v>6.28979E16</v>
      </c>
      <c r="H748" s="5" t="s">
        <v>4478</v>
      </c>
      <c r="I748" s="5" t="s">
        <v>42</v>
      </c>
      <c r="J748" s="5" t="s">
        <v>43</v>
      </c>
      <c r="K748" s="5">
        <v>8.7733785699E10</v>
      </c>
      <c r="L748" s="4" t="s">
        <v>44</v>
      </c>
      <c r="M748" s="5" t="s">
        <v>42</v>
      </c>
      <c r="N748" s="4" t="s">
        <v>45</v>
      </c>
      <c r="O748" s="4" t="s">
        <v>46</v>
      </c>
      <c r="P748" s="4" t="s">
        <v>47</v>
      </c>
      <c r="Q748" s="4">
        <v>16451.0</v>
      </c>
      <c r="R748" s="5" t="s">
        <v>4479</v>
      </c>
      <c r="S748" s="8">
        <v>46186.0</v>
      </c>
      <c r="T748" s="9">
        <v>0.375</v>
      </c>
      <c r="U748" s="9">
        <v>0.9166666666666666</v>
      </c>
      <c r="V748" s="4" t="s">
        <v>49</v>
      </c>
      <c r="W748" s="5">
        <v>1.0</v>
      </c>
      <c r="X748" s="5" t="b">
        <v>1</v>
      </c>
      <c r="Y748" s="5" t="s">
        <v>50</v>
      </c>
      <c r="Z748" s="5" t="b">
        <v>0</v>
      </c>
      <c r="AA748" s="10"/>
      <c r="AB748" s="4">
        <v>1.0</v>
      </c>
      <c r="AC748" s="11" t="s">
        <v>4480</v>
      </c>
      <c r="AD748" s="5">
        <v>0.0</v>
      </c>
      <c r="AE748" s="5">
        <v>1.0</v>
      </c>
      <c r="AF748" s="8">
        <v>46186.0</v>
      </c>
      <c r="AG748" s="9">
        <v>0.375</v>
      </c>
      <c r="AH748" s="9">
        <v>0.9166666666666666</v>
      </c>
      <c r="AI748" s="4" t="s">
        <v>49</v>
      </c>
      <c r="AJ748" s="5" t="s">
        <v>4481</v>
      </c>
      <c r="AK748" s="12"/>
      <c r="AL748" s="12"/>
      <c r="AM748" s="12"/>
      <c r="AN748" s="12"/>
      <c r="AO748" s="12"/>
      <c r="AP748" s="12"/>
      <c r="AQ748" s="12"/>
    </row>
    <row r="749">
      <c r="A749" s="5" t="s">
        <v>4482</v>
      </c>
      <c r="B749" s="5">
        <v>1.1398423E7</v>
      </c>
      <c r="C749" s="5" t="s">
        <v>37</v>
      </c>
      <c r="D749" s="5" t="s">
        <v>4483</v>
      </c>
      <c r="E749" s="5" t="s">
        <v>39</v>
      </c>
      <c r="F749" s="5" t="s">
        <v>1057</v>
      </c>
      <c r="G749" s="15">
        <v>8.128125437E9</v>
      </c>
      <c r="H749" s="5" t="s">
        <v>1058</v>
      </c>
      <c r="I749" s="5" t="s">
        <v>42</v>
      </c>
      <c r="J749" s="5" t="s">
        <v>43</v>
      </c>
      <c r="K749" s="5">
        <v>8.7733785699E10</v>
      </c>
      <c r="L749" s="4" t="s">
        <v>44</v>
      </c>
      <c r="M749" s="5" t="s">
        <v>42</v>
      </c>
      <c r="N749" s="4" t="s">
        <v>45</v>
      </c>
      <c r="O749" s="4" t="s">
        <v>46</v>
      </c>
      <c r="P749" s="4" t="s">
        <v>47</v>
      </c>
      <c r="Q749" s="4">
        <v>16451.0</v>
      </c>
      <c r="R749" s="5" t="s">
        <v>4484</v>
      </c>
      <c r="S749" s="8">
        <v>46186.0</v>
      </c>
      <c r="T749" s="9">
        <v>0.375</v>
      </c>
      <c r="U749" s="9">
        <v>0.9166666666666666</v>
      </c>
      <c r="V749" s="4" t="s">
        <v>49</v>
      </c>
      <c r="W749" s="5">
        <v>1.0</v>
      </c>
      <c r="X749" s="5" t="b">
        <v>1</v>
      </c>
      <c r="Y749" s="5" t="s">
        <v>50</v>
      </c>
      <c r="Z749" s="5" t="b">
        <v>0</v>
      </c>
      <c r="AA749" s="10"/>
      <c r="AB749" s="4">
        <v>1.0</v>
      </c>
      <c r="AC749" s="11" t="s">
        <v>4485</v>
      </c>
      <c r="AD749" s="5">
        <v>0.0</v>
      </c>
      <c r="AE749" s="5">
        <v>1.0</v>
      </c>
      <c r="AF749" s="8">
        <v>46186.0</v>
      </c>
      <c r="AG749" s="9">
        <v>0.375</v>
      </c>
      <c r="AH749" s="9">
        <v>0.9166666666666666</v>
      </c>
      <c r="AI749" s="4" t="s">
        <v>49</v>
      </c>
      <c r="AJ749" s="5" t="s">
        <v>4486</v>
      </c>
      <c r="AK749" s="12"/>
      <c r="AL749" s="12"/>
      <c r="AM749" s="12"/>
      <c r="AN749" s="12"/>
      <c r="AO749" s="12"/>
      <c r="AP749" s="12"/>
      <c r="AQ749" s="12"/>
    </row>
    <row r="750">
      <c r="A750" s="5" t="s">
        <v>4487</v>
      </c>
      <c r="B750" s="5">
        <v>1.1398423E7</v>
      </c>
      <c r="C750" s="5" t="s">
        <v>37</v>
      </c>
      <c r="D750" s="5" t="s">
        <v>4488</v>
      </c>
      <c r="E750" s="5" t="s">
        <v>39</v>
      </c>
      <c r="F750" s="5" t="s">
        <v>4489</v>
      </c>
      <c r="G750" s="15">
        <v>8.2167781188E10</v>
      </c>
      <c r="H750" s="5" t="s">
        <v>4490</v>
      </c>
      <c r="I750" s="5" t="s">
        <v>42</v>
      </c>
      <c r="J750" s="5" t="s">
        <v>43</v>
      </c>
      <c r="K750" s="5">
        <v>8.7733785699E10</v>
      </c>
      <c r="L750" s="4" t="s">
        <v>44</v>
      </c>
      <c r="M750" s="5" t="s">
        <v>42</v>
      </c>
      <c r="N750" s="4" t="s">
        <v>45</v>
      </c>
      <c r="O750" s="4" t="s">
        <v>46</v>
      </c>
      <c r="P750" s="4" t="s">
        <v>47</v>
      </c>
      <c r="Q750" s="4">
        <v>16451.0</v>
      </c>
      <c r="R750" s="5" t="s">
        <v>4491</v>
      </c>
      <c r="S750" s="8">
        <v>46186.0</v>
      </c>
      <c r="T750" s="9">
        <v>0.375</v>
      </c>
      <c r="U750" s="9">
        <v>0.9166666666666666</v>
      </c>
      <c r="V750" s="4" t="s">
        <v>49</v>
      </c>
      <c r="W750" s="5">
        <v>1.0</v>
      </c>
      <c r="X750" s="5" t="b">
        <v>1</v>
      </c>
      <c r="Y750" s="5" t="s">
        <v>50</v>
      </c>
      <c r="Z750" s="5" t="b">
        <v>0</v>
      </c>
      <c r="AA750" s="10"/>
      <c r="AB750" s="4">
        <v>1.0</v>
      </c>
      <c r="AC750" s="11" t="s">
        <v>4492</v>
      </c>
      <c r="AD750" s="5">
        <v>0.0</v>
      </c>
      <c r="AE750" s="5">
        <v>1.0</v>
      </c>
      <c r="AF750" s="8">
        <v>46186.0</v>
      </c>
      <c r="AG750" s="9">
        <v>0.375</v>
      </c>
      <c r="AH750" s="9">
        <v>0.9166666666666666</v>
      </c>
      <c r="AI750" s="4" t="s">
        <v>49</v>
      </c>
      <c r="AJ750" s="5" t="s">
        <v>4493</v>
      </c>
      <c r="AK750" s="12"/>
      <c r="AL750" s="12"/>
      <c r="AM750" s="12"/>
      <c r="AN750" s="12"/>
      <c r="AO750" s="12"/>
      <c r="AP750" s="12"/>
      <c r="AQ750" s="12"/>
    </row>
    <row r="751">
      <c r="A751" s="5" t="s">
        <v>4494</v>
      </c>
      <c r="B751" s="5">
        <v>1.1398423E7</v>
      </c>
      <c r="C751" s="5" t="s">
        <v>37</v>
      </c>
      <c r="D751" s="5" t="s">
        <v>4495</v>
      </c>
      <c r="E751" s="5" t="s">
        <v>39</v>
      </c>
      <c r="F751" s="5" t="s">
        <v>4496</v>
      </c>
      <c r="G751" s="15">
        <v>8.1294412824E10</v>
      </c>
      <c r="H751" s="5" t="s">
        <v>4497</v>
      </c>
      <c r="I751" s="5" t="s">
        <v>42</v>
      </c>
      <c r="J751" s="5" t="s">
        <v>43</v>
      </c>
      <c r="K751" s="5">
        <v>8.7733785699E10</v>
      </c>
      <c r="L751" s="4" t="s">
        <v>44</v>
      </c>
      <c r="M751" s="5" t="s">
        <v>42</v>
      </c>
      <c r="N751" s="4" t="s">
        <v>45</v>
      </c>
      <c r="O751" s="4" t="s">
        <v>46</v>
      </c>
      <c r="P751" s="4" t="s">
        <v>47</v>
      </c>
      <c r="Q751" s="4">
        <v>16451.0</v>
      </c>
      <c r="R751" s="5" t="s">
        <v>4498</v>
      </c>
      <c r="S751" s="8">
        <v>46186.0</v>
      </c>
      <c r="T751" s="9">
        <v>0.375</v>
      </c>
      <c r="U751" s="9">
        <v>0.9166666666666666</v>
      </c>
      <c r="V751" s="4" t="s">
        <v>49</v>
      </c>
      <c r="W751" s="5">
        <v>1.0</v>
      </c>
      <c r="X751" s="5" t="b">
        <v>1</v>
      </c>
      <c r="Y751" s="5" t="s">
        <v>50</v>
      </c>
      <c r="Z751" s="5" t="b">
        <v>0</v>
      </c>
      <c r="AA751" s="10"/>
      <c r="AB751" s="4">
        <v>1.0</v>
      </c>
      <c r="AC751" s="11" t="s">
        <v>4499</v>
      </c>
      <c r="AD751" s="5">
        <v>0.0</v>
      </c>
      <c r="AE751" s="5">
        <v>1.0</v>
      </c>
      <c r="AF751" s="8">
        <v>46186.0</v>
      </c>
      <c r="AG751" s="9">
        <v>0.375</v>
      </c>
      <c r="AH751" s="9">
        <v>0.9166666666666666</v>
      </c>
      <c r="AI751" s="4" t="s">
        <v>49</v>
      </c>
      <c r="AJ751" s="5" t="s">
        <v>4500</v>
      </c>
      <c r="AK751" s="12"/>
      <c r="AL751" s="12"/>
      <c r="AM751" s="12"/>
      <c r="AN751" s="12"/>
      <c r="AO751" s="12"/>
      <c r="AP751" s="12"/>
      <c r="AQ751" s="12"/>
    </row>
    <row r="752">
      <c r="A752" s="5" t="s">
        <v>4501</v>
      </c>
      <c r="B752" s="5">
        <v>1.1398423E7</v>
      </c>
      <c r="C752" s="5" t="s">
        <v>37</v>
      </c>
      <c r="D752" s="5" t="s">
        <v>4502</v>
      </c>
      <c r="E752" s="5" t="s">
        <v>39</v>
      </c>
      <c r="F752" s="5" t="s">
        <v>4503</v>
      </c>
      <c r="G752" s="15">
        <v>6.28193E17</v>
      </c>
      <c r="H752" s="5" t="s">
        <v>4504</v>
      </c>
      <c r="I752" s="5" t="s">
        <v>42</v>
      </c>
      <c r="J752" s="5" t="s">
        <v>43</v>
      </c>
      <c r="K752" s="5">
        <v>8.7733785699E10</v>
      </c>
      <c r="L752" s="4" t="s">
        <v>44</v>
      </c>
      <c r="M752" s="5" t="s">
        <v>42</v>
      </c>
      <c r="N752" s="4" t="s">
        <v>45</v>
      </c>
      <c r="O752" s="4" t="s">
        <v>46</v>
      </c>
      <c r="P752" s="4" t="s">
        <v>47</v>
      </c>
      <c r="Q752" s="4">
        <v>16451.0</v>
      </c>
      <c r="R752" s="5" t="s">
        <v>4505</v>
      </c>
      <c r="S752" s="8">
        <v>46186.0</v>
      </c>
      <c r="T752" s="9">
        <v>0.375</v>
      </c>
      <c r="U752" s="9">
        <v>0.9166666666666666</v>
      </c>
      <c r="V752" s="4" t="s">
        <v>49</v>
      </c>
      <c r="W752" s="5">
        <v>1.0</v>
      </c>
      <c r="X752" s="5" t="b">
        <v>1</v>
      </c>
      <c r="Y752" s="5" t="s">
        <v>50</v>
      </c>
      <c r="Z752" s="5" t="b">
        <v>0</v>
      </c>
      <c r="AA752" s="10"/>
      <c r="AB752" s="4">
        <v>1.0</v>
      </c>
      <c r="AC752" s="11" t="s">
        <v>4506</v>
      </c>
      <c r="AD752" s="5">
        <v>0.0</v>
      </c>
      <c r="AE752" s="5">
        <v>1.0</v>
      </c>
      <c r="AF752" s="8">
        <v>46186.0</v>
      </c>
      <c r="AG752" s="9">
        <v>0.375</v>
      </c>
      <c r="AH752" s="9">
        <v>0.9166666666666666</v>
      </c>
      <c r="AI752" s="4" t="s">
        <v>49</v>
      </c>
      <c r="AJ752" s="5" t="s">
        <v>4507</v>
      </c>
      <c r="AK752" s="12"/>
      <c r="AL752" s="12"/>
      <c r="AM752" s="12"/>
      <c r="AN752" s="12"/>
      <c r="AO752" s="12"/>
      <c r="AP752" s="12"/>
      <c r="AQ752" s="12"/>
    </row>
    <row r="753">
      <c r="A753" s="5" t="s">
        <v>4508</v>
      </c>
      <c r="B753" s="5">
        <v>1.1398423E7</v>
      </c>
      <c r="C753" s="5" t="s">
        <v>37</v>
      </c>
      <c r="D753" s="5" t="s">
        <v>4509</v>
      </c>
      <c r="E753" s="5" t="s">
        <v>39</v>
      </c>
      <c r="F753" s="5" t="s">
        <v>306</v>
      </c>
      <c r="G753" s="15">
        <v>6.28198E16</v>
      </c>
      <c r="H753" s="5" t="s">
        <v>307</v>
      </c>
      <c r="I753" s="5" t="s">
        <v>42</v>
      </c>
      <c r="J753" s="5" t="s">
        <v>43</v>
      </c>
      <c r="K753" s="5">
        <v>8.7733785699E10</v>
      </c>
      <c r="L753" s="4" t="s">
        <v>44</v>
      </c>
      <c r="M753" s="5" t="s">
        <v>42</v>
      </c>
      <c r="N753" s="4" t="s">
        <v>45</v>
      </c>
      <c r="O753" s="4" t="s">
        <v>46</v>
      </c>
      <c r="P753" s="4" t="s">
        <v>47</v>
      </c>
      <c r="Q753" s="4">
        <v>16451.0</v>
      </c>
      <c r="R753" s="5" t="s">
        <v>4510</v>
      </c>
      <c r="S753" s="8">
        <v>46186.0</v>
      </c>
      <c r="T753" s="9">
        <v>0.375</v>
      </c>
      <c r="U753" s="9">
        <v>0.9166666666666666</v>
      </c>
      <c r="V753" s="4" t="s">
        <v>49</v>
      </c>
      <c r="W753" s="5">
        <v>1.0</v>
      </c>
      <c r="X753" s="5" t="b">
        <v>1</v>
      </c>
      <c r="Y753" s="5" t="s">
        <v>50</v>
      </c>
      <c r="Z753" s="5" t="b">
        <v>0</v>
      </c>
      <c r="AA753" s="10"/>
      <c r="AB753" s="4">
        <v>1.0</v>
      </c>
      <c r="AC753" s="11" t="s">
        <v>4511</v>
      </c>
      <c r="AD753" s="5">
        <v>0.0</v>
      </c>
      <c r="AE753" s="5">
        <v>1.0</v>
      </c>
      <c r="AF753" s="8">
        <v>46186.0</v>
      </c>
      <c r="AG753" s="9">
        <v>0.375</v>
      </c>
      <c r="AH753" s="9">
        <v>0.9166666666666666</v>
      </c>
      <c r="AI753" s="4" t="s">
        <v>49</v>
      </c>
      <c r="AJ753" s="5" t="s">
        <v>4512</v>
      </c>
      <c r="AK753" s="12"/>
      <c r="AL753" s="12"/>
      <c r="AM753" s="12"/>
      <c r="AN753" s="12"/>
      <c r="AO753" s="12"/>
      <c r="AP753" s="12"/>
      <c r="AQ753" s="12"/>
    </row>
    <row r="754">
      <c r="A754" s="5" t="s">
        <v>4513</v>
      </c>
      <c r="B754" s="5">
        <v>1.1398423E7</v>
      </c>
      <c r="C754" s="5" t="s">
        <v>37</v>
      </c>
      <c r="D754" s="5" t="s">
        <v>4514</v>
      </c>
      <c r="E754" s="5" t="s">
        <v>39</v>
      </c>
      <c r="F754" s="5" t="s">
        <v>4515</v>
      </c>
      <c r="G754" s="15">
        <v>6.28789E17</v>
      </c>
      <c r="H754" s="5" t="s">
        <v>4516</v>
      </c>
      <c r="I754" s="5" t="s">
        <v>42</v>
      </c>
      <c r="J754" s="5" t="s">
        <v>43</v>
      </c>
      <c r="K754" s="5">
        <v>8.7733785699E10</v>
      </c>
      <c r="L754" s="4" t="s">
        <v>44</v>
      </c>
      <c r="M754" s="5" t="s">
        <v>42</v>
      </c>
      <c r="N754" s="4" t="s">
        <v>45</v>
      </c>
      <c r="O754" s="4" t="s">
        <v>46</v>
      </c>
      <c r="P754" s="4" t="s">
        <v>47</v>
      </c>
      <c r="Q754" s="4">
        <v>16451.0</v>
      </c>
      <c r="R754" s="5" t="s">
        <v>4517</v>
      </c>
      <c r="S754" s="8">
        <v>46186.0</v>
      </c>
      <c r="T754" s="9">
        <v>0.375</v>
      </c>
      <c r="U754" s="9">
        <v>0.9166666666666666</v>
      </c>
      <c r="V754" s="4" t="s">
        <v>49</v>
      </c>
      <c r="W754" s="5">
        <v>1.0</v>
      </c>
      <c r="X754" s="5" t="b">
        <v>1</v>
      </c>
      <c r="Y754" s="5" t="s">
        <v>50</v>
      </c>
      <c r="Z754" s="5" t="b">
        <v>0</v>
      </c>
      <c r="AA754" s="10"/>
      <c r="AB754" s="4">
        <v>1.0</v>
      </c>
      <c r="AC754" s="11" t="s">
        <v>4518</v>
      </c>
      <c r="AD754" s="5">
        <v>0.0</v>
      </c>
      <c r="AE754" s="5">
        <v>1.0</v>
      </c>
      <c r="AF754" s="8">
        <v>46186.0</v>
      </c>
      <c r="AG754" s="9">
        <v>0.375</v>
      </c>
      <c r="AH754" s="9">
        <v>0.9166666666666666</v>
      </c>
      <c r="AI754" s="4" t="s">
        <v>49</v>
      </c>
      <c r="AJ754" s="5" t="s">
        <v>4519</v>
      </c>
      <c r="AK754" s="12"/>
      <c r="AL754" s="12"/>
      <c r="AM754" s="12"/>
      <c r="AN754" s="12"/>
      <c r="AO754" s="12"/>
      <c r="AP754" s="12"/>
      <c r="AQ754" s="12"/>
    </row>
    <row r="755">
      <c r="A755" s="5" t="s">
        <v>4520</v>
      </c>
      <c r="B755" s="5">
        <v>1.1398423E7</v>
      </c>
      <c r="C755" s="5" t="s">
        <v>37</v>
      </c>
      <c r="D755" s="5" t="s">
        <v>4521</v>
      </c>
      <c r="E755" s="5" t="s">
        <v>39</v>
      </c>
      <c r="F755" s="5" t="s">
        <v>4515</v>
      </c>
      <c r="G755" s="15">
        <v>6.28789E17</v>
      </c>
      <c r="H755" s="5" t="s">
        <v>4516</v>
      </c>
      <c r="I755" s="5" t="s">
        <v>42</v>
      </c>
      <c r="J755" s="5" t="s">
        <v>43</v>
      </c>
      <c r="K755" s="5">
        <v>8.7733785699E10</v>
      </c>
      <c r="L755" s="4" t="s">
        <v>44</v>
      </c>
      <c r="M755" s="5" t="s">
        <v>42</v>
      </c>
      <c r="N755" s="4" t="s">
        <v>45</v>
      </c>
      <c r="O755" s="4" t="s">
        <v>46</v>
      </c>
      <c r="P755" s="4" t="s">
        <v>47</v>
      </c>
      <c r="Q755" s="4">
        <v>16451.0</v>
      </c>
      <c r="R755" s="5" t="s">
        <v>4522</v>
      </c>
      <c r="S755" s="8">
        <v>46186.0</v>
      </c>
      <c r="T755" s="9">
        <v>0.375</v>
      </c>
      <c r="U755" s="9">
        <v>0.9166666666666666</v>
      </c>
      <c r="V755" s="4" t="s">
        <v>49</v>
      </c>
      <c r="W755" s="5">
        <v>1.0</v>
      </c>
      <c r="X755" s="5" t="b">
        <v>1</v>
      </c>
      <c r="Y755" s="5" t="s">
        <v>50</v>
      </c>
      <c r="Z755" s="5" t="b">
        <v>0</v>
      </c>
      <c r="AA755" s="10"/>
      <c r="AB755" s="4">
        <v>1.0</v>
      </c>
      <c r="AC755" s="11" t="s">
        <v>4523</v>
      </c>
      <c r="AD755" s="5">
        <v>0.0</v>
      </c>
      <c r="AE755" s="5">
        <v>1.0</v>
      </c>
      <c r="AF755" s="8">
        <v>46186.0</v>
      </c>
      <c r="AG755" s="9">
        <v>0.375</v>
      </c>
      <c r="AH755" s="9">
        <v>0.9166666666666666</v>
      </c>
      <c r="AI755" s="4" t="s">
        <v>49</v>
      </c>
      <c r="AJ755" s="5" t="s">
        <v>4524</v>
      </c>
      <c r="AK755" s="12"/>
      <c r="AL755" s="12"/>
      <c r="AM755" s="12"/>
      <c r="AN755" s="12"/>
      <c r="AO755" s="12"/>
      <c r="AP755" s="12"/>
      <c r="AQ755" s="12"/>
    </row>
    <row r="756">
      <c r="A756" s="5" t="s">
        <v>4525</v>
      </c>
      <c r="B756" s="5">
        <v>1.1398423E7</v>
      </c>
      <c r="C756" s="5" t="s">
        <v>37</v>
      </c>
      <c r="D756" s="5" t="s">
        <v>4526</v>
      </c>
      <c r="E756" s="5" t="s">
        <v>39</v>
      </c>
      <c r="F756" s="5" t="s">
        <v>4527</v>
      </c>
      <c r="G756" s="15">
        <v>6.28821E17</v>
      </c>
      <c r="H756" s="5" t="s">
        <v>4528</v>
      </c>
      <c r="I756" s="5" t="s">
        <v>42</v>
      </c>
      <c r="J756" s="5" t="s">
        <v>43</v>
      </c>
      <c r="K756" s="5">
        <v>8.7733785699E10</v>
      </c>
      <c r="L756" s="4" t="s">
        <v>44</v>
      </c>
      <c r="M756" s="5" t="s">
        <v>42</v>
      </c>
      <c r="N756" s="4" t="s">
        <v>45</v>
      </c>
      <c r="O756" s="4" t="s">
        <v>46</v>
      </c>
      <c r="P756" s="4" t="s">
        <v>47</v>
      </c>
      <c r="Q756" s="4">
        <v>16451.0</v>
      </c>
      <c r="R756" s="5" t="s">
        <v>4529</v>
      </c>
      <c r="S756" s="8">
        <v>46186.0</v>
      </c>
      <c r="T756" s="9">
        <v>0.375</v>
      </c>
      <c r="U756" s="9">
        <v>0.9166666666666666</v>
      </c>
      <c r="V756" s="4" t="s">
        <v>49</v>
      </c>
      <c r="W756" s="5">
        <v>1.0</v>
      </c>
      <c r="X756" s="5" t="b">
        <v>1</v>
      </c>
      <c r="Y756" s="5" t="s">
        <v>50</v>
      </c>
      <c r="Z756" s="5" t="b">
        <v>0</v>
      </c>
      <c r="AA756" s="10"/>
      <c r="AB756" s="4">
        <v>1.0</v>
      </c>
      <c r="AC756" s="11" t="s">
        <v>4530</v>
      </c>
      <c r="AD756" s="5">
        <v>0.0</v>
      </c>
      <c r="AE756" s="5">
        <v>1.0</v>
      </c>
      <c r="AF756" s="8">
        <v>46186.0</v>
      </c>
      <c r="AG756" s="9">
        <v>0.375</v>
      </c>
      <c r="AH756" s="9">
        <v>0.9166666666666666</v>
      </c>
      <c r="AI756" s="4" t="s">
        <v>49</v>
      </c>
      <c r="AJ756" s="5" t="s">
        <v>4531</v>
      </c>
      <c r="AK756" s="12"/>
      <c r="AL756" s="12"/>
      <c r="AM756" s="12"/>
      <c r="AN756" s="12"/>
      <c r="AO756" s="12"/>
      <c r="AP756" s="12"/>
      <c r="AQ756" s="12"/>
    </row>
    <row r="757">
      <c r="A757" s="5" t="s">
        <v>4532</v>
      </c>
      <c r="B757" s="5">
        <v>1.1398423E7</v>
      </c>
      <c r="C757" s="5" t="s">
        <v>37</v>
      </c>
      <c r="D757" s="5" t="s">
        <v>4292</v>
      </c>
      <c r="E757" s="5" t="s">
        <v>39</v>
      </c>
      <c r="F757" s="5" t="s">
        <v>4293</v>
      </c>
      <c r="G757" s="15">
        <v>6.28119E17</v>
      </c>
      <c r="H757" s="5" t="s">
        <v>4294</v>
      </c>
      <c r="I757" s="5" t="s">
        <v>42</v>
      </c>
      <c r="J757" s="5" t="s">
        <v>43</v>
      </c>
      <c r="K757" s="5">
        <v>8.7733785699E10</v>
      </c>
      <c r="L757" s="4" t="s">
        <v>44</v>
      </c>
      <c r="M757" s="5" t="s">
        <v>42</v>
      </c>
      <c r="N757" s="4" t="s">
        <v>45</v>
      </c>
      <c r="O757" s="4" t="s">
        <v>46</v>
      </c>
      <c r="P757" s="4" t="s">
        <v>47</v>
      </c>
      <c r="Q757" s="4">
        <v>16451.0</v>
      </c>
      <c r="R757" s="5" t="s">
        <v>4295</v>
      </c>
      <c r="S757" s="8">
        <v>46186.0</v>
      </c>
      <c r="T757" s="9">
        <v>0.375</v>
      </c>
      <c r="U757" s="9">
        <v>0.9166666666666666</v>
      </c>
      <c r="V757" s="4" t="s">
        <v>49</v>
      </c>
      <c r="W757" s="5">
        <v>1.0</v>
      </c>
      <c r="X757" s="5" t="b">
        <v>1</v>
      </c>
      <c r="Y757" s="5" t="s">
        <v>50</v>
      </c>
      <c r="Z757" s="5" t="b">
        <v>0</v>
      </c>
      <c r="AA757" s="10"/>
      <c r="AB757" s="4">
        <v>1.0</v>
      </c>
      <c r="AC757" s="11" t="s">
        <v>4533</v>
      </c>
      <c r="AD757" s="5">
        <v>0.0</v>
      </c>
      <c r="AE757" s="5">
        <v>1.0</v>
      </c>
      <c r="AF757" s="8">
        <v>46186.0</v>
      </c>
      <c r="AG757" s="9">
        <v>0.375</v>
      </c>
      <c r="AH757" s="9">
        <v>0.9166666666666666</v>
      </c>
      <c r="AI757" s="4" t="s">
        <v>49</v>
      </c>
      <c r="AJ757" s="5" t="s">
        <v>4297</v>
      </c>
      <c r="AK757" s="12"/>
      <c r="AL757" s="12"/>
      <c r="AM757" s="12"/>
      <c r="AN757" s="12"/>
      <c r="AO757" s="12"/>
      <c r="AP757" s="12"/>
      <c r="AQ757" s="12"/>
    </row>
    <row r="758">
      <c r="A758" s="5" t="s">
        <v>4534</v>
      </c>
      <c r="B758" s="5">
        <v>1.1398423E7</v>
      </c>
      <c r="C758" s="5" t="s">
        <v>37</v>
      </c>
      <c r="D758" s="5" t="s">
        <v>4535</v>
      </c>
      <c r="E758" s="5" t="s">
        <v>39</v>
      </c>
      <c r="F758" s="5" t="s">
        <v>4536</v>
      </c>
      <c r="G758" s="15">
        <v>6.28132E17</v>
      </c>
      <c r="H758" s="5" t="s">
        <v>4537</v>
      </c>
      <c r="I758" s="5" t="s">
        <v>42</v>
      </c>
      <c r="J758" s="5" t="s">
        <v>43</v>
      </c>
      <c r="K758" s="5">
        <v>8.7733785699E10</v>
      </c>
      <c r="L758" s="4" t="s">
        <v>44</v>
      </c>
      <c r="M758" s="5" t="s">
        <v>42</v>
      </c>
      <c r="N758" s="4" t="s">
        <v>45</v>
      </c>
      <c r="O758" s="4" t="s">
        <v>46</v>
      </c>
      <c r="P758" s="4" t="s">
        <v>47</v>
      </c>
      <c r="Q758" s="4">
        <v>16451.0</v>
      </c>
      <c r="R758" s="5" t="s">
        <v>4538</v>
      </c>
      <c r="S758" s="8">
        <v>46186.0</v>
      </c>
      <c r="T758" s="9">
        <v>0.375</v>
      </c>
      <c r="U758" s="9">
        <v>0.9166666666666666</v>
      </c>
      <c r="V758" s="4" t="s">
        <v>49</v>
      </c>
      <c r="W758" s="5">
        <v>1.0</v>
      </c>
      <c r="X758" s="5" t="b">
        <v>1</v>
      </c>
      <c r="Y758" s="5" t="s">
        <v>50</v>
      </c>
      <c r="Z758" s="5" t="b">
        <v>0</v>
      </c>
      <c r="AA758" s="10"/>
      <c r="AB758" s="4">
        <v>1.0</v>
      </c>
      <c r="AC758" s="11" t="s">
        <v>4539</v>
      </c>
      <c r="AD758" s="5">
        <v>0.0</v>
      </c>
      <c r="AE758" s="5">
        <v>1.0</v>
      </c>
      <c r="AF758" s="8">
        <v>46186.0</v>
      </c>
      <c r="AG758" s="9">
        <v>0.375</v>
      </c>
      <c r="AH758" s="9">
        <v>0.9166666666666666</v>
      </c>
      <c r="AI758" s="4" t="s">
        <v>49</v>
      </c>
      <c r="AJ758" s="5" t="s">
        <v>4540</v>
      </c>
      <c r="AK758" s="12"/>
      <c r="AL758" s="12"/>
      <c r="AM758" s="12"/>
      <c r="AN758" s="12"/>
      <c r="AO758" s="12"/>
      <c r="AP758" s="12"/>
      <c r="AQ758" s="12"/>
    </row>
    <row r="759">
      <c r="A759" s="5" t="s">
        <v>4541</v>
      </c>
      <c r="B759" s="5">
        <v>1.1398423E7</v>
      </c>
      <c r="C759" s="5" t="s">
        <v>37</v>
      </c>
      <c r="D759" s="5" t="s">
        <v>4542</v>
      </c>
      <c r="E759" s="5" t="s">
        <v>39</v>
      </c>
      <c r="F759" s="5" t="s">
        <v>300</v>
      </c>
      <c r="G759" s="15">
        <v>6.28228E17</v>
      </c>
      <c r="H759" s="5" t="s">
        <v>301</v>
      </c>
      <c r="I759" s="5" t="s">
        <v>42</v>
      </c>
      <c r="J759" s="5" t="s">
        <v>43</v>
      </c>
      <c r="K759" s="5">
        <v>8.7733785699E10</v>
      </c>
      <c r="L759" s="4" t="s">
        <v>44</v>
      </c>
      <c r="M759" s="5" t="s">
        <v>42</v>
      </c>
      <c r="N759" s="4" t="s">
        <v>45</v>
      </c>
      <c r="O759" s="4" t="s">
        <v>46</v>
      </c>
      <c r="P759" s="4" t="s">
        <v>47</v>
      </c>
      <c r="Q759" s="4">
        <v>16451.0</v>
      </c>
      <c r="R759" s="5" t="s">
        <v>4543</v>
      </c>
      <c r="S759" s="8">
        <v>46186.0</v>
      </c>
      <c r="T759" s="9">
        <v>0.375</v>
      </c>
      <c r="U759" s="9">
        <v>0.9166666666666666</v>
      </c>
      <c r="V759" s="4" t="s">
        <v>49</v>
      </c>
      <c r="W759" s="5">
        <v>1.0</v>
      </c>
      <c r="X759" s="5" t="b">
        <v>1</v>
      </c>
      <c r="Y759" s="5" t="s">
        <v>50</v>
      </c>
      <c r="Z759" s="5" t="b">
        <v>0</v>
      </c>
      <c r="AA759" s="10"/>
      <c r="AB759" s="4">
        <v>1.0</v>
      </c>
      <c r="AC759" s="11" t="s">
        <v>4544</v>
      </c>
      <c r="AD759" s="5">
        <v>0.0</v>
      </c>
      <c r="AE759" s="5">
        <v>1.0</v>
      </c>
      <c r="AF759" s="8">
        <v>46186.0</v>
      </c>
      <c r="AG759" s="9">
        <v>0.375</v>
      </c>
      <c r="AH759" s="9">
        <v>0.9166666666666666</v>
      </c>
      <c r="AI759" s="4" t="s">
        <v>49</v>
      </c>
      <c r="AJ759" s="5" t="s">
        <v>4545</v>
      </c>
      <c r="AK759" s="12"/>
      <c r="AL759" s="12"/>
      <c r="AM759" s="12"/>
      <c r="AN759" s="12"/>
      <c r="AO759" s="12"/>
      <c r="AP759" s="12"/>
      <c r="AQ759" s="12"/>
    </row>
    <row r="760">
      <c r="A760" s="5" t="s">
        <v>4546</v>
      </c>
      <c r="B760" s="5">
        <v>1.1398423E7</v>
      </c>
      <c r="C760" s="5" t="s">
        <v>37</v>
      </c>
      <c r="D760" s="5" t="s">
        <v>4547</v>
      </c>
      <c r="E760" s="5" t="s">
        <v>39</v>
      </c>
      <c r="F760" s="5" t="s">
        <v>4548</v>
      </c>
      <c r="G760" s="15">
        <v>6.28788E17</v>
      </c>
      <c r="H760" s="5" t="s">
        <v>4549</v>
      </c>
      <c r="I760" s="5" t="s">
        <v>42</v>
      </c>
      <c r="J760" s="5" t="s">
        <v>43</v>
      </c>
      <c r="K760" s="5">
        <v>8.7733785699E10</v>
      </c>
      <c r="L760" s="4" t="s">
        <v>44</v>
      </c>
      <c r="M760" s="5" t="s">
        <v>42</v>
      </c>
      <c r="N760" s="4" t="s">
        <v>45</v>
      </c>
      <c r="O760" s="4" t="s">
        <v>46</v>
      </c>
      <c r="P760" s="4" t="s">
        <v>47</v>
      </c>
      <c r="Q760" s="4">
        <v>16451.0</v>
      </c>
      <c r="R760" s="5" t="s">
        <v>4550</v>
      </c>
      <c r="S760" s="8">
        <v>46186.0</v>
      </c>
      <c r="T760" s="9">
        <v>0.375</v>
      </c>
      <c r="U760" s="9">
        <v>0.9166666666666666</v>
      </c>
      <c r="V760" s="4" t="s">
        <v>49</v>
      </c>
      <c r="W760" s="5">
        <v>1.0</v>
      </c>
      <c r="X760" s="5" t="b">
        <v>1</v>
      </c>
      <c r="Y760" s="5" t="s">
        <v>50</v>
      </c>
      <c r="Z760" s="5" t="b">
        <v>0</v>
      </c>
      <c r="AA760" s="10"/>
      <c r="AB760" s="4">
        <v>1.0</v>
      </c>
      <c r="AC760" s="11" t="s">
        <v>4551</v>
      </c>
      <c r="AD760" s="5">
        <v>0.0</v>
      </c>
      <c r="AE760" s="5">
        <v>1.0</v>
      </c>
      <c r="AF760" s="8">
        <v>46186.0</v>
      </c>
      <c r="AG760" s="9">
        <v>0.375</v>
      </c>
      <c r="AH760" s="9">
        <v>0.9166666666666666</v>
      </c>
      <c r="AI760" s="4" t="s">
        <v>49</v>
      </c>
      <c r="AJ760" s="5" t="s">
        <v>4552</v>
      </c>
      <c r="AK760" s="12"/>
      <c r="AL760" s="12"/>
      <c r="AM760" s="12"/>
      <c r="AN760" s="12"/>
      <c r="AO760" s="12"/>
      <c r="AP760" s="12"/>
      <c r="AQ760" s="12"/>
    </row>
    <row r="761">
      <c r="A761" s="5" t="s">
        <v>4553</v>
      </c>
      <c r="B761" s="5">
        <v>1.1398423E7</v>
      </c>
      <c r="C761" s="5" t="s">
        <v>37</v>
      </c>
      <c r="D761" s="5" t="s">
        <v>4554</v>
      </c>
      <c r="E761" s="5" t="s">
        <v>39</v>
      </c>
      <c r="F761" s="5" t="s">
        <v>4555</v>
      </c>
      <c r="G761" s="15">
        <v>6.28121E17</v>
      </c>
      <c r="H761" s="5" t="s">
        <v>4556</v>
      </c>
      <c r="I761" s="5" t="s">
        <v>42</v>
      </c>
      <c r="J761" s="5" t="s">
        <v>43</v>
      </c>
      <c r="K761" s="5">
        <v>8.7733785699E10</v>
      </c>
      <c r="L761" s="4" t="s">
        <v>44</v>
      </c>
      <c r="M761" s="5" t="s">
        <v>42</v>
      </c>
      <c r="N761" s="4" t="s">
        <v>45</v>
      </c>
      <c r="O761" s="4" t="s">
        <v>46</v>
      </c>
      <c r="P761" s="4" t="s">
        <v>47</v>
      </c>
      <c r="Q761" s="4">
        <v>16451.0</v>
      </c>
      <c r="R761" s="5" t="s">
        <v>4557</v>
      </c>
      <c r="S761" s="8">
        <v>46186.0</v>
      </c>
      <c r="T761" s="9">
        <v>0.375</v>
      </c>
      <c r="U761" s="9">
        <v>0.9166666666666666</v>
      </c>
      <c r="V761" s="4" t="s">
        <v>49</v>
      </c>
      <c r="W761" s="5">
        <v>1.0</v>
      </c>
      <c r="X761" s="5" t="b">
        <v>1</v>
      </c>
      <c r="Y761" s="5" t="s">
        <v>50</v>
      </c>
      <c r="Z761" s="5" t="b">
        <v>0</v>
      </c>
      <c r="AA761" s="10"/>
      <c r="AB761" s="4">
        <v>1.0</v>
      </c>
      <c r="AC761" s="11" t="s">
        <v>4558</v>
      </c>
      <c r="AD761" s="5">
        <v>0.0</v>
      </c>
      <c r="AE761" s="5">
        <v>1.0</v>
      </c>
      <c r="AF761" s="8">
        <v>46186.0</v>
      </c>
      <c r="AG761" s="9">
        <v>0.375</v>
      </c>
      <c r="AH761" s="9">
        <v>0.9166666666666666</v>
      </c>
      <c r="AI761" s="4" t="s">
        <v>49</v>
      </c>
      <c r="AJ761" s="5" t="s">
        <v>4559</v>
      </c>
      <c r="AK761" s="12"/>
      <c r="AL761" s="12"/>
      <c r="AM761" s="12"/>
      <c r="AN761" s="12"/>
      <c r="AO761" s="12"/>
      <c r="AP761" s="12"/>
      <c r="AQ761" s="12"/>
    </row>
    <row r="762">
      <c r="A762" s="5" t="s">
        <v>4560</v>
      </c>
      <c r="B762" s="5">
        <v>1.1398423E7</v>
      </c>
      <c r="C762" s="5" t="s">
        <v>37</v>
      </c>
      <c r="D762" s="5" t="s">
        <v>4561</v>
      </c>
      <c r="E762" s="5" t="s">
        <v>39</v>
      </c>
      <c r="F762" s="5" t="s">
        <v>1585</v>
      </c>
      <c r="G762" s="15">
        <v>6.28537E17</v>
      </c>
      <c r="H762" s="5" t="s">
        <v>1586</v>
      </c>
      <c r="I762" s="5" t="s">
        <v>42</v>
      </c>
      <c r="J762" s="5" t="s">
        <v>43</v>
      </c>
      <c r="K762" s="5">
        <v>8.7733785699E10</v>
      </c>
      <c r="L762" s="4" t="s">
        <v>44</v>
      </c>
      <c r="M762" s="5" t="s">
        <v>42</v>
      </c>
      <c r="N762" s="4" t="s">
        <v>45</v>
      </c>
      <c r="O762" s="4" t="s">
        <v>46</v>
      </c>
      <c r="P762" s="4" t="s">
        <v>47</v>
      </c>
      <c r="Q762" s="4">
        <v>16451.0</v>
      </c>
      <c r="R762" s="5" t="s">
        <v>4562</v>
      </c>
      <c r="S762" s="8">
        <v>46186.0</v>
      </c>
      <c r="T762" s="9">
        <v>0.375</v>
      </c>
      <c r="U762" s="9">
        <v>0.9166666666666666</v>
      </c>
      <c r="V762" s="4" t="s">
        <v>49</v>
      </c>
      <c r="W762" s="5">
        <v>1.0</v>
      </c>
      <c r="X762" s="5" t="b">
        <v>1</v>
      </c>
      <c r="Y762" s="5" t="s">
        <v>50</v>
      </c>
      <c r="Z762" s="5" t="b">
        <v>0</v>
      </c>
      <c r="AA762" s="10"/>
      <c r="AB762" s="4">
        <v>1.0</v>
      </c>
      <c r="AC762" s="11" t="s">
        <v>4563</v>
      </c>
      <c r="AD762" s="5">
        <v>0.0</v>
      </c>
      <c r="AE762" s="5">
        <v>1.0</v>
      </c>
      <c r="AF762" s="8">
        <v>46186.0</v>
      </c>
      <c r="AG762" s="9">
        <v>0.375</v>
      </c>
      <c r="AH762" s="9">
        <v>0.9166666666666666</v>
      </c>
      <c r="AI762" s="4" t="s">
        <v>49</v>
      </c>
      <c r="AJ762" s="5" t="s">
        <v>4564</v>
      </c>
      <c r="AK762" s="12"/>
      <c r="AL762" s="12"/>
      <c r="AM762" s="12"/>
      <c r="AN762" s="12"/>
      <c r="AO762" s="12"/>
      <c r="AP762" s="12"/>
      <c r="AQ762" s="12"/>
    </row>
    <row r="763">
      <c r="A763" s="5" t="s">
        <v>4565</v>
      </c>
      <c r="B763" s="5">
        <v>1.1398423E7</v>
      </c>
      <c r="C763" s="5" t="s">
        <v>37</v>
      </c>
      <c r="D763" s="5" t="s">
        <v>4566</v>
      </c>
      <c r="E763" s="5" t="s">
        <v>39</v>
      </c>
      <c r="F763" s="5" t="s">
        <v>1193</v>
      </c>
      <c r="G763" s="15">
        <v>6.28128E17</v>
      </c>
      <c r="H763" s="5" t="s">
        <v>1194</v>
      </c>
      <c r="I763" s="5" t="s">
        <v>42</v>
      </c>
      <c r="J763" s="5" t="s">
        <v>43</v>
      </c>
      <c r="K763" s="5">
        <v>8.7733785699E10</v>
      </c>
      <c r="L763" s="4" t="s">
        <v>44</v>
      </c>
      <c r="M763" s="5" t="s">
        <v>42</v>
      </c>
      <c r="N763" s="4" t="s">
        <v>45</v>
      </c>
      <c r="O763" s="4" t="s">
        <v>46</v>
      </c>
      <c r="P763" s="4" t="s">
        <v>47</v>
      </c>
      <c r="Q763" s="4">
        <v>16451.0</v>
      </c>
      <c r="R763" s="5" t="s">
        <v>4567</v>
      </c>
      <c r="S763" s="8">
        <v>46186.0</v>
      </c>
      <c r="T763" s="9">
        <v>0.375</v>
      </c>
      <c r="U763" s="9">
        <v>0.9166666666666666</v>
      </c>
      <c r="V763" s="4" t="s">
        <v>49</v>
      </c>
      <c r="W763" s="5">
        <v>1.0</v>
      </c>
      <c r="X763" s="5" t="b">
        <v>1</v>
      </c>
      <c r="Y763" s="5" t="s">
        <v>50</v>
      </c>
      <c r="Z763" s="5" t="b">
        <v>0</v>
      </c>
      <c r="AA763" s="10"/>
      <c r="AB763" s="4">
        <v>1.0</v>
      </c>
      <c r="AC763" s="11" t="s">
        <v>4568</v>
      </c>
      <c r="AD763" s="5">
        <v>0.0</v>
      </c>
      <c r="AE763" s="5">
        <v>1.0</v>
      </c>
      <c r="AF763" s="8">
        <v>46186.0</v>
      </c>
      <c r="AG763" s="9">
        <v>0.375</v>
      </c>
      <c r="AH763" s="9">
        <v>0.9166666666666666</v>
      </c>
      <c r="AI763" s="4" t="s">
        <v>49</v>
      </c>
      <c r="AJ763" s="5" t="s">
        <v>4569</v>
      </c>
      <c r="AK763" s="12"/>
      <c r="AL763" s="12"/>
      <c r="AM763" s="12"/>
      <c r="AN763" s="12"/>
      <c r="AO763" s="12"/>
      <c r="AP763" s="12"/>
      <c r="AQ763" s="12"/>
    </row>
    <row r="764">
      <c r="A764" s="5" t="s">
        <v>4570</v>
      </c>
      <c r="B764" s="5">
        <v>1.1398423E7</v>
      </c>
      <c r="C764" s="5" t="s">
        <v>37</v>
      </c>
      <c r="D764" s="5" t="s">
        <v>4571</v>
      </c>
      <c r="E764" s="5" t="s">
        <v>39</v>
      </c>
      <c r="F764" s="5" t="s">
        <v>4572</v>
      </c>
      <c r="G764" s="15">
        <v>6.28129E17</v>
      </c>
      <c r="H764" s="5" t="s">
        <v>4573</v>
      </c>
      <c r="I764" s="5" t="s">
        <v>42</v>
      </c>
      <c r="J764" s="5" t="s">
        <v>43</v>
      </c>
      <c r="K764" s="5">
        <v>8.7733785699E10</v>
      </c>
      <c r="L764" s="4" t="s">
        <v>44</v>
      </c>
      <c r="M764" s="5" t="s">
        <v>42</v>
      </c>
      <c r="N764" s="4" t="s">
        <v>45</v>
      </c>
      <c r="O764" s="4" t="s">
        <v>46</v>
      </c>
      <c r="P764" s="4" t="s">
        <v>47</v>
      </c>
      <c r="Q764" s="4">
        <v>16451.0</v>
      </c>
      <c r="R764" s="5" t="s">
        <v>4574</v>
      </c>
      <c r="S764" s="8">
        <v>46186.0</v>
      </c>
      <c r="T764" s="9">
        <v>0.375</v>
      </c>
      <c r="U764" s="9">
        <v>0.9166666666666666</v>
      </c>
      <c r="V764" s="4" t="s">
        <v>49</v>
      </c>
      <c r="W764" s="5">
        <v>1.0</v>
      </c>
      <c r="X764" s="5" t="b">
        <v>1</v>
      </c>
      <c r="Y764" s="5" t="s">
        <v>50</v>
      </c>
      <c r="Z764" s="5" t="b">
        <v>0</v>
      </c>
      <c r="AA764" s="10"/>
      <c r="AB764" s="4">
        <v>1.0</v>
      </c>
      <c r="AC764" s="11" t="s">
        <v>4575</v>
      </c>
      <c r="AD764" s="5">
        <v>0.0</v>
      </c>
      <c r="AE764" s="5">
        <v>1.0</v>
      </c>
      <c r="AF764" s="8">
        <v>46186.0</v>
      </c>
      <c r="AG764" s="9">
        <v>0.375</v>
      </c>
      <c r="AH764" s="9">
        <v>0.9166666666666666</v>
      </c>
      <c r="AI764" s="4" t="s">
        <v>49</v>
      </c>
      <c r="AJ764" s="5" t="s">
        <v>4576</v>
      </c>
      <c r="AK764" s="12"/>
      <c r="AL764" s="12"/>
      <c r="AM764" s="12"/>
      <c r="AN764" s="12"/>
      <c r="AO764" s="12"/>
      <c r="AP764" s="12"/>
      <c r="AQ764" s="12"/>
    </row>
    <row r="765">
      <c r="A765" s="5" t="s">
        <v>4577</v>
      </c>
      <c r="B765" s="5">
        <v>1.1398423E7</v>
      </c>
      <c r="C765" s="5" t="s">
        <v>37</v>
      </c>
      <c r="D765" s="5" t="s">
        <v>4578</v>
      </c>
      <c r="E765" s="5" t="s">
        <v>39</v>
      </c>
      <c r="F765" s="5" t="s">
        <v>4579</v>
      </c>
      <c r="G765" s="15">
        <v>6.28512E17</v>
      </c>
      <c r="H765" s="5" t="s">
        <v>4580</v>
      </c>
      <c r="I765" s="5" t="s">
        <v>42</v>
      </c>
      <c r="J765" s="5" t="s">
        <v>43</v>
      </c>
      <c r="K765" s="5">
        <v>8.7733785699E10</v>
      </c>
      <c r="L765" s="4" t="s">
        <v>44</v>
      </c>
      <c r="M765" s="5" t="s">
        <v>42</v>
      </c>
      <c r="N765" s="4" t="s">
        <v>45</v>
      </c>
      <c r="O765" s="4" t="s">
        <v>46</v>
      </c>
      <c r="P765" s="4" t="s">
        <v>47</v>
      </c>
      <c r="Q765" s="4">
        <v>16451.0</v>
      </c>
      <c r="R765" s="5" t="s">
        <v>4581</v>
      </c>
      <c r="S765" s="8">
        <v>46186.0</v>
      </c>
      <c r="T765" s="9">
        <v>0.375</v>
      </c>
      <c r="U765" s="9">
        <v>0.9166666666666666</v>
      </c>
      <c r="V765" s="4" t="s">
        <v>49</v>
      </c>
      <c r="W765" s="5">
        <v>1.0</v>
      </c>
      <c r="X765" s="5" t="b">
        <v>1</v>
      </c>
      <c r="Y765" s="5" t="s">
        <v>50</v>
      </c>
      <c r="Z765" s="5" t="b">
        <v>0</v>
      </c>
      <c r="AA765" s="10"/>
      <c r="AB765" s="4">
        <v>1.0</v>
      </c>
      <c r="AC765" s="11" t="s">
        <v>4582</v>
      </c>
      <c r="AD765" s="5">
        <v>0.0</v>
      </c>
      <c r="AE765" s="5">
        <v>1.0</v>
      </c>
      <c r="AF765" s="8">
        <v>46186.0</v>
      </c>
      <c r="AG765" s="9">
        <v>0.375</v>
      </c>
      <c r="AH765" s="9">
        <v>0.9166666666666666</v>
      </c>
      <c r="AI765" s="4" t="s">
        <v>49</v>
      </c>
      <c r="AJ765" s="5" t="s">
        <v>4583</v>
      </c>
      <c r="AK765" s="12"/>
      <c r="AL765" s="12"/>
      <c r="AM765" s="12"/>
      <c r="AN765" s="12"/>
      <c r="AO765" s="12"/>
      <c r="AP765" s="12"/>
      <c r="AQ765" s="12"/>
    </row>
    <row r="766">
      <c r="A766" s="5" t="s">
        <v>4584</v>
      </c>
      <c r="B766" s="5">
        <v>1.1398423E7</v>
      </c>
      <c r="C766" s="5" t="s">
        <v>37</v>
      </c>
      <c r="D766" s="5" t="s">
        <v>4585</v>
      </c>
      <c r="E766" s="5" t="s">
        <v>39</v>
      </c>
      <c r="F766" s="5" t="s">
        <v>4586</v>
      </c>
      <c r="G766" s="15">
        <v>6.28001E17</v>
      </c>
      <c r="H766" s="5" t="s">
        <v>4587</v>
      </c>
      <c r="I766" s="5" t="s">
        <v>42</v>
      </c>
      <c r="J766" s="5" t="s">
        <v>43</v>
      </c>
      <c r="K766" s="5">
        <v>8.7733785699E10</v>
      </c>
      <c r="L766" s="4" t="s">
        <v>44</v>
      </c>
      <c r="M766" s="5" t="s">
        <v>42</v>
      </c>
      <c r="N766" s="4" t="s">
        <v>45</v>
      </c>
      <c r="O766" s="4" t="s">
        <v>46</v>
      </c>
      <c r="P766" s="4" t="s">
        <v>47</v>
      </c>
      <c r="Q766" s="4">
        <v>16451.0</v>
      </c>
      <c r="R766" s="5" t="s">
        <v>4588</v>
      </c>
      <c r="S766" s="8">
        <v>46186.0</v>
      </c>
      <c r="T766" s="9">
        <v>0.375</v>
      </c>
      <c r="U766" s="9">
        <v>0.9166666666666666</v>
      </c>
      <c r="V766" s="4" t="s">
        <v>49</v>
      </c>
      <c r="W766" s="5">
        <v>1.0</v>
      </c>
      <c r="X766" s="5" t="b">
        <v>1</v>
      </c>
      <c r="Y766" s="5" t="s">
        <v>50</v>
      </c>
      <c r="Z766" s="5" t="b">
        <v>0</v>
      </c>
      <c r="AA766" s="10"/>
      <c r="AB766" s="4">
        <v>1.0</v>
      </c>
      <c r="AC766" s="11" t="s">
        <v>4589</v>
      </c>
      <c r="AD766" s="5">
        <v>0.0</v>
      </c>
      <c r="AE766" s="5">
        <v>1.0</v>
      </c>
      <c r="AF766" s="8">
        <v>46186.0</v>
      </c>
      <c r="AG766" s="9">
        <v>0.375</v>
      </c>
      <c r="AH766" s="9">
        <v>0.9166666666666666</v>
      </c>
      <c r="AI766" s="4" t="s">
        <v>49</v>
      </c>
      <c r="AJ766" s="5" t="s">
        <v>4590</v>
      </c>
      <c r="AK766" s="12"/>
      <c r="AL766" s="12"/>
      <c r="AM766" s="12"/>
      <c r="AN766" s="12"/>
      <c r="AO766" s="12"/>
      <c r="AP766" s="12"/>
      <c r="AQ766" s="12"/>
    </row>
    <row r="767">
      <c r="A767" s="5" t="s">
        <v>4591</v>
      </c>
      <c r="B767" s="5">
        <v>1.1398423E7</v>
      </c>
      <c r="C767" s="5" t="s">
        <v>37</v>
      </c>
      <c r="D767" s="5" t="s">
        <v>4592</v>
      </c>
      <c r="E767" s="5" t="s">
        <v>39</v>
      </c>
      <c r="F767" s="5" t="s">
        <v>2879</v>
      </c>
      <c r="G767" s="15">
        <v>6.28789E17</v>
      </c>
      <c r="H767" s="5" t="s">
        <v>2880</v>
      </c>
      <c r="I767" s="5" t="s">
        <v>42</v>
      </c>
      <c r="J767" s="5" t="s">
        <v>43</v>
      </c>
      <c r="K767" s="5">
        <v>8.7733785699E10</v>
      </c>
      <c r="L767" s="4" t="s">
        <v>44</v>
      </c>
      <c r="M767" s="5" t="s">
        <v>42</v>
      </c>
      <c r="N767" s="4" t="s">
        <v>45</v>
      </c>
      <c r="O767" s="4" t="s">
        <v>46</v>
      </c>
      <c r="P767" s="4" t="s">
        <v>47</v>
      </c>
      <c r="Q767" s="4">
        <v>16451.0</v>
      </c>
      <c r="R767" s="5" t="s">
        <v>4593</v>
      </c>
      <c r="S767" s="8">
        <v>46186.0</v>
      </c>
      <c r="T767" s="9">
        <v>0.375</v>
      </c>
      <c r="U767" s="9">
        <v>0.9166666666666666</v>
      </c>
      <c r="V767" s="4" t="s">
        <v>49</v>
      </c>
      <c r="W767" s="5">
        <v>1.0</v>
      </c>
      <c r="X767" s="5" t="b">
        <v>1</v>
      </c>
      <c r="Y767" s="5" t="s">
        <v>50</v>
      </c>
      <c r="Z767" s="5" t="b">
        <v>0</v>
      </c>
      <c r="AA767" s="10"/>
      <c r="AB767" s="4">
        <v>1.0</v>
      </c>
      <c r="AC767" s="11" t="s">
        <v>4594</v>
      </c>
      <c r="AD767" s="5">
        <v>0.0</v>
      </c>
      <c r="AE767" s="5">
        <v>1.0</v>
      </c>
      <c r="AF767" s="8">
        <v>46186.0</v>
      </c>
      <c r="AG767" s="9">
        <v>0.375</v>
      </c>
      <c r="AH767" s="9">
        <v>0.9166666666666666</v>
      </c>
      <c r="AI767" s="4" t="s">
        <v>49</v>
      </c>
      <c r="AJ767" s="5" t="s">
        <v>4595</v>
      </c>
      <c r="AK767" s="12"/>
      <c r="AL767" s="12"/>
      <c r="AM767" s="12"/>
      <c r="AN767" s="12"/>
      <c r="AO767" s="12"/>
      <c r="AP767" s="12"/>
      <c r="AQ767" s="12"/>
    </row>
    <row r="768">
      <c r="A768" s="5" t="s">
        <v>4596</v>
      </c>
      <c r="B768" s="5">
        <v>1.1398423E7</v>
      </c>
      <c r="C768" s="5" t="s">
        <v>37</v>
      </c>
      <c r="D768" s="5" t="s">
        <v>4597</v>
      </c>
      <c r="E768" s="5" t="s">
        <v>39</v>
      </c>
      <c r="F768" s="5" t="s">
        <v>4598</v>
      </c>
      <c r="G768" s="15">
        <v>8.1299881798E10</v>
      </c>
      <c r="H768" s="5" t="s">
        <v>4599</v>
      </c>
      <c r="I768" s="5" t="s">
        <v>42</v>
      </c>
      <c r="J768" s="5" t="s">
        <v>43</v>
      </c>
      <c r="K768" s="5">
        <v>8.7733785699E10</v>
      </c>
      <c r="L768" s="4" t="s">
        <v>44</v>
      </c>
      <c r="M768" s="5" t="s">
        <v>42</v>
      </c>
      <c r="N768" s="4" t="s">
        <v>45</v>
      </c>
      <c r="O768" s="4" t="s">
        <v>46</v>
      </c>
      <c r="P768" s="4" t="s">
        <v>47</v>
      </c>
      <c r="Q768" s="4">
        <v>16451.0</v>
      </c>
      <c r="R768" s="5" t="s">
        <v>4600</v>
      </c>
      <c r="S768" s="8">
        <v>46188.0</v>
      </c>
      <c r="T768" s="9">
        <v>0.375</v>
      </c>
      <c r="U768" s="9">
        <v>0.9166666666666666</v>
      </c>
      <c r="V768" s="4" t="s">
        <v>49</v>
      </c>
      <c r="W768" s="5">
        <v>1.0</v>
      </c>
      <c r="X768" s="5" t="b">
        <v>1</v>
      </c>
      <c r="Y768" s="5" t="s">
        <v>50</v>
      </c>
      <c r="Z768" s="5" t="b">
        <v>0</v>
      </c>
      <c r="AA768" s="10"/>
      <c r="AB768" s="4">
        <v>1.0</v>
      </c>
      <c r="AC768" s="11" t="s">
        <v>4601</v>
      </c>
      <c r="AD768" s="5">
        <v>0.0</v>
      </c>
      <c r="AE768" s="5">
        <v>1.0</v>
      </c>
      <c r="AF768" s="8">
        <v>46188.0</v>
      </c>
      <c r="AG768" s="9">
        <v>0.375</v>
      </c>
      <c r="AH768" s="9">
        <v>0.9166666666666666</v>
      </c>
      <c r="AI768" s="4" t="s">
        <v>49</v>
      </c>
      <c r="AJ768" s="5" t="s">
        <v>4602</v>
      </c>
      <c r="AK768" s="12"/>
      <c r="AL768" s="12"/>
      <c r="AM768" s="12"/>
      <c r="AN768" s="12"/>
      <c r="AO768" s="12"/>
      <c r="AP768" s="12"/>
      <c r="AQ768" s="12"/>
    </row>
    <row r="769">
      <c r="A769" s="5" t="s">
        <v>4603</v>
      </c>
      <c r="B769" s="5">
        <v>1.1398423E7</v>
      </c>
      <c r="C769" s="5" t="s">
        <v>37</v>
      </c>
      <c r="D769" s="5" t="s">
        <v>4604</v>
      </c>
      <c r="E769" s="5" t="s">
        <v>39</v>
      </c>
      <c r="F769" s="5" t="s">
        <v>4605</v>
      </c>
      <c r="G769" s="15">
        <v>2.131925445E9</v>
      </c>
      <c r="H769" s="5" t="s">
        <v>4606</v>
      </c>
      <c r="I769" s="5" t="s">
        <v>42</v>
      </c>
      <c r="J769" s="5" t="s">
        <v>43</v>
      </c>
      <c r="K769" s="5">
        <v>8.7733785699E10</v>
      </c>
      <c r="L769" s="4" t="s">
        <v>44</v>
      </c>
      <c r="M769" s="5" t="s">
        <v>42</v>
      </c>
      <c r="N769" s="4" t="s">
        <v>45</v>
      </c>
      <c r="O769" s="4" t="s">
        <v>46</v>
      </c>
      <c r="P769" s="4" t="s">
        <v>47</v>
      </c>
      <c r="Q769" s="4">
        <v>16451.0</v>
      </c>
      <c r="R769" s="5" t="s">
        <v>4607</v>
      </c>
      <c r="S769" s="8">
        <v>46188.0</v>
      </c>
      <c r="T769" s="9">
        <v>0.375</v>
      </c>
      <c r="U769" s="9">
        <v>0.9166666666666666</v>
      </c>
      <c r="V769" s="4" t="s">
        <v>49</v>
      </c>
      <c r="W769" s="5">
        <v>1.0</v>
      </c>
      <c r="X769" s="5" t="b">
        <v>1</v>
      </c>
      <c r="Y769" s="5" t="s">
        <v>50</v>
      </c>
      <c r="Z769" s="5" t="b">
        <v>0</v>
      </c>
      <c r="AA769" s="10"/>
      <c r="AB769" s="4">
        <v>1.0</v>
      </c>
      <c r="AC769" s="11" t="s">
        <v>4608</v>
      </c>
      <c r="AD769" s="5">
        <v>0.0</v>
      </c>
      <c r="AE769" s="5">
        <v>1.0</v>
      </c>
      <c r="AF769" s="8">
        <v>46188.0</v>
      </c>
      <c r="AG769" s="9">
        <v>0.375</v>
      </c>
      <c r="AH769" s="9">
        <v>0.9166666666666666</v>
      </c>
      <c r="AI769" s="4" t="s">
        <v>49</v>
      </c>
      <c r="AJ769" s="5" t="s">
        <v>4609</v>
      </c>
      <c r="AK769" s="12"/>
      <c r="AL769" s="12"/>
      <c r="AM769" s="12"/>
      <c r="AN769" s="12"/>
      <c r="AO769" s="12"/>
      <c r="AP769" s="12"/>
      <c r="AQ769" s="12"/>
    </row>
    <row r="770">
      <c r="A770" s="5" t="s">
        <v>4610</v>
      </c>
      <c r="B770" s="5">
        <v>1.1398423E7</v>
      </c>
      <c r="C770" s="5" t="s">
        <v>37</v>
      </c>
      <c r="D770" s="5" t="s">
        <v>4611</v>
      </c>
      <c r="E770" s="5" t="s">
        <v>39</v>
      </c>
      <c r="F770" s="5" t="s">
        <v>1396</v>
      </c>
      <c r="G770" s="15">
        <v>6.2856E16</v>
      </c>
      <c r="H770" s="5" t="s">
        <v>1397</v>
      </c>
      <c r="I770" s="5" t="s">
        <v>42</v>
      </c>
      <c r="J770" s="5" t="s">
        <v>43</v>
      </c>
      <c r="K770" s="5">
        <v>8.7733785699E10</v>
      </c>
      <c r="L770" s="4" t="s">
        <v>44</v>
      </c>
      <c r="M770" s="5" t="s">
        <v>42</v>
      </c>
      <c r="N770" s="4" t="s">
        <v>45</v>
      </c>
      <c r="O770" s="4" t="s">
        <v>46</v>
      </c>
      <c r="P770" s="4" t="s">
        <v>47</v>
      </c>
      <c r="Q770" s="4">
        <v>16451.0</v>
      </c>
      <c r="R770" s="5" t="s">
        <v>4612</v>
      </c>
      <c r="S770" s="8">
        <v>46188.0</v>
      </c>
      <c r="T770" s="9">
        <v>0.375</v>
      </c>
      <c r="U770" s="9">
        <v>0.9166666666666666</v>
      </c>
      <c r="V770" s="4" t="s">
        <v>49</v>
      </c>
      <c r="W770" s="5">
        <v>1.0</v>
      </c>
      <c r="X770" s="5" t="b">
        <v>1</v>
      </c>
      <c r="Y770" s="5" t="s">
        <v>50</v>
      </c>
      <c r="Z770" s="5" t="b">
        <v>0</v>
      </c>
      <c r="AA770" s="10"/>
      <c r="AB770" s="4">
        <v>1.0</v>
      </c>
      <c r="AC770" s="11" t="s">
        <v>4613</v>
      </c>
      <c r="AD770" s="5">
        <v>0.0</v>
      </c>
      <c r="AE770" s="5">
        <v>1.0</v>
      </c>
      <c r="AF770" s="8">
        <v>46188.0</v>
      </c>
      <c r="AG770" s="9">
        <v>0.375</v>
      </c>
      <c r="AH770" s="9">
        <v>0.9166666666666666</v>
      </c>
      <c r="AI770" s="4" t="s">
        <v>49</v>
      </c>
      <c r="AJ770" s="5" t="s">
        <v>4614</v>
      </c>
      <c r="AK770" s="12"/>
      <c r="AL770" s="12"/>
      <c r="AM770" s="12"/>
      <c r="AN770" s="12"/>
      <c r="AO770" s="12"/>
      <c r="AP770" s="12"/>
      <c r="AQ770" s="12"/>
    </row>
    <row r="771">
      <c r="A771" s="5" t="s">
        <v>4615</v>
      </c>
      <c r="B771" s="5">
        <v>1.1398423E7</v>
      </c>
      <c r="C771" s="5" t="s">
        <v>37</v>
      </c>
      <c r="D771" s="5" t="s">
        <v>4616</v>
      </c>
      <c r="E771" s="5" t="s">
        <v>39</v>
      </c>
      <c r="F771" s="5" t="s">
        <v>1382</v>
      </c>
      <c r="G771" s="15">
        <v>6.28126E17</v>
      </c>
      <c r="H771" s="5" t="s">
        <v>1383</v>
      </c>
      <c r="I771" s="5" t="s">
        <v>42</v>
      </c>
      <c r="J771" s="5" t="s">
        <v>43</v>
      </c>
      <c r="K771" s="5">
        <v>8.7733785699E10</v>
      </c>
      <c r="L771" s="4" t="s">
        <v>44</v>
      </c>
      <c r="M771" s="5" t="s">
        <v>42</v>
      </c>
      <c r="N771" s="4" t="s">
        <v>45</v>
      </c>
      <c r="O771" s="4" t="s">
        <v>46</v>
      </c>
      <c r="P771" s="4" t="s">
        <v>47</v>
      </c>
      <c r="Q771" s="4">
        <v>16451.0</v>
      </c>
      <c r="R771" s="5" t="s">
        <v>4617</v>
      </c>
      <c r="S771" s="8">
        <v>46188.0</v>
      </c>
      <c r="T771" s="9">
        <v>0.375</v>
      </c>
      <c r="U771" s="9">
        <v>0.9166666666666666</v>
      </c>
      <c r="V771" s="4" t="s">
        <v>49</v>
      </c>
      <c r="W771" s="5">
        <v>1.0</v>
      </c>
      <c r="X771" s="5" t="b">
        <v>1</v>
      </c>
      <c r="Y771" s="5" t="s">
        <v>50</v>
      </c>
      <c r="Z771" s="5" t="b">
        <v>0</v>
      </c>
      <c r="AA771" s="10"/>
      <c r="AB771" s="4">
        <v>1.0</v>
      </c>
      <c r="AC771" s="11" t="s">
        <v>4618</v>
      </c>
      <c r="AD771" s="5">
        <v>0.0</v>
      </c>
      <c r="AE771" s="5">
        <v>1.0</v>
      </c>
      <c r="AF771" s="8">
        <v>46188.0</v>
      </c>
      <c r="AG771" s="9">
        <v>0.375</v>
      </c>
      <c r="AH771" s="9">
        <v>0.9166666666666666</v>
      </c>
      <c r="AI771" s="4" t="s">
        <v>49</v>
      </c>
      <c r="AJ771" s="5" t="s">
        <v>4619</v>
      </c>
      <c r="AK771" s="12"/>
      <c r="AL771" s="12"/>
      <c r="AM771" s="12"/>
      <c r="AN771" s="12"/>
      <c r="AO771" s="12"/>
      <c r="AP771" s="12"/>
      <c r="AQ771" s="12"/>
    </row>
    <row r="772">
      <c r="A772" s="5" t="s">
        <v>4620</v>
      </c>
      <c r="B772" s="5">
        <v>1.1398423E7</v>
      </c>
      <c r="C772" s="5" t="s">
        <v>37</v>
      </c>
      <c r="D772" s="5" t="s">
        <v>4621</v>
      </c>
      <c r="E772" s="5" t="s">
        <v>39</v>
      </c>
      <c r="F772" s="5" t="s">
        <v>4622</v>
      </c>
      <c r="G772" s="15">
        <v>6.28231E17</v>
      </c>
      <c r="H772" s="5" t="s">
        <v>4623</v>
      </c>
      <c r="I772" s="5" t="s">
        <v>42</v>
      </c>
      <c r="J772" s="5" t="s">
        <v>43</v>
      </c>
      <c r="K772" s="5">
        <v>8.7733785699E10</v>
      </c>
      <c r="L772" s="4" t="s">
        <v>44</v>
      </c>
      <c r="M772" s="5" t="s">
        <v>42</v>
      </c>
      <c r="N772" s="4" t="s">
        <v>45</v>
      </c>
      <c r="O772" s="4" t="s">
        <v>46</v>
      </c>
      <c r="P772" s="4" t="s">
        <v>47</v>
      </c>
      <c r="Q772" s="4">
        <v>16451.0</v>
      </c>
      <c r="R772" s="5" t="s">
        <v>4624</v>
      </c>
      <c r="S772" s="8">
        <v>46188.0</v>
      </c>
      <c r="T772" s="9">
        <v>0.375</v>
      </c>
      <c r="U772" s="9">
        <v>0.9166666666666666</v>
      </c>
      <c r="V772" s="4" t="s">
        <v>49</v>
      </c>
      <c r="W772" s="5">
        <v>1.0</v>
      </c>
      <c r="X772" s="5" t="b">
        <v>1</v>
      </c>
      <c r="Y772" s="5" t="s">
        <v>50</v>
      </c>
      <c r="Z772" s="5" t="b">
        <v>0</v>
      </c>
      <c r="AA772" s="10"/>
      <c r="AB772" s="4">
        <v>1.0</v>
      </c>
      <c r="AC772" s="11" t="s">
        <v>4625</v>
      </c>
      <c r="AD772" s="5">
        <v>0.0</v>
      </c>
      <c r="AE772" s="5">
        <v>1.0</v>
      </c>
      <c r="AF772" s="8">
        <v>46188.0</v>
      </c>
      <c r="AG772" s="9">
        <v>0.375</v>
      </c>
      <c r="AH772" s="9">
        <v>0.9166666666666666</v>
      </c>
      <c r="AI772" s="4" t="s">
        <v>49</v>
      </c>
      <c r="AJ772" s="5" t="s">
        <v>4626</v>
      </c>
      <c r="AK772" s="12"/>
      <c r="AL772" s="12"/>
      <c r="AM772" s="12"/>
      <c r="AN772" s="12"/>
      <c r="AO772" s="12"/>
      <c r="AP772" s="12"/>
      <c r="AQ772" s="12"/>
    </row>
    <row r="773">
      <c r="A773" s="5" t="s">
        <v>4627</v>
      </c>
      <c r="B773" s="5">
        <v>1.1398423E7</v>
      </c>
      <c r="C773" s="5" t="s">
        <v>37</v>
      </c>
      <c r="D773" s="5" t="s">
        <v>4628</v>
      </c>
      <c r="E773" s="5" t="s">
        <v>39</v>
      </c>
      <c r="F773" s="5" t="s">
        <v>4629</v>
      </c>
      <c r="G773" s="15">
        <v>6.28191E17</v>
      </c>
      <c r="H773" s="5" t="s">
        <v>4630</v>
      </c>
      <c r="I773" s="5" t="s">
        <v>42</v>
      </c>
      <c r="J773" s="5" t="s">
        <v>43</v>
      </c>
      <c r="K773" s="5">
        <v>8.7733785699E10</v>
      </c>
      <c r="L773" s="4" t="s">
        <v>44</v>
      </c>
      <c r="M773" s="5" t="s">
        <v>42</v>
      </c>
      <c r="N773" s="4" t="s">
        <v>45</v>
      </c>
      <c r="O773" s="4" t="s">
        <v>46</v>
      </c>
      <c r="P773" s="4" t="s">
        <v>47</v>
      </c>
      <c r="Q773" s="4">
        <v>16451.0</v>
      </c>
      <c r="R773" s="5" t="s">
        <v>4631</v>
      </c>
      <c r="S773" s="8">
        <v>46188.0</v>
      </c>
      <c r="T773" s="9">
        <v>0.375</v>
      </c>
      <c r="U773" s="9">
        <v>0.9166666666666666</v>
      </c>
      <c r="V773" s="4" t="s">
        <v>49</v>
      </c>
      <c r="W773" s="5">
        <v>1.0</v>
      </c>
      <c r="X773" s="5" t="b">
        <v>1</v>
      </c>
      <c r="Y773" s="5" t="s">
        <v>50</v>
      </c>
      <c r="Z773" s="5" t="b">
        <v>0</v>
      </c>
      <c r="AA773" s="10"/>
      <c r="AB773" s="4">
        <v>1.0</v>
      </c>
      <c r="AC773" s="11" t="s">
        <v>4632</v>
      </c>
      <c r="AD773" s="5">
        <v>0.0</v>
      </c>
      <c r="AE773" s="5">
        <v>1.0</v>
      </c>
      <c r="AF773" s="8">
        <v>46188.0</v>
      </c>
      <c r="AG773" s="9">
        <v>0.375</v>
      </c>
      <c r="AH773" s="9">
        <v>0.9166666666666666</v>
      </c>
      <c r="AI773" s="4" t="s">
        <v>49</v>
      </c>
      <c r="AJ773" s="5" t="s">
        <v>4633</v>
      </c>
      <c r="AK773" s="12"/>
      <c r="AL773" s="12"/>
      <c r="AM773" s="12"/>
      <c r="AN773" s="12"/>
      <c r="AO773" s="12"/>
      <c r="AP773" s="12"/>
      <c r="AQ773" s="12"/>
    </row>
    <row r="774">
      <c r="A774" s="5" t="s">
        <v>4634</v>
      </c>
      <c r="B774" s="5">
        <v>1.1398423E7</v>
      </c>
      <c r="C774" s="5" t="s">
        <v>37</v>
      </c>
      <c r="D774" s="5" t="s">
        <v>4635</v>
      </c>
      <c r="E774" s="5" t="s">
        <v>39</v>
      </c>
      <c r="F774" s="5" t="s">
        <v>4636</v>
      </c>
      <c r="G774" s="15">
        <v>6.28788E17</v>
      </c>
      <c r="H774" s="5" t="s">
        <v>4637</v>
      </c>
      <c r="I774" s="5" t="s">
        <v>42</v>
      </c>
      <c r="J774" s="5" t="s">
        <v>43</v>
      </c>
      <c r="K774" s="5">
        <v>8.7733785699E10</v>
      </c>
      <c r="L774" s="4" t="s">
        <v>44</v>
      </c>
      <c r="M774" s="5" t="s">
        <v>42</v>
      </c>
      <c r="N774" s="4" t="s">
        <v>45</v>
      </c>
      <c r="O774" s="4" t="s">
        <v>46</v>
      </c>
      <c r="P774" s="4" t="s">
        <v>47</v>
      </c>
      <c r="Q774" s="4">
        <v>16451.0</v>
      </c>
      <c r="R774" s="5" t="s">
        <v>4638</v>
      </c>
      <c r="S774" s="8">
        <v>46188.0</v>
      </c>
      <c r="T774" s="9">
        <v>0.375</v>
      </c>
      <c r="U774" s="9">
        <v>0.9166666666666666</v>
      </c>
      <c r="V774" s="4" t="s">
        <v>49</v>
      </c>
      <c r="W774" s="5">
        <v>1.0</v>
      </c>
      <c r="X774" s="5" t="b">
        <v>1</v>
      </c>
      <c r="Y774" s="5" t="s">
        <v>50</v>
      </c>
      <c r="Z774" s="5" t="b">
        <v>0</v>
      </c>
      <c r="AA774" s="10"/>
      <c r="AB774" s="4">
        <v>1.0</v>
      </c>
      <c r="AC774" s="11" t="s">
        <v>4639</v>
      </c>
      <c r="AD774" s="5">
        <v>0.0</v>
      </c>
      <c r="AE774" s="5">
        <v>1.0</v>
      </c>
      <c r="AF774" s="8">
        <v>46188.0</v>
      </c>
      <c r="AG774" s="9">
        <v>0.375</v>
      </c>
      <c r="AH774" s="9">
        <v>0.9166666666666666</v>
      </c>
      <c r="AI774" s="4" t="s">
        <v>49</v>
      </c>
      <c r="AJ774" s="5" t="s">
        <v>4640</v>
      </c>
      <c r="AK774" s="12"/>
      <c r="AL774" s="12"/>
      <c r="AM774" s="12"/>
      <c r="AN774" s="12"/>
      <c r="AO774" s="12"/>
      <c r="AP774" s="12"/>
      <c r="AQ774" s="12"/>
    </row>
    <row r="775">
      <c r="A775" s="5" t="s">
        <v>4641</v>
      </c>
      <c r="B775" s="5">
        <v>1.1398423E7</v>
      </c>
      <c r="C775" s="5" t="s">
        <v>37</v>
      </c>
      <c r="D775" s="5" t="s">
        <v>4642</v>
      </c>
      <c r="E775" s="5" t="s">
        <v>39</v>
      </c>
      <c r="F775" s="5" t="s">
        <v>2080</v>
      </c>
      <c r="G775" s="15">
        <v>8.5888674498E10</v>
      </c>
      <c r="H775" s="5" t="s">
        <v>2081</v>
      </c>
      <c r="I775" s="5" t="s">
        <v>42</v>
      </c>
      <c r="J775" s="5" t="s">
        <v>43</v>
      </c>
      <c r="K775" s="5">
        <v>8.7733785699E10</v>
      </c>
      <c r="L775" s="4" t="s">
        <v>44</v>
      </c>
      <c r="M775" s="5" t="s">
        <v>42</v>
      </c>
      <c r="N775" s="4" t="s">
        <v>45</v>
      </c>
      <c r="O775" s="4" t="s">
        <v>46</v>
      </c>
      <c r="P775" s="4" t="s">
        <v>47</v>
      </c>
      <c r="Q775" s="4">
        <v>16451.0</v>
      </c>
      <c r="R775" s="5" t="s">
        <v>4643</v>
      </c>
      <c r="S775" s="8">
        <v>46188.0</v>
      </c>
      <c r="T775" s="9">
        <v>0.375</v>
      </c>
      <c r="U775" s="9">
        <v>0.9166666666666666</v>
      </c>
      <c r="V775" s="4" t="s">
        <v>49</v>
      </c>
      <c r="W775" s="5">
        <v>1.0</v>
      </c>
      <c r="X775" s="5" t="b">
        <v>1</v>
      </c>
      <c r="Y775" s="5" t="s">
        <v>50</v>
      </c>
      <c r="Z775" s="5" t="b">
        <v>0</v>
      </c>
      <c r="AA775" s="10"/>
      <c r="AB775" s="4">
        <v>1.0</v>
      </c>
      <c r="AC775" s="11" t="s">
        <v>4644</v>
      </c>
      <c r="AD775" s="5">
        <v>0.0</v>
      </c>
      <c r="AE775" s="5">
        <v>1.0</v>
      </c>
      <c r="AF775" s="8">
        <v>46188.0</v>
      </c>
      <c r="AG775" s="9">
        <v>0.375</v>
      </c>
      <c r="AH775" s="9">
        <v>0.9166666666666666</v>
      </c>
      <c r="AI775" s="4" t="s">
        <v>49</v>
      </c>
      <c r="AJ775" s="5" t="s">
        <v>4645</v>
      </c>
      <c r="AK775" s="12"/>
      <c r="AL775" s="12"/>
      <c r="AM775" s="12"/>
      <c r="AN775" s="12"/>
      <c r="AO775" s="12"/>
      <c r="AP775" s="12"/>
      <c r="AQ775" s="12"/>
    </row>
    <row r="776">
      <c r="A776" s="5" t="s">
        <v>4646</v>
      </c>
      <c r="B776" s="5">
        <v>1.1398423E7</v>
      </c>
      <c r="C776" s="5" t="s">
        <v>37</v>
      </c>
      <c r="D776" s="5" t="s">
        <v>4647</v>
      </c>
      <c r="E776" s="5" t="s">
        <v>39</v>
      </c>
      <c r="F776" s="5" t="s">
        <v>4648</v>
      </c>
      <c r="G776" s="15">
        <v>8.1231306601E10</v>
      </c>
      <c r="H776" s="5" t="s">
        <v>4649</v>
      </c>
      <c r="I776" s="5" t="s">
        <v>42</v>
      </c>
      <c r="J776" s="5" t="s">
        <v>43</v>
      </c>
      <c r="K776" s="5">
        <v>8.7733785699E10</v>
      </c>
      <c r="L776" s="4" t="s">
        <v>44</v>
      </c>
      <c r="M776" s="5" t="s">
        <v>42</v>
      </c>
      <c r="N776" s="4" t="s">
        <v>45</v>
      </c>
      <c r="O776" s="4" t="s">
        <v>46</v>
      </c>
      <c r="P776" s="4" t="s">
        <v>47</v>
      </c>
      <c r="Q776" s="4">
        <v>16451.0</v>
      </c>
      <c r="R776" s="5" t="s">
        <v>4650</v>
      </c>
      <c r="S776" s="8">
        <v>46188.0</v>
      </c>
      <c r="T776" s="9">
        <v>0.375</v>
      </c>
      <c r="U776" s="9">
        <v>0.9166666666666666</v>
      </c>
      <c r="V776" s="4" t="s">
        <v>49</v>
      </c>
      <c r="W776" s="5">
        <v>1.0</v>
      </c>
      <c r="X776" s="5" t="b">
        <v>1</v>
      </c>
      <c r="Y776" s="5" t="s">
        <v>50</v>
      </c>
      <c r="Z776" s="5" t="b">
        <v>0</v>
      </c>
      <c r="AA776" s="10"/>
      <c r="AB776" s="4">
        <v>1.0</v>
      </c>
      <c r="AC776" s="11" t="s">
        <v>4651</v>
      </c>
      <c r="AD776" s="5">
        <v>0.0</v>
      </c>
      <c r="AE776" s="5">
        <v>1.0</v>
      </c>
      <c r="AF776" s="8">
        <v>46188.0</v>
      </c>
      <c r="AG776" s="9">
        <v>0.375</v>
      </c>
      <c r="AH776" s="9">
        <v>0.9166666666666666</v>
      </c>
      <c r="AI776" s="4" t="s">
        <v>49</v>
      </c>
      <c r="AJ776" s="5" t="s">
        <v>4652</v>
      </c>
      <c r="AK776" s="12"/>
      <c r="AL776" s="12"/>
      <c r="AM776" s="12"/>
      <c r="AN776" s="12"/>
      <c r="AO776" s="12"/>
      <c r="AP776" s="12"/>
      <c r="AQ776" s="12"/>
    </row>
    <row r="777">
      <c r="A777" s="5" t="s">
        <v>4653</v>
      </c>
      <c r="B777" s="5">
        <v>1.1398423E7</v>
      </c>
      <c r="C777" s="5" t="s">
        <v>37</v>
      </c>
      <c r="D777" s="5" t="s">
        <v>4654</v>
      </c>
      <c r="E777" s="5" t="s">
        <v>39</v>
      </c>
      <c r="F777" s="5" t="s">
        <v>240</v>
      </c>
      <c r="G777" s="15">
        <v>8.131705404E10</v>
      </c>
      <c r="H777" s="5" t="s">
        <v>241</v>
      </c>
      <c r="I777" s="5" t="s">
        <v>42</v>
      </c>
      <c r="J777" s="5" t="s">
        <v>43</v>
      </c>
      <c r="K777" s="5">
        <v>8.7733785699E10</v>
      </c>
      <c r="L777" s="4" t="s">
        <v>44</v>
      </c>
      <c r="M777" s="5" t="s">
        <v>42</v>
      </c>
      <c r="N777" s="4" t="s">
        <v>45</v>
      </c>
      <c r="O777" s="4" t="s">
        <v>46</v>
      </c>
      <c r="P777" s="4" t="s">
        <v>47</v>
      </c>
      <c r="Q777" s="4">
        <v>16451.0</v>
      </c>
      <c r="R777" s="5" t="s">
        <v>4655</v>
      </c>
      <c r="S777" s="8">
        <v>46188.0</v>
      </c>
      <c r="T777" s="9">
        <v>0.375</v>
      </c>
      <c r="U777" s="9">
        <v>0.9166666666666666</v>
      </c>
      <c r="V777" s="4" t="s">
        <v>49</v>
      </c>
      <c r="W777" s="5">
        <v>1.0</v>
      </c>
      <c r="X777" s="5" t="b">
        <v>1</v>
      </c>
      <c r="Y777" s="5" t="s">
        <v>50</v>
      </c>
      <c r="Z777" s="5" t="b">
        <v>0</v>
      </c>
      <c r="AA777" s="10"/>
      <c r="AB777" s="4">
        <v>1.0</v>
      </c>
      <c r="AC777" s="11" t="s">
        <v>4656</v>
      </c>
      <c r="AD777" s="5">
        <v>0.0</v>
      </c>
      <c r="AE777" s="5">
        <v>1.0</v>
      </c>
      <c r="AF777" s="8">
        <v>46188.0</v>
      </c>
      <c r="AG777" s="9">
        <v>0.375</v>
      </c>
      <c r="AH777" s="9">
        <v>0.9166666666666666</v>
      </c>
      <c r="AI777" s="4" t="s">
        <v>49</v>
      </c>
      <c r="AJ777" s="5" t="s">
        <v>4657</v>
      </c>
      <c r="AK777" s="12"/>
      <c r="AL777" s="12"/>
      <c r="AM777" s="12"/>
      <c r="AN777" s="12"/>
      <c r="AO777" s="12"/>
      <c r="AP777" s="12"/>
      <c r="AQ777" s="12"/>
    </row>
    <row r="778">
      <c r="A778" s="5" t="s">
        <v>4658</v>
      </c>
      <c r="B778" s="5">
        <v>1.1398423E7</v>
      </c>
      <c r="C778" s="5" t="s">
        <v>37</v>
      </c>
      <c r="D778" s="5" t="s">
        <v>4659</v>
      </c>
      <c r="E778" s="5" t="s">
        <v>39</v>
      </c>
      <c r="F778" s="5" t="s">
        <v>2000</v>
      </c>
      <c r="G778" s="15">
        <v>8.1212834867E10</v>
      </c>
      <c r="H778" s="5" t="s">
        <v>2001</v>
      </c>
      <c r="I778" s="5" t="s">
        <v>42</v>
      </c>
      <c r="J778" s="5" t="s">
        <v>43</v>
      </c>
      <c r="K778" s="5">
        <v>8.7733785699E10</v>
      </c>
      <c r="L778" s="4" t="s">
        <v>44</v>
      </c>
      <c r="M778" s="5" t="s">
        <v>42</v>
      </c>
      <c r="N778" s="4" t="s">
        <v>45</v>
      </c>
      <c r="O778" s="4" t="s">
        <v>46</v>
      </c>
      <c r="P778" s="4" t="s">
        <v>47</v>
      </c>
      <c r="Q778" s="4">
        <v>16451.0</v>
      </c>
      <c r="R778" s="5" t="s">
        <v>4660</v>
      </c>
      <c r="S778" s="8">
        <v>46188.0</v>
      </c>
      <c r="T778" s="9">
        <v>0.375</v>
      </c>
      <c r="U778" s="9">
        <v>0.9166666666666666</v>
      </c>
      <c r="V778" s="4" t="s">
        <v>49</v>
      </c>
      <c r="W778" s="5">
        <v>1.0</v>
      </c>
      <c r="X778" s="5" t="b">
        <v>1</v>
      </c>
      <c r="Y778" s="5" t="s">
        <v>50</v>
      </c>
      <c r="Z778" s="5" t="b">
        <v>0</v>
      </c>
      <c r="AA778" s="10"/>
      <c r="AB778" s="4">
        <v>1.0</v>
      </c>
      <c r="AC778" s="11" t="s">
        <v>4661</v>
      </c>
      <c r="AD778" s="5">
        <v>0.0</v>
      </c>
      <c r="AE778" s="5">
        <v>1.0</v>
      </c>
      <c r="AF778" s="8">
        <v>46188.0</v>
      </c>
      <c r="AG778" s="9">
        <v>0.375</v>
      </c>
      <c r="AH778" s="9">
        <v>0.9166666666666666</v>
      </c>
      <c r="AI778" s="4" t="s">
        <v>49</v>
      </c>
      <c r="AJ778" s="5" t="s">
        <v>4662</v>
      </c>
      <c r="AK778" s="12"/>
      <c r="AL778" s="12"/>
      <c r="AM778" s="12"/>
      <c r="AN778" s="12"/>
      <c r="AO778" s="12"/>
      <c r="AP778" s="12"/>
      <c r="AQ778" s="12"/>
    </row>
    <row r="779">
      <c r="A779" s="5" t="s">
        <v>4663</v>
      </c>
      <c r="B779" s="5">
        <v>1.1398423E7</v>
      </c>
      <c r="C779" s="5" t="s">
        <v>37</v>
      </c>
      <c r="D779" s="5" t="s">
        <v>4664</v>
      </c>
      <c r="E779" s="5" t="s">
        <v>39</v>
      </c>
      <c r="F779" s="5" t="s">
        <v>4665</v>
      </c>
      <c r="G779" s="15">
        <v>8.21346422E10</v>
      </c>
      <c r="H779" s="5" t="s">
        <v>4666</v>
      </c>
      <c r="I779" s="5" t="s">
        <v>42</v>
      </c>
      <c r="J779" s="5" t="s">
        <v>43</v>
      </c>
      <c r="K779" s="5">
        <v>8.7733785699E10</v>
      </c>
      <c r="L779" s="4" t="s">
        <v>44</v>
      </c>
      <c r="M779" s="5" t="s">
        <v>42</v>
      </c>
      <c r="N779" s="4" t="s">
        <v>45</v>
      </c>
      <c r="O779" s="4" t="s">
        <v>46</v>
      </c>
      <c r="P779" s="4" t="s">
        <v>47</v>
      </c>
      <c r="Q779" s="4">
        <v>16451.0</v>
      </c>
      <c r="R779" s="5" t="s">
        <v>4667</v>
      </c>
      <c r="S779" s="8">
        <v>46188.0</v>
      </c>
      <c r="T779" s="9">
        <v>0.375</v>
      </c>
      <c r="U779" s="9">
        <v>0.9166666666666666</v>
      </c>
      <c r="V779" s="4" t="s">
        <v>49</v>
      </c>
      <c r="W779" s="5">
        <v>1.0</v>
      </c>
      <c r="X779" s="5" t="b">
        <v>1</v>
      </c>
      <c r="Y779" s="5" t="s">
        <v>50</v>
      </c>
      <c r="Z779" s="5" t="b">
        <v>0</v>
      </c>
      <c r="AA779" s="10"/>
      <c r="AB779" s="4">
        <v>1.0</v>
      </c>
      <c r="AC779" s="11" t="s">
        <v>4668</v>
      </c>
      <c r="AD779" s="5">
        <v>0.0</v>
      </c>
      <c r="AE779" s="5">
        <v>1.0</v>
      </c>
      <c r="AF779" s="8">
        <v>46188.0</v>
      </c>
      <c r="AG779" s="9">
        <v>0.375</v>
      </c>
      <c r="AH779" s="9">
        <v>0.9166666666666666</v>
      </c>
      <c r="AI779" s="4" t="s">
        <v>49</v>
      </c>
      <c r="AJ779" s="5" t="s">
        <v>4669</v>
      </c>
      <c r="AK779" s="12"/>
      <c r="AL779" s="12"/>
      <c r="AM779" s="12"/>
      <c r="AN779" s="12"/>
      <c r="AO779" s="12"/>
      <c r="AP779" s="12"/>
      <c r="AQ779" s="12"/>
    </row>
    <row r="780">
      <c r="A780" s="5" t="s">
        <v>4670</v>
      </c>
      <c r="B780" s="5">
        <v>1.1398423E7</v>
      </c>
      <c r="C780" s="5" t="s">
        <v>37</v>
      </c>
      <c r="D780" s="5" t="s">
        <v>4671</v>
      </c>
      <c r="E780" s="5" t="s">
        <v>39</v>
      </c>
      <c r="F780" s="5" t="s">
        <v>167</v>
      </c>
      <c r="G780" s="15">
        <v>6.28226E17</v>
      </c>
      <c r="H780" s="5" t="s">
        <v>168</v>
      </c>
      <c r="I780" s="5" t="s">
        <v>42</v>
      </c>
      <c r="J780" s="5" t="s">
        <v>43</v>
      </c>
      <c r="K780" s="5">
        <v>8.7733785699E10</v>
      </c>
      <c r="L780" s="4" t="s">
        <v>44</v>
      </c>
      <c r="M780" s="5" t="s">
        <v>42</v>
      </c>
      <c r="N780" s="4" t="s">
        <v>45</v>
      </c>
      <c r="O780" s="4" t="s">
        <v>46</v>
      </c>
      <c r="P780" s="4" t="s">
        <v>47</v>
      </c>
      <c r="Q780" s="4">
        <v>16451.0</v>
      </c>
      <c r="R780" s="5" t="s">
        <v>4672</v>
      </c>
      <c r="S780" s="8">
        <v>46188.0</v>
      </c>
      <c r="T780" s="9">
        <v>0.375</v>
      </c>
      <c r="U780" s="9">
        <v>0.9166666666666666</v>
      </c>
      <c r="V780" s="4" t="s">
        <v>49</v>
      </c>
      <c r="W780" s="5">
        <v>1.0</v>
      </c>
      <c r="X780" s="5" t="b">
        <v>1</v>
      </c>
      <c r="Y780" s="5" t="s">
        <v>50</v>
      </c>
      <c r="Z780" s="5" t="b">
        <v>0</v>
      </c>
      <c r="AA780" s="10"/>
      <c r="AB780" s="4">
        <v>1.0</v>
      </c>
      <c r="AC780" s="11" t="s">
        <v>4673</v>
      </c>
      <c r="AD780" s="5">
        <v>0.0</v>
      </c>
      <c r="AE780" s="5">
        <v>1.0</v>
      </c>
      <c r="AF780" s="8">
        <v>46188.0</v>
      </c>
      <c r="AG780" s="9">
        <v>0.375</v>
      </c>
      <c r="AH780" s="9">
        <v>0.9166666666666666</v>
      </c>
      <c r="AI780" s="4" t="s">
        <v>49</v>
      </c>
      <c r="AJ780" s="5" t="s">
        <v>4674</v>
      </c>
      <c r="AK780" s="12"/>
      <c r="AL780" s="12"/>
      <c r="AM780" s="12"/>
      <c r="AN780" s="12"/>
      <c r="AO780" s="12"/>
      <c r="AP780" s="12"/>
      <c r="AQ780" s="12"/>
    </row>
    <row r="781">
      <c r="A781" s="5" t="s">
        <v>4675</v>
      </c>
      <c r="B781" s="5">
        <v>1.1398423E7</v>
      </c>
      <c r="C781" s="5" t="s">
        <v>37</v>
      </c>
      <c r="D781" s="5" t="s">
        <v>4676</v>
      </c>
      <c r="E781" s="5" t="s">
        <v>39</v>
      </c>
      <c r="F781" s="5" t="s">
        <v>4677</v>
      </c>
      <c r="G781" s="15">
        <v>8.1288988721E10</v>
      </c>
      <c r="H781" s="5" t="s">
        <v>4678</v>
      </c>
      <c r="I781" s="5" t="s">
        <v>42</v>
      </c>
      <c r="J781" s="5" t="s">
        <v>43</v>
      </c>
      <c r="K781" s="5">
        <v>8.7733785699E10</v>
      </c>
      <c r="L781" s="4" t="s">
        <v>44</v>
      </c>
      <c r="M781" s="5" t="s">
        <v>42</v>
      </c>
      <c r="N781" s="4" t="s">
        <v>45</v>
      </c>
      <c r="O781" s="4" t="s">
        <v>46</v>
      </c>
      <c r="P781" s="4" t="s">
        <v>47</v>
      </c>
      <c r="Q781" s="4">
        <v>16451.0</v>
      </c>
      <c r="R781" s="5" t="s">
        <v>4679</v>
      </c>
      <c r="S781" s="8">
        <v>46188.0</v>
      </c>
      <c r="T781" s="9">
        <v>0.375</v>
      </c>
      <c r="U781" s="9">
        <v>0.9166666666666666</v>
      </c>
      <c r="V781" s="4" t="s">
        <v>49</v>
      </c>
      <c r="W781" s="5">
        <v>1.0</v>
      </c>
      <c r="X781" s="5" t="b">
        <v>1</v>
      </c>
      <c r="Y781" s="5" t="s">
        <v>50</v>
      </c>
      <c r="Z781" s="5" t="b">
        <v>0</v>
      </c>
      <c r="AA781" s="10"/>
      <c r="AB781" s="4">
        <v>1.0</v>
      </c>
      <c r="AC781" s="11" t="s">
        <v>4680</v>
      </c>
      <c r="AD781" s="5">
        <v>0.0</v>
      </c>
      <c r="AE781" s="5">
        <v>1.0</v>
      </c>
      <c r="AF781" s="8">
        <v>46188.0</v>
      </c>
      <c r="AG781" s="9">
        <v>0.375</v>
      </c>
      <c r="AH781" s="9">
        <v>0.9166666666666666</v>
      </c>
      <c r="AI781" s="4" t="s">
        <v>49</v>
      </c>
      <c r="AJ781" s="5" t="s">
        <v>4681</v>
      </c>
      <c r="AK781" s="12"/>
      <c r="AL781" s="12"/>
      <c r="AM781" s="12"/>
      <c r="AN781" s="12"/>
      <c r="AO781" s="12"/>
      <c r="AP781" s="12"/>
      <c r="AQ781" s="12"/>
    </row>
    <row r="782">
      <c r="A782" s="5" t="s">
        <v>4682</v>
      </c>
      <c r="B782" s="5">
        <v>1.1398423E7</v>
      </c>
      <c r="C782" s="5" t="s">
        <v>37</v>
      </c>
      <c r="D782" s="5" t="s">
        <v>4683</v>
      </c>
      <c r="E782" s="5" t="s">
        <v>39</v>
      </c>
      <c r="F782" s="5" t="s">
        <v>161</v>
      </c>
      <c r="G782" s="15">
        <v>6.28138E17</v>
      </c>
      <c r="H782" s="5" t="s">
        <v>162</v>
      </c>
      <c r="I782" s="5" t="s">
        <v>42</v>
      </c>
      <c r="J782" s="5" t="s">
        <v>43</v>
      </c>
      <c r="K782" s="5">
        <v>8.7733785699E10</v>
      </c>
      <c r="L782" s="4" t="s">
        <v>44</v>
      </c>
      <c r="M782" s="5" t="s">
        <v>42</v>
      </c>
      <c r="N782" s="4" t="s">
        <v>45</v>
      </c>
      <c r="O782" s="4" t="s">
        <v>46</v>
      </c>
      <c r="P782" s="4" t="s">
        <v>47</v>
      </c>
      <c r="Q782" s="4">
        <v>16451.0</v>
      </c>
      <c r="R782" s="5" t="s">
        <v>4684</v>
      </c>
      <c r="S782" s="8">
        <v>46188.0</v>
      </c>
      <c r="T782" s="9">
        <v>0.375</v>
      </c>
      <c r="U782" s="9">
        <v>0.9166666666666666</v>
      </c>
      <c r="V782" s="4" t="s">
        <v>49</v>
      </c>
      <c r="W782" s="5">
        <v>1.0</v>
      </c>
      <c r="X782" s="5" t="b">
        <v>1</v>
      </c>
      <c r="Y782" s="5" t="s">
        <v>50</v>
      </c>
      <c r="Z782" s="5" t="b">
        <v>0</v>
      </c>
      <c r="AA782" s="10"/>
      <c r="AB782" s="4">
        <v>1.0</v>
      </c>
      <c r="AC782" s="11" t="s">
        <v>4685</v>
      </c>
      <c r="AD782" s="5">
        <v>0.0</v>
      </c>
      <c r="AE782" s="5">
        <v>1.0</v>
      </c>
      <c r="AF782" s="8">
        <v>46188.0</v>
      </c>
      <c r="AG782" s="9">
        <v>0.375</v>
      </c>
      <c r="AH782" s="9">
        <v>0.9166666666666666</v>
      </c>
      <c r="AI782" s="4" t="s">
        <v>49</v>
      </c>
      <c r="AJ782" s="5" t="s">
        <v>4686</v>
      </c>
      <c r="AK782" s="12"/>
      <c r="AL782" s="12"/>
      <c r="AM782" s="12"/>
      <c r="AN782" s="12"/>
      <c r="AO782" s="12"/>
      <c r="AP782" s="12"/>
      <c r="AQ782" s="12"/>
    </row>
    <row r="783">
      <c r="A783" s="5" t="s">
        <v>4687</v>
      </c>
      <c r="B783" s="5">
        <v>1.1398423E7</v>
      </c>
      <c r="C783" s="5" t="s">
        <v>37</v>
      </c>
      <c r="D783" s="5" t="s">
        <v>4688</v>
      </c>
      <c r="E783" s="5" t="s">
        <v>39</v>
      </c>
      <c r="F783" s="5" t="s">
        <v>4689</v>
      </c>
      <c r="G783" s="15">
        <v>8.2316738263E10</v>
      </c>
      <c r="H783" s="5" t="s">
        <v>4690</v>
      </c>
      <c r="I783" s="5" t="s">
        <v>42</v>
      </c>
      <c r="J783" s="5" t="s">
        <v>43</v>
      </c>
      <c r="K783" s="5">
        <v>8.7733785699E10</v>
      </c>
      <c r="L783" s="4" t="s">
        <v>44</v>
      </c>
      <c r="M783" s="5" t="s">
        <v>42</v>
      </c>
      <c r="N783" s="4" t="s">
        <v>45</v>
      </c>
      <c r="O783" s="4" t="s">
        <v>46</v>
      </c>
      <c r="P783" s="4" t="s">
        <v>47</v>
      </c>
      <c r="Q783" s="4">
        <v>16451.0</v>
      </c>
      <c r="R783" s="5" t="s">
        <v>4691</v>
      </c>
      <c r="S783" s="8">
        <v>46188.0</v>
      </c>
      <c r="T783" s="9">
        <v>0.375</v>
      </c>
      <c r="U783" s="9">
        <v>0.9166666666666666</v>
      </c>
      <c r="V783" s="4" t="s">
        <v>49</v>
      </c>
      <c r="W783" s="5">
        <v>1.0</v>
      </c>
      <c r="X783" s="5" t="b">
        <v>1</v>
      </c>
      <c r="Y783" s="5" t="s">
        <v>50</v>
      </c>
      <c r="Z783" s="5" t="b">
        <v>0</v>
      </c>
      <c r="AA783" s="10"/>
      <c r="AB783" s="4">
        <v>1.0</v>
      </c>
      <c r="AC783" s="11" t="s">
        <v>4692</v>
      </c>
      <c r="AD783" s="5">
        <v>0.0</v>
      </c>
      <c r="AE783" s="5">
        <v>1.0</v>
      </c>
      <c r="AF783" s="8">
        <v>46188.0</v>
      </c>
      <c r="AG783" s="9">
        <v>0.375</v>
      </c>
      <c r="AH783" s="9">
        <v>0.9166666666666666</v>
      </c>
      <c r="AI783" s="4" t="s">
        <v>49</v>
      </c>
      <c r="AJ783" s="5" t="s">
        <v>4693</v>
      </c>
      <c r="AK783" s="12"/>
      <c r="AL783" s="12"/>
      <c r="AM783" s="12"/>
      <c r="AN783" s="12"/>
      <c r="AO783" s="12"/>
      <c r="AP783" s="12"/>
      <c r="AQ783" s="12"/>
    </row>
    <row r="784">
      <c r="A784" s="5" t="s">
        <v>4694</v>
      </c>
      <c r="B784" s="5">
        <v>1.1398423E7</v>
      </c>
      <c r="C784" s="5" t="s">
        <v>37</v>
      </c>
      <c r="D784" s="5" t="s">
        <v>4695</v>
      </c>
      <c r="E784" s="5" t="s">
        <v>39</v>
      </c>
      <c r="F784" s="5" t="s">
        <v>4696</v>
      </c>
      <c r="G784" s="15">
        <v>6.28989E16</v>
      </c>
      <c r="H784" s="5" t="s">
        <v>4697</v>
      </c>
      <c r="I784" s="5" t="s">
        <v>42</v>
      </c>
      <c r="J784" s="5" t="s">
        <v>43</v>
      </c>
      <c r="K784" s="5">
        <v>6.285143002578E12</v>
      </c>
      <c r="L784" s="4" t="s">
        <v>57</v>
      </c>
      <c r="M784" s="5" t="s">
        <v>42</v>
      </c>
      <c r="N784" s="4" t="s">
        <v>58</v>
      </c>
      <c r="O784" s="4" t="s">
        <v>59</v>
      </c>
      <c r="P784" s="4" t="s">
        <v>60</v>
      </c>
      <c r="Q784" s="4">
        <v>60291.0</v>
      </c>
      <c r="R784" s="5" t="s">
        <v>4698</v>
      </c>
      <c r="S784" s="8">
        <v>46188.0</v>
      </c>
      <c r="T784" s="9">
        <v>0.375</v>
      </c>
      <c r="U784" s="9">
        <v>0.9166666666666666</v>
      </c>
      <c r="V784" s="4" t="s">
        <v>49</v>
      </c>
      <c r="W784" s="5">
        <v>1.0</v>
      </c>
      <c r="X784" s="5" t="b">
        <v>1</v>
      </c>
      <c r="Y784" s="5" t="s">
        <v>50</v>
      </c>
      <c r="Z784" s="5" t="b">
        <v>0</v>
      </c>
      <c r="AA784" s="10"/>
      <c r="AB784" s="4">
        <v>1.0</v>
      </c>
      <c r="AC784" s="11" t="s">
        <v>4699</v>
      </c>
      <c r="AD784" s="5">
        <v>0.0</v>
      </c>
      <c r="AE784" s="5">
        <v>1.0</v>
      </c>
      <c r="AF784" s="8">
        <v>46188.0</v>
      </c>
      <c r="AG784" s="9">
        <v>0.375</v>
      </c>
      <c r="AH784" s="9">
        <v>0.9166666666666666</v>
      </c>
      <c r="AI784" s="4" t="s">
        <v>49</v>
      </c>
      <c r="AJ784" s="5" t="s">
        <v>4700</v>
      </c>
      <c r="AK784" s="12"/>
      <c r="AL784" s="12"/>
      <c r="AM784" s="12"/>
      <c r="AN784" s="12"/>
      <c r="AO784" s="12"/>
      <c r="AP784" s="12"/>
      <c r="AQ784" s="12"/>
    </row>
    <row r="785">
      <c r="A785" s="5" t="s">
        <v>4701</v>
      </c>
      <c r="B785" s="5">
        <v>1.1398423E7</v>
      </c>
      <c r="C785" s="5" t="s">
        <v>37</v>
      </c>
      <c r="D785" s="5" t="s">
        <v>4702</v>
      </c>
      <c r="E785" s="5" t="s">
        <v>39</v>
      </c>
      <c r="F785" s="5" t="s">
        <v>4703</v>
      </c>
      <c r="G785" s="15">
        <v>6.28573E17</v>
      </c>
      <c r="H785" s="5" t="s">
        <v>4704</v>
      </c>
      <c r="I785" s="5" t="s">
        <v>42</v>
      </c>
      <c r="J785" s="5" t="s">
        <v>43</v>
      </c>
      <c r="K785" s="5">
        <v>6.285143002578E12</v>
      </c>
      <c r="L785" s="4" t="s">
        <v>57</v>
      </c>
      <c r="M785" s="5" t="s">
        <v>42</v>
      </c>
      <c r="N785" s="4" t="s">
        <v>58</v>
      </c>
      <c r="O785" s="4" t="s">
        <v>59</v>
      </c>
      <c r="P785" s="4" t="s">
        <v>60</v>
      </c>
      <c r="Q785" s="4">
        <v>60291.0</v>
      </c>
      <c r="R785" s="5" t="s">
        <v>4705</v>
      </c>
      <c r="S785" s="8">
        <v>46189.0</v>
      </c>
      <c r="T785" s="9">
        <v>0.375</v>
      </c>
      <c r="U785" s="9">
        <v>0.9166666666666666</v>
      </c>
      <c r="V785" s="4" t="s">
        <v>49</v>
      </c>
      <c r="W785" s="5">
        <v>1.0</v>
      </c>
      <c r="X785" s="5" t="b">
        <v>1</v>
      </c>
      <c r="Y785" s="5" t="s">
        <v>50</v>
      </c>
      <c r="Z785" s="5" t="b">
        <v>0</v>
      </c>
      <c r="AA785" s="10"/>
      <c r="AB785" s="4">
        <v>1.0</v>
      </c>
      <c r="AC785" s="11" t="s">
        <v>4706</v>
      </c>
      <c r="AD785" s="5">
        <v>0.0</v>
      </c>
      <c r="AE785" s="5">
        <v>1.0</v>
      </c>
      <c r="AF785" s="8">
        <v>46189.0</v>
      </c>
      <c r="AG785" s="9">
        <v>0.375</v>
      </c>
      <c r="AH785" s="9">
        <v>0.9166666666666666</v>
      </c>
      <c r="AI785" s="4" t="s">
        <v>49</v>
      </c>
      <c r="AJ785" s="5" t="s">
        <v>4707</v>
      </c>
      <c r="AK785" s="12"/>
      <c r="AL785" s="12"/>
      <c r="AM785" s="12"/>
      <c r="AN785" s="12"/>
      <c r="AO785" s="12"/>
      <c r="AP785" s="12"/>
      <c r="AQ785" s="12"/>
    </row>
    <row r="786">
      <c r="A786" s="5" t="s">
        <v>4708</v>
      </c>
      <c r="B786" s="5">
        <v>1.1398423E7</v>
      </c>
      <c r="C786" s="5" t="s">
        <v>37</v>
      </c>
      <c r="D786" s="5" t="s">
        <v>4709</v>
      </c>
      <c r="E786" s="5" t="s">
        <v>39</v>
      </c>
      <c r="F786" s="5" t="s">
        <v>1825</v>
      </c>
      <c r="G786" s="15">
        <v>6.28232E17</v>
      </c>
      <c r="H786" s="5" t="s">
        <v>1826</v>
      </c>
      <c r="I786" s="5" t="s">
        <v>42</v>
      </c>
      <c r="J786" s="5" t="s">
        <v>43</v>
      </c>
      <c r="K786" s="5">
        <v>6.285143002578E12</v>
      </c>
      <c r="L786" s="4" t="s">
        <v>57</v>
      </c>
      <c r="M786" s="5" t="s">
        <v>42</v>
      </c>
      <c r="N786" s="4" t="s">
        <v>58</v>
      </c>
      <c r="O786" s="4" t="s">
        <v>59</v>
      </c>
      <c r="P786" s="4" t="s">
        <v>60</v>
      </c>
      <c r="Q786" s="4">
        <v>60291.0</v>
      </c>
      <c r="R786" s="5" t="s">
        <v>4710</v>
      </c>
      <c r="S786" s="8">
        <v>46189.0</v>
      </c>
      <c r="T786" s="9">
        <v>0.375</v>
      </c>
      <c r="U786" s="9">
        <v>0.9166666666666666</v>
      </c>
      <c r="V786" s="4" t="s">
        <v>49</v>
      </c>
      <c r="W786" s="5">
        <v>1.0</v>
      </c>
      <c r="X786" s="5" t="b">
        <v>1</v>
      </c>
      <c r="Y786" s="5" t="s">
        <v>50</v>
      </c>
      <c r="Z786" s="5" t="b">
        <v>0</v>
      </c>
      <c r="AA786" s="10"/>
      <c r="AB786" s="4">
        <v>1.0</v>
      </c>
      <c r="AC786" s="11" t="s">
        <v>4711</v>
      </c>
      <c r="AD786" s="5">
        <v>0.0</v>
      </c>
      <c r="AE786" s="5">
        <v>1.0</v>
      </c>
      <c r="AF786" s="8">
        <v>46189.0</v>
      </c>
      <c r="AG786" s="9">
        <v>0.375</v>
      </c>
      <c r="AH786" s="9">
        <v>0.9166666666666666</v>
      </c>
      <c r="AI786" s="4" t="s">
        <v>49</v>
      </c>
      <c r="AJ786" s="5" t="s">
        <v>4712</v>
      </c>
      <c r="AK786" s="12"/>
      <c r="AL786" s="12"/>
      <c r="AM786" s="12"/>
      <c r="AN786" s="12"/>
      <c r="AO786" s="12"/>
      <c r="AP786" s="12"/>
      <c r="AQ786" s="12"/>
    </row>
    <row r="787">
      <c r="A787" s="5" t="s">
        <v>4713</v>
      </c>
      <c r="B787" s="5">
        <v>1.1398423E7</v>
      </c>
      <c r="C787" s="5" t="s">
        <v>37</v>
      </c>
      <c r="D787" s="5" t="s">
        <v>4714</v>
      </c>
      <c r="E787" s="5" t="s">
        <v>39</v>
      </c>
      <c r="F787" s="5" t="s">
        <v>4715</v>
      </c>
      <c r="G787" s="15">
        <v>6.28552E16</v>
      </c>
      <c r="H787" s="5" t="s">
        <v>4716</v>
      </c>
      <c r="I787" s="5" t="s">
        <v>42</v>
      </c>
      <c r="J787" s="5" t="s">
        <v>43</v>
      </c>
      <c r="K787" s="5">
        <v>8.7733785699E10</v>
      </c>
      <c r="L787" s="4" t="s">
        <v>44</v>
      </c>
      <c r="M787" s="5" t="s">
        <v>42</v>
      </c>
      <c r="N787" s="4" t="s">
        <v>45</v>
      </c>
      <c r="O787" s="4" t="s">
        <v>46</v>
      </c>
      <c r="P787" s="4" t="s">
        <v>47</v>
      </c>
      <c r="Q787" s="4">
        <v>16451.0</v>
      </c>
      <c r="R787" s="5" t="s">
        <v>4717</v>
      </c>
      <c r="S787" s="8">
        <v>46189.0</v>
      </c>
      <c r="T787" s="9">
        <v>0.375</v>
      </c>
      <c r="U787" s="9">
        <v>0.9166666666666666</v>
      </c>
      <c r="V787" s="4" t="s">
        <v>49</v>
      </c>
      <c r="W787" s="5">
        <v>1.0</v>
      </c>
      <c r="X787" s="5" t="b">
        <v>1</v>
      </c>
      <c r="Y787" s="5" t="s">
        <v>50</v>
      </c>
      <c r="Z787" s="5" t="b">
        <v>0</v>
      </c>
      <c r="AA787" s="10"/>
      <c r="AB787" s="4">
        <v>1.0</v>
      </c>
      <c r="AC787" s="11" t="s">
        <v>4718</v>
      </c>
      <c r="AD787" s="5">
        <v>0.0</v>
      </c>
      <c r="AE787" s="5">
        <v>1.0</v>
      </c>
      <c r="AF787" s="8">
        <v>46189.0</v>
      </c>
      <c r="AG787" s="9">
        <v>0.375</v>
      </c>
      <c r="AH787" s="9">
        <v>0.9166666666666666</v>
      </c>
      <c r="AI787" s="4" t="s">
        <v>49</v>
      </c>
      <c r="AJ787" s="5" t="s">
        <v>4719</v>
      </c>
      <c r="AK787" s="12"/>
      <c r="AL787" s="12"/>
      <c r="AM787" s="12"/>
      <c r="AN787" s="12"/>
      <c r="AO787" s="12"/>
      <c r="AP787" s="12"/>
      <c r="AQ787" s="12"/>
    </row>
    <row r="788">
      <c r="A788" s="5" t="s">
        <v>4720</v>
      </c>
      <c r="B788" s="5">
        <v>1.1398423E7</v>
      </c>
      <c r="C788" s="5" t="s">
        <v>37</v>
      </c>
      <c r="D788" s="5" t="s">
        <v>4721</v>
      </c>
      <c r="E788" s="5" t="s">
        <v>39</v>
      </c>
      <c r="F788" s="5" t="s">
        <v>4722</v>
      </c>
      <c r="G788" s="15">
        <v>8.5255568502E10</v>
      </c>
      <c r="H788" s="5" t="s">
        <v>4723</v>
      </c>
      <c r="I788" s="5" t="s">
        <v>42</v>
      </c>
      <c r="J788" s="5" t="s">
        <v>43</v>
      </c>
      <c r="K788" s="5">
        <v>8.7733785699E10</v>
      </c>
      <c r="L788" s="4" t="s">
        <v>44</v>
      </c>
      <c r="M788" s="5" t="s">
        <v>42</v>
      </c>
      <c r="N788" s="4" t="s">
        <v>45</v>
      </c>
      <c r="O788" s="4" t="s">
        <v>46</v>
      </c>
      <c r="P788" s="4" t="s">
        <v>47</v>
      </c>
      <c r="Q788" s="4">
        <v>16451.0</v>
      </c>
      <c r="R788" s="5" t="s">
        <v>4724</v>
      </c>
      <c r="S788" s="8">
        <v>46189.0</v>
      </c>
      <c r="T788" s="9">
        <v>0.375</v>
      </c>
      <c r="U788" s="9">
        <v>0.9166666666666666</v>
      </c>
      <c r="V788" s="4" t="s">
        <v>49</v>
      </c>
      <c r="W788" s="5">
        <v>1.0</v>
      </c>
      <c r="X788" s="5" t="b">
        <v>1</v>
      </c>
      <c r="Y788" s="5" t="s">
        <v>50</v>
      </c>
      <c r="Z788" s="5" t="b">
        <v>0</v>
      </c>
      <c r="AA788" s="10"/>
      <c r="AB788" s="4">
        <v>1.0</v>
      </c>
      <c r="AC788" s="11" t="s">
        <v>4725</v>
      </c>
      <c r="AD788" s="5">
        <v>0.0</v>
      </c>
      <c r="AE788" s="5">
        <v>1.0</v>
      </c>
      <c r="AF788" s="8">
        <v>46189.0</v>
      </c>
      <c r="AG788" s="9">
        <v>0.375</v>
      </c>
      <c r="AH788" s="9">
        <v>0.9166666666666666</v>
      </c>
      <c r="AI788" s="4" t="s">
        <v>49</v>
      </c>
      <c r="AJ788" s="5" t="s">
        <v>4726</v>
      </c>
      <c r="AK788" s="12"/>
      <c r="AL788" s="12"/>
      <c r="AM788" s="12"/>
      <c r="AN788" s="12"/>
      <c r="AO788" s="12"/>
      <c r="AP788" s="12"/>
      <c r="AQ788" s="12"/>
    </row>
    <row r="789">
      <c r="A789" s="5" t="s">
        <v>4727</v>
      </c>
      <c r="B789" s="5">
        <v>1.1398423E7</v>
      </c>
      <c r="C789" s="5" t="s">
        <v>37</v>
      </c>
      <c r="D789" s="5" t="s">
        <v>4728</v>
      </c>
      <c r="E789" s="5" t="s">
        <v>39</v>
      </c>
      <c r="F789" s="5" t="s">
        <v>2990</v>
      </c>
      <c r="G789" s="15">
        <v>2.17363846E8</v>
      </c>
      <c r="H789" s="5" t="s">
        <v>2991</v>
      </c>
      <c r="I789" s="5" t="s">
        <v>42</v>
      </c>
      <c r="J789" s="5" t="s">
        <v>43</v>
      </c>
      <c r="K789" s="5">
        <v>8.7733785699E10</v>
      </c>
      <c r="L789" s="4" t="s">
        <v>44</v>
      </c>
      <c r="M789" s="5" t="s">
        <v>42</v>
      </c>
      <c r="N789" s="4" t="s">
        <v>45</v>
      </c>
      <c r="O789" s="4" t="s">
        <v>46</v>
      </c>
      <c r="P789" s="4" t="s">
        <v>47</v>
      </c>
      <c r="Q789" s="4">
        <v>16451.0</v>
      </c>
      <c r="R789" s="5" t="s">
        <v>4729</v>
      </c>
      <c r="S789" s="8">
        <v>46189.0</v>
      </c>
      <c r="T789" s="9">
        <v>0.375</v>
      </c>
      <c r="U789" s="9">
        <v>0.9166666666666666</v>
      </c>
      <c r="V789" s="4" t="s">
        <v>49</v>
      </c>
      <c r="W789" s="5">
        <v>1.0</v>
      </c>
      <c r="X789" s="5" t="b">
        <v>1</v>
      </c>
      <c r="Y789" s="5" t="s">
        <v>50</v>
      </c>
      <c r="Z789" s="5" t="b">
        <v>0</v>
      </c>
      <c r="AA789" s="10"/>
      <c r="AB789" s="4">
        <v>1.0</v>
      </c>
      <c r="AC789" s="11" t="s">
        <v>4730</v>
      </c>
      <c r="AD789" s="5">
        <v>0.0</v>
      </c>
      <c r="AE789" s="5">
        <v>1.0</v>
      </c>
      <c r="AF789" s="8">
        <v>46189.0</v>
      </c>
      <c r="AG789" s="9">
        <v>0.375</v>
      </c>
      <c r="AH789" s="9">
        <v>0.9166666666666666</v>
      </c>
      <c r="AI789" s="4" t="s">
        <v>49</v>
      </c>
      <c r="AJ789" s="5" t="s">
        <v>4731</v>
      </c>
      <c r="AK789" s="12"/>
      <c r="AL789" s="12"/>
      <c r="AM789" s="12"/>
      <c r="AN789" s="12"/>
      <c r="AO789" s="12"/>
      <c r="AP789" s="12"/>
      <c r="AQ789" s="12"/>
    </row>
    <row r="790">
      <c r="A790" s="5" t="s">
        <v>4732</v>
      </c>
      <c r="B790" s="5">
        <v>1.1398423E7</v>
      </c>
      <c r="C790" s="5" t="s">
        <v>37</v>
      </c>
      <c r="D790" s="5" t="s">
        <v>4733</v>
      </c>
      <c r="E790" s="5" t="s">
        <v>39</v>
      </c>
      <c r="F790" s="5" t="s">
        <v>4734</v>
      </c>
      <c r="G790" s="15">
        <v>6.28788E17</v>
      </c>
      <c r="H790" s="5" t="s">
        <v>4735</v>
      </c>
      <c r="I790" s="5" t="s">
        <v>42</v>
      </c>
      <c r="J790" s="5" t="s">
        <v>43</v>
      </c>
      <c r="K790" s="5">
        <v>8.7733785699E10</v>
      </c>
      <c r="L790" s="4" t="s">
        <v>44</v>
      </c>
      <c r="M790" s="5" t="s">
        <v>42</v>
      </c>
      <c r="N790" s="4" t="s">
        <v>45</v>
      </c>
      <c r="O790" s="4" t="s">
        <v>46</v>
      </c>
      <c r="P790" s="4" t="s">
        <v>47</v>
      </c>
      <c r="Q790" s="4">
        <v>16451.0</v>
      </c>
      <c r="R790" s="5" t="s">
        <v>4736</v>
      </c>
      <c r="S790" s="8">
        <v>46189.0</v>
      </c>
      <c r="T790" s="9">
        <v>0.375</v>
      </c>
      <c r="U790" s="9">
        <v>0.9166666666666666</v>
      </c>
      <c r="V790" s="4" t="s">
        <v>49</v>
      </c>
      <c r="W790" s="5">
        <v>1.0</v>
      </c>
      <c r="X790" s="5" t="b">
        <v>1</v>
      </c>
      <c r="Y790" s="5" t="s">
        <v>50</v>
      </c>
      <c r="Z790" s="5" t="b">
        <v>0</v>
      </c>
      <c r="AA790" s="10"/>
      <c r="AB790" s="4">
        <v>1.0</v>
      </c>
      <c r="AC790" s="11" t="s">
        <v>4737</v>
      </c>
      <c r="AD790" s="5">
        <v>0.0</v>
      </c>
      <c r="AE790" s="5">
        <v>1.0</v>
      </c>
      <c r="AF790" s="8">
        <v>46189.0</v>
      </c>
      <c r="AG790" s="9">
        <v>0.375</v>
      </c>
      <c r="AH790" s="9">
        <v>0.9166666666666666</v>
      </c>
      <c r="AI790" s="4" t="s">
        <v>49</v>
      </c>
      <c r="AJ790" s="5" t="s">
        <v>4738</v>
      </c>
      <c r="AK790" s="12"/>
      <c r="AL790" s="12"/>
      <c r="AM790" s="12"/>
      <c r="AN790" s="12"/>
      <c r="AO790" s="12"/>
      <c r="AP790" s="12"/>
      <c r="AQ790" s="12"/>
    </row>
    <row r="791">
      <c r="A791" s="5" t="s">
        <v>4739</v>
      </c>
      <c r="B791" s="5">
        <v>1.1398423E7</v>
      </c>
      <c r="C791" s="5" t="s">
        <v>37</v>
      </c>
      <c r="D791" s="5" t="s">
        <v>4740</v>
      </c>
      <c r="E791" s="5" t="s">
        <v>39</v>
      </c>
      <c r="F791" s="5" t="s">
        <v>4741</v>
      </c>
      <c r="G791" s="15">
        <v>6.28211E17</v>
      </c>
      <c r="H791" s="5" t="s">
        <v>4742</v>
      </c>
      <c r="I791" s="5" t="s">
        <v>42</v>
      </c>
      <c r="J791" s="5" t="s">
        <v>43</v>
      </c>
      <c r="K791" s="5">
        <v>8.7733785699E10</v>
      </c>
      <c r="L791" s="4" t="s">
        <v>44</v>
      </c>
      <c r="M791" s="5" t="s">
        <v>42</v>
      </c>
      <c r="N791" s="4" t="s">
        <v>45</v>
      </c>
      <c r="O791" s="4" t="s">
        <v>46</v>
      </c>
      <c r="P791" s="4" t="s">
        <v>47</v>
      </c>
      <c r="Q791" s="4">
        <v>16451.0</v>
      </c>
      <c r="R791" s="5" t="s">
        <v>4743</v>
      </c>
      <c r="S791" s="8">
        <v>46189.0</v>
      </c>
      <c r="T791" s="9">
        <v>0.375</v>
      </c>
      <c r="U791" s="9">
        <v>0.9166666666666666</v>
      </c>
      <c r="V791" s="4" t="s">
        <v>49</v>
      </c>
      <c r="W791" s="5">
        <v>1.0</v>
      </c>
      <c r="X791" s="5" t="b">
        <v>1</v>
      </c>
      <c r="Y791" s="5" t="s">
        <v>50</v>
      </c>
      <c r="Z791" s="5" t="b">
        <v>0</v>
      </c>
      <c r="AA791" s="10"/>
      <c r="AB791" s="4">
        <v>1.0</v>
      </c>
      <c r="AC791" s="11" t="s">
        <v>4744</v>
      </c>
      <c r="AD791" s="5">
        <v>0.0</v>
      </c>
      <c r="AE791" s="5">
        <v>1.0</v>
      </c>
      <c r="AF791" s="8">
        <v>46189.0</v>
      </c>
      <c r="AG791" s="9">
        <v>0.375</v>
      </c>
      <c r="AH791" s="9">
        <v>0.9166666666666666</v>
      </c>
      <c r="AI791" s="4" t="s">
        <v>49</v>
      </c>
      <c r="AJ791" s="5" t="s">
        <v>4745</v>
      </c>
      <c r="AK791" s="12"/>
      <c r="AL791" s="12"/>
      <c r="AM791" s="12"/>
      <c r="AN791" s="12"/>
      <c r="AO791" s="12"/>
      <c r="AP791" s="12"/>
      <c r="AQ791" s="12"/>
    </row>
    <row r="792">
      <c r="A792" s="5" t="s">
        <v>4746</v>
      </c>
      <c r="B792" s="5">
        <v>1.1398423E7</v>
      </c>
      <c r="C792" s="5" t="s">
        <v>37</v>
      </c>
      <c r="D792" s="5" t="s">
        <v>4421</v>
      </c>
      <c r="E792" s="5" t="s">
        <v>39</v>
      </c>
      <c r="F792" s="5" t="s">
        <v>2926</v>
      </c>
      <c r="G792" s="15">
        <v>8.1585857777E10</v>
      </c>
      <c r="H792" s="5" t="s">
        <v>2927</v>
      </c>
      <c r="I792" s="5" t="s">
        <v>42</v>
      </c>
      <c r="J792" s="5" t="s">
        <v>43</v>
      </c>
      <c r="K792" s="5">
        <v>8.7733785699E10</v>
      </c>
      <c r="L792" s="4" t="s">
        <v>44</v>
      </c>
      <c r="M792" s="5" t="s">
        <v>42</v>
      </c>
      <c r="N792" s="4" t="s">
        <v>45</v>
      </c>
      <c r="O792" s="4" t="s">
        <v>46</v>
      </c>
      <c r="P792" s="4" t="s">
        <v>47</v>
      </c>
      <c r="Q792" s="4">
        <v>16451.0</v>
      </c>
      <c r="R792" s="5" t="s">
        <v>4747</v>
      </c>
      <c r="S792" s="8">
        <v>46189.0</v>
      </c>
      <c r="T792" s="9">
        <v>0.375</v>
      </c>
      <c r="U792" s="9">
        <v>0.9166666666666666</v>
      </c>
      <c r="V792" s="4" t="s">
        <v>49</v>
      </c>
      <c r="W792" s="5">
        <v>1.0</v>
      </c>
      <c r="X792" s="5" t="b">
        <v>1</v>
      </c>
      <c r="Y792" s="5" t="s">
        <v>50</v>
      </c>
      <c r="Z792" s="5" t="b">
        <v>0</v>
      </c>
      <c r="AA792" s="10"/>
      <c r="AB792" s="4">
        <v>1.0</v>
      </c>
      <c r="AC792" s="11" t="s">
        <v>4748</v>
      </c>
      <c r="AD792" s="5">
        <v>0.0</v>
      </c>
      <c r="AE792" s="5">
        <v>1.0</v>
      </c>
      <c r="AF792" s="8">
        <v>46189.0</v>
      </c>
      <c r="AG792" s="9">
        <v>0.375</v>
      </c>
      <c r="AH792" s="9">
        <v>0.9166666666666666</v>
      </c>
      <c r="AI792" s="4" t="s">
        <v>49</v>
      </c>
      <c r="AJ792" s="5" t="s">
        <v>4749</v>
      </c>
      <c r="AK792" s="12"/>
      <c r="AL792" s="12"/>
      <c r="AM792" s="12"/>
      <c r="AN792" s="12"/>
      <c r="AO792" s="12"/>
      <c r="AP792" s="12"/>
      <c r="AQ792" s="12"/>
    </row>
    <row r="793">
      <c r="A793" s="5" t="s">
        <v>4750</v>
      </c>
      <c r="B793" s="5">
        <v>1.1398423E7</v>
      </c>
      <c r="C793" s="5" t="s">
        <v>37</v>
      </c>
      <c r="D793" s="5" t="s">
        <v>4751</v>
      </c>
      <c r="E793" s="5" t="s">
        <v>39</v>
      </c>
      <c r="F793" s="5" t="s">
        <v>2926</v>
      </c>
      <c r="G793" s="15">
        <v>8.1585857777E10</v>
      </c>
      <c r="H793" s="5" t="s">
        <v>2927</v>
      </c>
      <c r="I793" s="5" t="s">
        <v>42</v>
      </c>
      <c r="J793" s="5" t="s">
        <v>43</v>
      </c>
      <c r="K793" s="5">
        <v>8.7733785699E10</v>
      </c>
      <c r="L793" s="4" t="s">
        <v>44</v>
      </c>
      <c r="M793" s="5" t="s">
        <v>42</v>
      </c>
      <c r="N793" s="4" t="s">
        <v>45</v>
      </c>
      <c r="O793" s="4" t="s">
        <v>46</v>
      </c>
      <c r="P793" s="4" t="s">
        <v>47</v>
      </c>
      <c r="Q793" s="4">
        <v>16451.0</v>
      </c>
      <c r="R793" s="5" t="s">
        <v>4752</v>
      </c>
      <c r="S793" s="8">
        <v>46189.0</v>
      </c>
      <c r="T793" s="9">
        <v>0.375</v>
      </c>
      <c r="U793" s="9">
        <v>0.9166666666666666</v>
      </c>
      <c r="V793" s="4" t="s">
        <v>49</v>
      </c>
      <c r="W793" s="5">
        <v>1.0</v>
      </c>
      <c r="X793" s="5" t="b">
        <v>1</v>
      </c>
      <c r="Y793" s="5" t="s">
        <v>50</v>
      </c>
      <c r="Z793" s="5" t="b">
        <v>0</v>
      </c>
      <c r="AA793" s="10"/>
      <c r="AB793" s="4">
        <v>1.0</v>
      </c>
      <c r="AC793" s="11" t="s">
        <v>4753</v>
      </c>
      <c r="AD793" s="5">
        <v>0.0</v>
      </c>
      <c r="AE793" s="5">
        <v>1.0</v>
      </c>
      <c r="AF793" s="8">
        <v>46189.0</v>
      </c>
      <c r="AG793" s="9">
        <v>0.375</v>
      </c>
      <c r="AH793" s="9">
        <v>0.9166666666666666</v>
      </c>
      <c r="AI793" s="4" t="s">
        <v>49</v>
      </c>
      <c r="AJ793" s="5" t="s">
        <v>4754</v>
      </c>
      <c r="AK793" s="12"/>
      <c r="AL793" s="12"/>
      <c r="AM793" s="12"/>
      <c r="AN793" s="12"/>
      <c r="AO793" s="12"/>
      <c r="AP793" s="12"/>
      <c r="AQ793" s="12"/>
    </row>
    <row r="794">
      <c r="A794" s="5" t="s">
        <v>4755</v>
      </c>
      <c r="B794" s="5">
        <v>1.1398423E7</v>
      </c>
      <c r="C794" s="5" t="s">
        <v>37</v>
      </c>
      <c r="D794" s="5" t="s">
        <v>4756</v>
      </c>
      <c r="E794" s="5" t="s">
        <v>39</v>
      </c>
      <c r="F794" s="5" t="s">
        <v>2384</v>
      </c>
      <c r="G794" s="15">
        <v>6.28128E17</v>
      </c>
      <c r="H794" s="5" t="s">
        <v>2385</v>
      </c>
      <c r="I794" s="5" t="s">
        <v>42</v>
      </c>
      <c r="J794" s="5" t="s">
        <v>43</v>
      </c>
      <c r="K794" s="5">
        <v>8.7733785699E10</v>
      </c>
      <c r="L794" s="4" t="s">
        <v>44</v>
      </c>
      <c r="M794" s="5" t="s">
        <v>42</v>
      </c>
      <c r="N794" s="4" t="s">
        <v>45</v>
      </c>
      <c r="O794" s="4" t="s">
        <v>46</v>
      </c>
      <c r="P794" s="4" t="s">
        <v>47</v>
      </c>
      <c r="Q794" s="4">
        <v>16451.0</v>
      </c>
      <c r="R794" s="5" t="s">
        <v>4757</v>
      </c>
      <c r="S794" s="8">
        <v>46189.0</v>
      </c>
      <c r="T794" s="9">
        <v>0.375</v>
      </c>
      <c r="U794" s="9">
        <v>0.9166666666666666</v>
      </c>
      <c r="V794" s="4" t="s">
        <v>49</v>
      </c>
      <c r="W794" s="5">
        <v>1.0</v>
      </c>
      <c r="X794" s="5" t="b">
        <v>1</v>
      </c>
      <c r="Y794" s="5" t="s">
        <v>50</v>
      </c>
      <c r="Z794" s="5" t="b">
        <v>0</v>
      </c>
      <c r="AA794" s="10"/>
      <c r="AB794" s="4">
        <v>1.0</v>
      </c>
      <c r="AC794" s="11" t="s">
        <v>4758</v>
      </c>
      <c r="AD794" s="5">
        <v>0.0</v>
      </c>
      <c r="AE794" s="5">
        <v>1.0</v>
      </c>
      <c r="AF794" s="8">
        <v>46189.0</v>
      </c>
      <c r="AG794" s="9">
        <v>0.375</v>
      </c>
      <c r="AH794" s="9">
        <v>0.9166666666666666</v>
      </c>
      <c r="AI794" s="4" t="s">
        <v>49</v>
      </c>
      <c r="AJ794" s="5" t="s">
        <v>4759</v>
      </c>
      <c r="AK794" s="12"/>
      <c r="AL794" s="12"/>
      <c r="AM794" s="12"/>
      <c r="AN794" s="12"/>
      <c r="AO794" s="12"/>
      <c r="AP794" s="12"/>
      <c r="AQ794" s="12"/>
    </row>
    <row r="795">
      <c r="A795" s="5" t="s">
        <v>4760</v>
      </c>
      <c r="B795" s="5">
        <v>1.1398423E7</v>
      </c>
      <c r="C795" s="5" t="s">
        <v>37</v>
      </c>
      <c r="D795" s="5" t="s">
        <v>4761</v>
      </c>
      <c r="E795" s="5" t="s">
        <v>39</v>
      </c>
      <c r="F795" s="5" t="s">
        <v>4762</v>
      </c>
      <c r="G795" s="15">
        <v>8.128475028E9</v>
      </c>
      <c r="H795" s="5" t="s">
        <v>4763</v>
      </c>
      <c r="I795" s="5" t="s">
        <v>42</v>
      </c>
      <c r="J795" s="5" t="s">
        <v>43</v>
      </c>
      <c r="K795" s="5">
        <v>8.7733785699E10</v>
      </c>
      <c r="L795" s="4" t="s">
        <v>44</v>
      </c>
      <c r="M795" s="5" t="s">
        <v>42</v>
      </c>
      <c r="N795" s="4" t="s">
        <v>45</v>
      </c>
      <c r="O795" s="4" t="s">
        <v>46</v>
      </c>
      <c r="P795" s="4" t="s">
        <v>47</v>
      </c>
      <c r="Q795" s="4">
        <v>16451.0</v>
      </c>
      <c r="R795" s="5" t="s">
        <v>4764</v>
      </c>
      <c r="S795" s="8">
        <v>46189.0</v>
      </c>
      <c r="T795" s="9">
        <v>0.375</v>
      </c>
      <c r="U795" s="9">
        <v>0.9166666666666666</v>
      </c>
      <c r="V795" s="4" t="s">
        <v>49</v>
      </c>
      <c r="W795" s="5">
        <v>1.0</v>
      </c>
      <c r="X795" s="5" t="b">
        <v>1</v>
      </c>
      <c r="Y795" s="5" t="s">
        <v>50</v>
      </c>
      <c r="Z795" s="5" t="b">
        <v>0</v>
      </c>
      <c r="AA795" s="10"/>
      <c r="AB795" s="4">
        <v>1.0</v>
      </c>
      <c r="AC795" s="11" t="s">
        <v>4765</v>
      </c>
      <c r="AD795" s="5">
        <v>0.0</v>
      </c>
      <c r="AE795" s="5">
        <v>1.0</v>
      </c>
      <c r="AF795" s="8">
        <v>46189.0</v>
      </c>
      <c r="AG795" s="9">
        <v>0.375</v>
      </c>
      <c r="AH795" s="9">
        <v>0.9166666666666666</v>
      </c>
      <c r="AI795" s="4" t="s">
        <v>49</v>
      </c>
      <c r="AJ795" s="5" t="s">
        <v>4766</v>
      </c>
      <c r="AK795" s="12"/>
      <c r="AL795" s="12"/>
      <c r="AM795" s="12"/>
      <c r="AN795" s="12"/>
      <c r="AO795" s="12"/>
      <c r="AP795" s="12"/>
      <c r="AQ795" s="12"/>
    </row>
    <row r="796">
      <c r="A796" s="5" t="s">
        <v>4767</v>
      </c>
      <c r="B796" s="5">
        <v>1.1398423E7</v>
      </c>
      <c r="C796" s="5" t="s">
        <v>37</v>
      </c>
      <c r="D796" s="5" t="s">
        <v>4768</v>
      </c>
      <c r="E796" s="5" t="s">
        <v>39</v>
      </c>
      <c r="F796" s="5" t="s">
        <v>660</v>
      </c>
      <c r="G796" s="15">
        <v>8.7877209076E10</v>
      </c>
      <c r="H796" s="5" t="s">
        <v>661</v>
      </c>
      <c r="I796" s="5" t="s">
        <v>42</v>
      </c>
      <c r="J796" s="5" t="s">
        <v>43</v>
      </c>
      <c r="K796" s="5">
        <v>8.7733785699E10</v>
      </c>
      <c r="L796" s="4" t="s">
        <v>44</v>
      </c>
      <c r="M796" s="5" t="s">
        <v>42</v>
      </c>
      <c r="N796" s="4" t="s">
        <v>45</v>
      </c>
      <c r="O796" s="4" t="s">
        <v>46</v>
      </c>
      <c r="P796" s="4" t="s">
        <v>47</v>
      </c>
      <c r="Q796" s="4">
        <v>16451.0</v>
      </c>
      <c r="R796" s="5" t="s">
        <v>4769</v>
      </c>
      <c r="S796" s="8">
        <v>46189.0</v>
      </c>
      <c r="T796" s="9">
        <v>0.375</v>
      </c>
      <c r="U796" s="9">
        <v>0.9166666666666666</v>
      </c>
      <c r="V796" s="4" t="s">
        <v>49</v>
      </c>
      <c r="W796" s="5">
        <v>1.0</v>
      </c>
      <c r="X796" s="5" t="b">
        <v>1</v>
      </c>
      <c r="Y796" s="5" t="s">
        <v>50</v>
      </c>
      <c r="Z796" s="5" t="b">
        <v>0</v>
      </c>
      <c r="AA796" s="10"/>
      <c r="AB796" s="4">
        <v>1.0</v>
      </c>
      <c r="AC796" s="11" t="s">
        <v>4770</v>
      </c>
      <c r="AD796" s="5">
        <v>0.0</v>
      </c>
      <c r="AE796" s="5">
        <v>1.0</v>
      </c>
      <c r="AF796" s="8">
        <v>46189.0</v>
      </c>
      <c r="AG796" s="9">
        <v>0.375</v>
      </c>
      <c r="AH796" s="9">
        <v>0.9166666666666666</v>
      </c>
      <c r="AI796" s="4" t="s">
        <v>49</v>
      </c>
      <c r="AJ796" s="5" t="s">
        <v>4771</v>
      </c>
      <c r="AK796" s="12"/>
      <c r="AL796" s="12"/>
      <c r="AM796" s="12"/>
      <c r="AN796" s="12"/>
      <c r="AO796" s="12"/>
      <c r="AP796" s="12"/>
      <c r="AQ796" s="12"/>
    </row>
    <row r="797">
      <c r="A797" s="5" t="s">
        <v>4772</v>
      </c>
      <c r="B797" s="5">
        <v>1.1398423E7</v>
      </c>
      <c r="C797" s="5" t="s">
        <v>37</v>
      </c>
      <c r="D797" s="5" t="s">
        <v>4773</v>
      </c>
      <c r="E797" s="5" t="s">
        <v>39</v>
      </c>
      <c r="F797" s="5" t="s">
        <v>1105</v>
      </c>
      <c r="G797" s="15">
        <v>6.2859E16</v>
      </c>
      <c r="H797" s="5" t="s">
        <v>1106</v>
      </c>
      <c r="I797" s="5" t="s">
        <v>42</v>
      </c>
      <c r="J797" s="5" t="s">
        <v>43</v>
      </c>
      <c r="K797" s="5">
        <v>8.7733785699E10</v>
      </c>
      <c r="L797" s="4" t="s">
        <v>44</v>
      </c>
      <c r="M797" s="5" t="s">
        <v>42</v>
      </c>
      <c r="N797" s="4" t="s">
        <v>45</v>
      </c>
      <c r="O797" s="4" t="s">
        <v>46</v>
      </c>
      <c r="P797" s="4" t="s">
        <v>47</v>
      </c>
      <c r="Q797" s="4">
        <v>16451.0</v>
      </c>
      <c r="R797" s="5" t="s">
        <v>4774</v>
      </c>
      <c r="S797" s="8">
        <v>46189.0</v>
      </c>
      <c r="T797" s="9">
        <v>0.375</v>
      </c>
      <c r="U797" s="9">
        <v>0.9166666666666666</v>
      </c>
      <c r="V797" s="4" t="s">
        <v>49</v>
      </c>
      <c r="W797" s="5">
        <v>1.0</v>
      </c>
      <c r="X797" s="5" t="b">
        <v>1</v>
      </c>
      <c r="Y797" s="5" t="s">
        <v>50</v>
      </c>
      <c r="Z797" s="5" t="b">
        <v>0</v>
      </c>
      <c r="AA797" s="10"/>
      <c r="AB797" s="4">
        <v>1.0</v>
      </c>
      <c r="AC797" s="11" t="s">
        <v>4775</v>
      </c>
      <c r="AD797" s="5">
        <v>0.0</v>
      </c>
      <c r="AE797" s="5">
        <v>1.0</v>
      </c>
      <c r="AF797" s="8">
        <v>46189.0</v>
      </c>
      <c r="AG797" s="9">
        <v>0.375</v>
      </c>
      <c r="AH797" s="9">
        <v>0.9166666666666666</v>
      </c>
      <c r="AI797" s="4" t="s">
        <v>49</v>
      </c>
      <c r="AJ797" s="5" t="s">
        <v>4776</v>
      </c>
      <c r="AK797" s="12"/>
      <c r="AL797" s="12"/>
      <c r="AM797" s="12"/>
      <c r="AN797" s="12"/>
      <c r="AO797" s="12"/>
      <c r="AP797" s="12"/>
      <c r="AQ797" s="12"/>
    </row>
    <row r="798">
      <c r="A798" s="5" t="s">
        <v>4777</v>
      </c>
      <c r="B798" s="5">
        <v>1.1398423E7</v>
      </c>
      <c r="C798" s="5" t="s">
        <v>37</v>
      </c>
      <c r="D798" s="5" t="s">
        <v>4778</v>
      </c>
      <c r="E798" s="5" t="s">
        <v>39</v>
      </c>
      <c r="F798" s="5" t="s">
        <v>4779</v>
      </c>
      <c r="G798" s="15">
        <v>6.28562E17</v>
      </c>
      <c r="H798" s="5" t="s">
        <v>4780</v>
      </c>
      <c r="I798" s="5" t="s">
        <v>42</v>
      </c>
      <c r="J798" s="5" t="s">
        <v>43</v>
      </c>
      <c r="K798" s="5">
        <v>8.7733785699E10</v>
      </c>
      <c r="L798" s="4" t="s">
        <v>44</v>
      </c>
      <c r="M798" s="5" t="s">
        <v>42</v>
      </c>
      <c r="N798" s="4" t="s">
        <v>45</v>
      </c>
      <c r="O798" s="4" t="s">
        <v>46</v>
      </c>
      <c r="P798" s="4" t="s">
        <v>47</v>
      </c>
      <c r="Q798" s="4">
        <v>16451.0</v>
      </c>
      <c r="R798" s="5" t="s">
        <v>4781</v>
      </c>
      <c r="S798" s="8">
        <v>46189.0</v>
      </c>
      <c r="T798" s="9">
        <v>0.375</v>
      </c>
      <c r="U798" s="9">
        <v>0.9166666666666666</v>
      </c>
      <c r="V798" s="4" t="s">
        <v>49</v>
      </c>
      <c r="W798" s="5">
        <v>1.0</v>
      </c>
      <c r="X798" s="5" t="b">
        <v>1</v>
      </c>
      <c r="Y798" s="5" t="s">
        <v>50</v>
      </c>
      <c r="Z798" s="5" t="b">
        <v>0</v>
      </c>
      <c r="AA798" s="10"/>
      <c r="AB798" s="4">
        <v>1.0</v>
      </c>
      <c r="AC798" s="11" t="s">
        <v>4782</v>
      </c>
      <c r="AD798" s="5">
        <v>0.0</v>
      </c>
      <c r="AE798" s="5">
        <v>1.0</v>
      </c>
      <c r="AF798" s="8">
        <v>46189.0</v>
      </c>
      <c r="AG798" s="9">
        <v>0.375</v>
      </c>
      <c r="AH798" s="9">
        <v>0.9166666666666666</v>
      </c>
      <c r="AI798" s="4" t="s">
        <v>49</v>
      </c>
      <c r="AJ798" s="5" t="s">
        <v>4783</v>
      </c>
      <c r="AK798" s="12"/>
      <c r="AL798" s="12"/>
      <c r="AM798" s="12"/>
      <c r="AN798" s="12"/>
      <c r="AO798" s="12"/>
      <c r="AP798" s="12"/>
      <c r="AQ798" s="12"/>
    </row>
    <row r="799">
      <c r="A799" s="5" t="s">
        <v>4784</v>
      </c>
      <c r="B799" s="5">
        <v>1.1398423E7</v>
      </c>
      <c r="C799" s="5" t="s">
        <v>37</v>
      </c>
      <c r="D799" s="5" t="s">
        <v>4785</v>
      </c>
      <c r="E799" s="5" t="s">
        <v>39</v>
      </c>
      <c r="F799" s="5" t="s">
        <v>4786</v>
      </c>
      <c r="G799" s="15">
        <v>6.28822E17</v>
      </c>
      <c r="H799" s="5" t="s">
        <v>4787</v>
      </c>
      <c r="I799" s="5" t="s">
        <v>42</v>
      </c>
      <c r="J799" s="5" t="s">
        <v>43</v>
      </c>
      <c r="K799" s="5">
        <v>8.7733785699E10</v>
      </c>
      <c r="L799" s="4" t="s">
        <v>44</v>
      </c>
      <c r="M799" s="5" t="s">
        <v>42</v>
      </c>
      <c r="N799" s="4" t="s">
        <v>45</v>
      </c>
      <c r="O799" s="4" t="s">
        <v>46</v>
      </c>
      <c r="P799" s="4" t="s">
        <v>47</v>
      </c>
      <c r="Q799" s="4">
        <v>16451.0</v>
      </c>
      <c r="R799" s="5" t="s">
        <v>4788</v>
      </c>
      <c r="S799" s="8">
        <v>46189.0</v>
      </c>
      <c r="T799" s="9">
        <v>0.375</v>
      </c>
      <c r="U799" s="9">
        <v>0.9166666666666666</v>
      </c>
      <c r="V799" s="4" t="s">
        <v>49</v>
      </c>
      <c r="W799" s="5">
        <v>1.0</v>
      </c>
      <c r="X799" s="5" t="b">
        <v>1</v>
      </c>
      <c r="Y799" s="5" t="s">
        <v>50</v>
      </c>
      <c r="Z799" s="5" t="b">
        <v>0</v>
      </c>
      <c r="AA799" s="10"/>
      <c r="AB799" s="4">
        <v>1.0</v>
      </c>
      <c r="AC799" s="11" t="s">
        <v>4789</v>
      </c>
      <c r="AD799" s="5">
        <v>0.0</v>
      </c>
      <c r="AE799" s="5">
        <v>1.0</v>
      </c>
      <c r="AF799" s="8">
        <v>46189.0</v>
      </c>
      <c r="AG799" s="9">
        <v>0.375</v>
      </c>
      <c r="AH799" s="9">
        <v>0.9166666666666666</v>
      </c>
      <c r="AI799" s="4" t="s">
        <v>49</v>
      </c>
      <c r="AJ799" s="5" t="s">
        <v>4790</v>
      </c>
      <c r="AK799" s="12"/>
      <c r="AL799" s="12"/>
      <c r="AM799" s="12"/>
      <c r="AN799" s="12"/>
      <c r="AO799" s="12"/>
      <c r="AP799" s="12"/>
      <c r="AQ799" s="12"/>
    </row>
    <row r="800">
      <c r="A800" s="5" t="s">
        <v>4791</v>
      </c>
      <c r="B800" s="5">
        <v>1.1398423E7</v>
      </c>
      <c r="C800" s="5" t="s">
        <v>37</v>
      </c>
      <c r="D800" s="5" t="s">
        <v>4792</v>
      </c>
      <c r="E800" s="5" t="s">
        <v>39</v>
      </c>
      <c r="F800" s="5" t="s">
        <v>1233</v>
      </c>
      <c r="G800" s="15">
        <v>6.28521E17</v>
      </c>
      <c r="H800" s="5" t="s">
        <v>1234</v>
      </c>
      <c r="I800" s="5" t="s">
        <v>42</v>
      </c>
      <c r="J800" s="5" t="s">
        <v>43</v>
      </c>
      <c r="K800" s="5">
        <v>8.7733785699E10</v>
      </c>
      <c r="L800" s="4" t="s">
        <v>44</v>
      </c>
      <c r="M800" s="5" t="s">
        <v>42</v>
      </c>
      <c r="N800" s="4" t="s">
        <v>45</v>
      </c>
      <c r="O800" s="4" t="s">
        <v>46</v>
      </c>
      <c r="P800" s="4" t="s">
        <v>47</v>
      </c>
      <c r="Q800" s="4">
        <v>16451.0</v>
      </c>
      <c r="R800" s="5" t="s">
        <v>4793</v>
      </c>
      <c r="S800" s="8">
        <v>46189.0</v>
      </c>
      <c r="T800" s="9">
        <v>0.375</v>
      </c>
      <c r="U800" s="9">
        <v>0.9166666666666666</v>
      </c>
      <c r="V800" s="4" t="s">
        <v>49</v>
      </c>
      <c r="W800" s="5">
        <v>1.0</v>
      </c>
      <c r="X800" s="5" t="b">
        <v>1</v>
      </c>
      <c r="Y800" s="5" t="s">
        <v>50</v>
      </c>
      <c r="Z800" s="5" t="b">
        <v>0</v>
      </c>
      <c r="AA800" s="10"/>
      <c r="AB800" s="4">
        <v>1.0</v>
      </c>
      <c r="AC800" s="11" t="s">
        <v>4794</v>
      </c>
      <c r="AD800" s="5">
        <v>0.0</v>
      </c>
      <c r="AE800" s="5">
        <v>1.0</v>
      </c>
      <c r="AF800" s="8">
        <v>46189.0</v>
      </c>
      <c r="AG800" s="9">
        <v>0.375</v>
      </c>
      <c r="AH800" s="9">
        <v>0.9166666666666666</v>
      </c>
      <c r="AI800" s="4" t="s">
        <v>49</v>
      </c>
      <c r="AJ800" s="5" t="s">
        <v>4795</v>
      </c>
      <c r="AK800" s="12"/>
      <c r="AL800" s="12"/>
      <c r="AM800" s="12"/>
      <c r="AN800" s="12"/>
      <c r="AO800" s="12"/>
      <c r="AP800" s="12"/>
      <c r="AQ800" s="12"/>
    </row>
    <row r="801">
      <c r="A801" s="5" t="s">
        <v>4796</v>
      </c>
      <c r="B801" s="5">
        <v>1.1398423E7</v>
      </c>
      <c r="C801" s="5" t="s">
        <v>37</v>
      </c>
      <c r="D801" s="5" t="s">
        <v>4797</v>
      </c>
      <c r="E801" s="5" t="s">
        <v>39</v>
      </c>
      <c r="F801" s="5" t="s">
        <v>2851</v>
      </c>
      <c r="G801" s="15">
        <v>8.1317174324E10</v>
      </c>
      <c r="H801" s="5" t="s">
        <v>2852</v>
      </c>
      <c r="I801" s="5" t="s">
        <v>42</v>
      </c>
      <c r="J801" s="5" t="s">
        <v>43</v>
      </c>
      <c r="K801" s="5">
        <v>8.7733785699E10</v>
      </c>
      <c r="L801" s="4" t="s">
        <v>44</v>
      </c>
      <c r="M801" s="5" t="s">
        <v>42</v>
      </c>
      <c r="N801" s="4" t="s">
        <v>45</v>
      </c>
      <c r="O801" s="4" t="s">
        <v>46</v>
      </c>
      <c r="P801" s="4" t="s">
        <v>47</v>
      </c>
      <c r="Q801" s="4">
        <v>16451.0</v>
      </c>
      <c r="R801" s="5" t="s">
        <v>4798</v>
      </c>
      <c r="S801" s="8">
        <v>46189.0</v>
      </c>
      <c r="T801" s="9">
        <v>0.375</v>
      </c>
      <c r="U801" s="9">
        <v>0.9166666666666666</v>
      </c>
      <c r="V801" s="4" t="s">
        <v>49</v>
      </c>
      <c r="W801" s="5">
        <v>1.0</v>
      </c>
      <c r="X801" s="5" t="b">
        <v>1</v>
      </c>
      <c r="Y801" s="5" t="s">
        <v>50</v>
      </c>
      <c r="Z801" s="5" t="b">
        <v>0</v>
      </c>
      <c r="AA801" s="10"/>
      <c r="AB801" s="4">
        <v>1.0</v>
      </c>
      <c r="AC801" s="11" t="s">
        <v>4799</v>
      </c>
      <c r="AD801" s="5">
        <v>0.0</v>
      </c>
      <c r="AE801" s="5">
        <v>1.0</v>
      </c>
      <c r="AF801" s="8">
        <v>46189.0</v>
      </c>
      <c r="AG801" s="9">
        <v>0.375</v>
      </c>
      <c r="AH801" s="9">
        <v>0.9166666666666666</v>
      </c>
      <c r="AI801" s="4" t="s">
        <v>49</v>
      </c>
      <c r="AJ801" s="5" t="s">
        <v>4800</v>
      </c>
      <c r="AK801" s="12"/>
      <c r="AL801" s="12"/>
      <c r="AM801" s="12"/>
      <c r="AN801" s="12"/>
      <c r="AO801" s="12"/>
      <c r="AP801" s="12"/>
      <c r="AQ801" s="12"/>
    </row>
    <row r="802">
      <c r="A802" s="5" t="s">
        <v>4801</v>
      </c>
      <c r="B802" s="5">
        <v>1.1398423E7</v>
      </c>
      <c r="C802" s="5" t="s">
        <v>37</v>
      </c>
      <c r="D802" s="5" t="s">
        <v>4802</v>
      </c>
      <c r="E802" s="5" t="s">
        <v>39</v>
      </c>
      <c r="F802" s="5" t="s">
        <v>1193</v>
      </c>
      <c r="G802" s="15">
        <v>6.28128E17</v>
      </c>
      <c r="H802" s="5" t="s">
        <v>1194</v>
      </c>
      <c r="I802" s="5" t="s">
        <v>42</v>
      </c>
      <c r="J802" s="5" t="s">
        <v>43</v>
      </c>
      <c r="K802" s="5">
        <v>8.7733785699E10</v>
      </c>
      <c r="L802" s="4" t="s">
        <v>44</v>
      </c>
      <c r="M802" s="5" t="s">
        <v>42</v>
      </c>
      <c r="N802" s="4" t="s">
        <v>45</v>
      </c>
      <c r="O802" s="4" t="s">
        <v>46</v>
      </c>
      <c r="P802" s="4" t="s">
        <v>47</v>
      </c>
      <c r="Q802" s="4">
        <v>16451.0</v>
      </c>
      <c r="R802" s="5" t="s">
        <v>4803</v>
      </c>
      <c r="S802" s="8">
        <v>46189.0</v>
      </c>
      <c r="T802" s="9">
        <v>0.375</v>
      </c>
      <c r="U802" s="9">
        <v>0.9166666666666666</v>
      </c>
      <c r="V802" s="4" t="s">
        <v>49</v>
      </c>
      <c r="W802" s="5">
        <v>1.0</v>
      </c>
      <c r="X802" s="5" t="b">
        <v>1</v>
      </c>
      <c r="Y802" s="5" t="s">
        <v>50</v>
      </c>
      <c r="Z802" s="5" t="b">
        <v>0</v>
      </c>
      <c r="AA802" s="10"/>
      <c r="AB802" s="4">
        <v>1.0</v>
      </c>
      <c r="AC802" s="11" t="s">
        <v>4804</v>
      </c>
      <c r="AD802" s="5">
        <v>0.0</v>
      </c>
      <c r="AE802" s="5">
        <v>1.0</v>
      </c>
      <c r="AF802" s="8">
        <v>46189.0</v>
      </c>
      <c r="AG802" s="9">
        <v>0.375</v>
      </c>
      <c r="AH802" s="9">
        <v>0.9166666666666666</v>
      </c>
      <c r="AI802" s="4" t="s">
        <v>49</v>
      </c>
      <c r="AJ802" s="5" t="s">
        <v>4805</v>
      </c>
      <c r="AK802" s="12"/>
      <c r="AL802" s="12"/>
      <c r="AM802" s="12"/>
      <c r="AN802" s="12"/>
      <c r="AO802" s="12"/>
      <c r="AP802" s="12"/>
      <c r="AQ802" s="12"/>
    </row>
    <row r="803">
      <c r="A803" s="5" t="s">
        <v>4806</v>
      </c>
      <c r="B803" s="5">
        <v>1.1398423E7</v>
      </c>
      <c r="C803" s="5" t="s">
        <v>37</v>
      </c>
      <c r="D803" s="5" t="s">
        <v>4807</v>
      </c>
      <c r="E803" s="5" t="s">
        <v>39</v>
      </c>
      <c r="F803" s="5" t="s">
        <v>1257</v>
      </c>
      <c r="G803" s="15">
        <v>6.28572E17</v>
      </c>
      <c r="H803" s="5" t="s">
        <v>1258</v>
      </c>
      <c r="I803" s="5" t="s">
        <v>42</v>
      </c>
      <c r="J803" s="5" t="s">
        <v>43</v>
      </c>
      <c r="K803" s="5">
        <v>8.7733785699E10</v>
      </c>
      <c r="L803" s="4" t="s">
        <v>44</v>
      </c>
      <c r="M803" s="5" t="s">
        <v>42</v>
      </c>
      <c r="N803" s="4" t="s">
        <v>45</v>
      </c>
      <c r="O803" s="4" t="s">
        <v>46</v>
      </c>
      <c r="P803" s="4" t="s">
        <v>47</v>
      </c>
      <c r="Q803" s="4">
        <v>16451.0</v>
      </c>
      <c r="R803" s="5" t="s">
        <v>4808</v>
      </c>
      <c r="S803" s="8">
        <v>46189.0</v>
      </c>
      <c r="T803" s="9">
        <v>0.375</v>
      </c>
      <c r="U803" s="9">
        <v>0.9166666666666666</v>
      </c>
      <c r="V803" s="4" t="s">
        <v>49</v>
      </c>
      <c r="W803" s="5">
        <v>1.0</v>
      </c>
      <c r="X803" s="5" t="b">
        <v>1</v>
      </c>
      <c r="Y803" s="5" t="s">
        <v>50</v>
      </c>
      <c r="Z803" s="5" t="b">
        <v>0</v>
      </c>
      <c r="AA803" s="10"/>
      <c r="AB803" s="4">
        <v>1.0</v>
      </c>
      <c r="AC803" s="11" t="s">
        <v>4809</v>
      </c>
      <c r="AD803" s="5">
        <v>0.0</v>
      </c>
      <c r="AE803" s="5">
        <v>1.0</v>
      </c>
      <c r="AF803" s="8">
        <v>46189.0</v>
      </c>
      <c r="AG803" s="9">
        <v>0.375</v>
      </c>
      <c r="AH803" s="9">
        <v>0.9166666666666666</v>
      </c>
      <c r="AI803" s="4" t="s">
        <v>49</v>
      </c>
      <c r="AJ803" s="5" t="s">
        <v>4810</v>
      </c>
      <c r="AK803" s="12"/>
      <c r="AL803" s="12"/>
      <c r="AM803" s="12"/>
      <c r="AN803" s="12"/>
      <c r="AO803" s="12"/>
      <c r="AP803" s="12"/>
      <c r="AQ803" s="12"/>
    </row>
    <row r="804">
      <c r="A804" s="5" t="s">
        <v>4811</v>
      </c>
      <c r="B804" s="5">
        <v>1.1398423E7</v>
      </c>
      <c r="C804" s="5" t="s">
        <v>37</v>
      </c>
      <c r="D804" s="5" t="s">
        <v>4807</v>
      </c>
      <c r="E804" s="5" t="s">
        <v>39</v>
      </c>
      <c r="F804" s="5" t="s">
        <v>4812</v>
      </c>
      <c r="G804" s="15">
        <v>6.28593E17</v>
      </c>
      <c r="H804" s="5" t="s">
        <v>4813</v>
      </c>
      <c r="I804" s="5" t="s">
        <v>42</v>
      </c>
      <c r="J804" s="5" t="s">
        <v>43</v>
      </c>
      <c r="K804" s="5">
        <v>8.7733785699E10</v>
      </c>
      <c r="L804" s="4" t="s">
        <v>44</v>
      </c>
      <c r="M804" s="5" t="s">
        <v>42</v>
      </c>
      <c r="N804" s="4" t="s">
        <v>45</v>
      </c>
      <c r="O804" s="4" t="s">
        <v>46</v>
      </c>
      <c r="P804" s="4" t="s">
        <v>47</v>
      </c>
      <c r="Q804" s="4">
        <v>16451.0</v>
      </c>
      <c r="R804" s="5" t="s">
        <v>4814</v>
      </c>
      <c r="S804" s="8">
        <v>46189.0</v>
      </c>
      <c r="T804" s="9">
        <v>0.375</v>
      </c>
      <c r="U804" s="9">
        <v>0.9166666666666666</v>
      </c>
      <c r="V804" s="4" t="s">
        <v>49</v>
      </c>
      <c r="W804" s="5">
        <v>1.0</v>
      </c>
      <c r="X804" s="5" t="b">
        <v>1</v>
      </c>
      <c r="Y804" s="5" t="s">
        <v>50</v>
      </c>
      <c r="Z804" s="5" t="b">
        <v>0</v>
      </c>
      <c r="AA804" s="10"/>
      <c r="AB804" s="4">
        <v>1.0</v>
      </c>
      <c r="AC804" s="11" t="s">
        <v>4815</v>
      </c>
      <c r="AD804" s="5">
        <v>0.0</v>
      </c>
      <c r="AE804" s="5">
        <v>1.0</v>
      </c>
      <c r="AF804" s="8">
        <v>46189.0</v>
      </c>
      <c r="AG804" s="9">
        <v>0.375</v>
      </c>
      <c r="AH804" s="9">
        <v>0.9166666666666666</v>
      </c>
      <c r="AI804" s="4" t="s">
        <v>49</v>
      </c>
      <c r="AJ804" s="5" t="s">
        <v>4816</v>
      </c>
      <c r="AK804" s="12"/>
      <c r="AL804" s="12"/>
      <c r="AM804" s="12"/>
      <c r="AN804" s="12"/>
      <c r="AO804" s="12"/>
      <c r="AP804" s="12"/>
      <c r="AQ804" s="12"/>
    </row>
    <row r="805">
      <c r="A805" s="5" t="s">
        <v>4817</v>
      </c>
      <c r="B805" s="5">
        <v>1.1398423E7</v>
      </c>
      <c r="C805" s="5" t="s">
        <v>37</v>
      </c>
      <c r="D805" s="5" t="s">
        <v>4807</v>
      </c>
      <c r="E805" s="5" t="s">
        <v>39</v>
      </c>
      <c r="F805" s="5" t="s">
        <v>4818</v>
      </c>
      <c r="G805" s="15">
        <v>6.28593E17</v>
      </c>
      <c r="H805" s="5" t="s">
        <v>4819</v>
      </c>
      <c r="I805" s="5" t="s">
        <v>42</v>
      </c>
      <c r="J805" s="5" t="s">
        <v>43</v>
      </c>
      <c r="K805" s="5">
        <v>8.7733785699E10</v>
      </c>
      <c r="L805" s="4" t="s">
        <v>44</v>
      </c>
      <c r="M805" s="5" t="s">
        <v>42</v>
      </c>
      <c r="N805" s="4" t="s">
        <v>45</v>
      </c>
      <c r="O805" s="4" t="s">
        <v>46</v>
      </c>
      <c r="P805" s="4" t="s">
        <v>47</v>
      </c>
      <c r="Q805" s="4">
        <v>16451.0</v>
      </c>
      <c r="R805" s="5" t="s">
        <v>4820</v>
      </c>
      <c r="S805" s="8">
        <v>46189.0</v>
      </c>
      <c r="T805" s="9">
        <v>0.375</v>
      </c>
      <c r="U805" s="9">
        <v>0.9166666666666666</v>
      </c>
      <c r="V805" s="4" t="s">
        <v>49</v>
      </c>
      <c r="W805" s="5">
        <v>1.0</v>
      </c>
      <c r="X805" s="5" t="b">
        <v>1</v>
      </c>
      <c r="Y805" s="5" t="s">
        <v>50</v>
      </c>
      <c r="Z805" s="5" t="b">
        <v>0</v>
      </c>
      <c r="AA805" s="10"/>
      <c r="AB805" s="4">
        <v>1.0</v>
      </c>
      <c r="AC805" s="11" t="s">
        <v>4821</v>
      </c>
      <c r="AD805" s="5">
        <v>0.0</v>
      </c>
      <c r="AE805" s="5">
        <v>1.0</v>
      </c>
      <c r="AF805" s="8">
        <v>46189.0</v>
      </c>
      <c r="AG805" s="9">
        <v>0.375</v>
      </c>
      <c r="AH805" s="9">
        <v>0.9166666666666666</v>
      </c>
      <c r="AI805" s="4" t="s">
        <v>49</v>
      </c>
      <c r="AJ805" s="5" t="s">
        <v>4822</v>
      </c>
      <c r="AK805" s="12"/>
      <c r="AL805" s="12"/>
      <c r="AM805" s="12"/>
      <c r="AN805" s="12"/>
      <c r="AO805" s="12"/>
      <c r="AP805" s="12"/>
      <c r="AQ805" s="12"/>
    </row>
    <row r="806">
      <c r="A806" s="5" t="s">
        <v>4823</v>
      </c>
      <c r="B806" s="5">
        <v>1.1398423E7</v>
      </c>
      <c r="C806" s="5" t="s">
        <v>37</v>
      </c>
      <c r="D806" s="5" t="s">
        <v>4807</v>
      </c>
      <c r="E806" s="5" t="s">
        <v>39</v>
      </c>
      <c r="F806" s="5" t="s">
        <v>4572</v>
      </c>
      <c r="G806" s="15">
        <v>6.28129E17</v>
      </c>
      <c r="H806" s="5" t="s">
        <v>4573</v>
      </c>
      <c r="I806" s="5" t="s">
        <v>42</v>
      </c>
      <c r="J806" s="5" t="s">
        <v>43</v>
      </c>
      <c r="K806" s="5">
        <v>8.7733785699E10</v>
      </c>
      <c r="L806" s="4" t="s">
        <v>44</v>
      </c>
      <c r="M806" s="5" t="s">
        <v>42</v>
      </c>
      <c r="N806" s="4" t="s">
        <v>45</v>
      </c>
      <c r="O806" s="4" t="s">
        <v>46</v>
      </c>
      <c r="P806" s="4" t="s">
        <v>47</v>
      </c>
      <c r="Q806" s="4">
        <v>16451.0</v>
      </c>
      <c r="R806" s="5" t="s">
        <v>4824</v>
      </c>
      <c r="S806" s="8">
        <v>46189.0</v>
      </c>
      <c r="T806" s="9">
        <v>0.375</v>
      </c>
      <c r="U806" s="9">
        <v>0.9166666666666666</v>
      </c>
      <c r="V806" s="4" t="s">
        <v>49</v>
      </c>
      <c r="W806" s="5">
        <v>1.0</v>
      </c>
      <c r="X806" s="5" t="b">
        <v>1</v>
      </c>
      <c r="Y806" s="5" t="s">
        <v>50</v>
      </c>
      <c r="Z806" s="5" t="b">
        <v>0</v>
      </c>
      <c r="AA806" s="10"/>
      <c r="AB806" s="4">
        <v>1.0</v>
      </c>
      <c r="AC806" s="11" t="s">
        <v>4825</v>
      </c>
      <c r="AD806" s="5">
        <v>0.0</v>
      </c>
      <c r="AE806" s="5">
        <v>1.0</v>
      </c>
      <c r="AF806" s="8">
        <v>46189.0</v>
      </c>
      <c r="AG806" s="9">
        <v>0.375</v>
      </c>
      <c r="AH806" s="9">
        <v>0.9166666666666666</v>
      </c>
      <c r="AI806" s="4" t="s">
        <v>49</v>
      </c>
      <c r="AJ806" s="5" t="s">
        <v>4826</v>
      </c>
      <c r="AK806" s="12"/>
      <c r="AL806" s="12"/>
      <c r="AM806" s="12"/>
      <c r="AN806" s="12"/>
      <c r="AO806" s="12"/>
      <c r="AP806" s="12"/>
      <c r="AQ806" s="12"/>
    </row>
    <row r="807">
      <c r="A807" s="5" t="s">
        <v>4827</v>
      </c>
      <c r="B807" s="5">
        <v>1.1398423E7</v>
      </c>
      <c r="C807" s="5" t="s">
        <v>37</v>
      </c>
      <c r="D807" s="5" t="s">
        <v>4807</v>
      </c>
      <c r="E807" s="5" t="s">
        <v>39</v>
      </c>
      <c r="F807" s="5" t="s">
        <v>4828</v>
      </c>
      <c r="G807" s="15">
        <v>6.28001E17</v>
      </c>
      <c r="H807" s="5" t="s">
        <v>4829</v>
      </c>
      <c r="I807" s="5" t="s">
        <v>42</v>
      </c>
      <c r="J807" s="5" t="s">
        <v>43</v>
      </c>
      <c r="K807" s="5">
        <v>8.7733785699E10</v>
      </c>
      <c r="L807" s="4" t="s">
        <v>44</v>
      </c>
      <c r="M807" s="5" t="s">
        <v>42</v>
      </c>
      <c r="N807" s="4" t="s">
        <v>45</v>
      </c>
      <c r="O807" s="4" t="s">
        <v>46</v>
      </c>
      <c r="P807" s="4" t="s">
        <v>47</v>
      </c>
      <c r="Q807" s="4">
        <v>16451.0</v>
      </c>
      <c r="R807" s="5" t="s">
        <v>4830</v>
      </c>
      <c r="S807" s="8">
        <v>46189.0</v>
      </c>
      <c r="T807" s="9">
        <v>0.375</v>
      </c>
      <c r="U807" s="9">
        <v>0.9166666666666666</v>
      </c>
      <c r="V807" s="4" t="s">
        <v>49</v>
      </c>
      <c r="W807" s="5">
        <v>1.0</v>
      </c>
      <c r="X807" s="5" t="b">
        <v>1</v>
      </c>
      <c r="Y807" s="5" t="s">
        <v>50</v>
      </c>
      <c r="Z807" s="5" t="b">
        <v>0</v>
      </c>
      <c r="AA807" s="10"/>
      <c r="AB807" s="4">
        <v>1.0</v>
      </c>
      <c r="AC807" s="11" t="s">
        <v>4831</v>
      </c>
      <c r="AD807" s="5">
        <v>0.0</v>
      </c>
      <c r="AE807" s="5">
        <v>1.0</v>
      </c>
      <c r="AF807" s="8">
        <v>46189.0</v>
      </c>
      <c r="AG807" s="9">
        <v>0.375</v>
      </c>
      <c r="AH807" s="9">
        <v>0.9166666666666666</v>
      </c>
      <c r="AI807" s="4" t="s">
        <v>49</v>
      </c>
      <c r="AJ807" s="5" t="s">
        <v>4832</v>
      </c>
      <c r="AK807" s="12"/>
      <c r="AL807" s="12"/>
      <c r="AM807" s="12"/>
      <c r="AN807" s="12"/>
      <c r="AO807" s="12"/>
      <c r="AP807" s="12"/>
      <c r="AQ807" s="12"/>
    </row>
    <row r="808">
      <c r="A808" s="5" t="s">
        <v>4833</v>
      </c>
      <c r="B808" s="5">
        <v>1.1398423E7</v>
      </c>
      <c r="C808" s="5" t="s">
        <v>37</v>
      </c>
      <c r="D808" s="5" t="s">
        <v>4807</v>
      </c>
      <c r="E808" s="5" t="s">
        <v>39</v>
      </c>
      <c r="F808" s="5" t="s">
        <v>4834</v>
      </c>
      <c r="G808" s="15">
        <v>6.28773E17</v>
      </c>
      <c r="H808" s="5" t="s">
        <v>4835</v>
      </c>
      <c r="I808" s="5" t="s">
        <v>42</v>
      </c>
      <c r="J808" s="5" t="s">
        <v>43</v>
      </c>
      <c r="K808" s="5">
        <v>8.7733785699E10</v>
      </c>
      <c r="L808" s="4" t="s">
        <v>44</v>
      </c>
      <c r="M808" s="5" t="s">
        <v>42</v>
      </c>
      <c r="N808" s="4" t="s">
        <v>45</v>
      </c>
      <c r="O808" s="4" t="s">
        <v>46</v>
      </c>
      <c r="P808" s="4" t="s">
        <v>47</v>
      </c>
      <c r="Q808" s="4">
        <v>16451.0</v>
      </c>
      <c r="R808" s="5" t="s">
        <v>4836</v>
      </c>
      <c r="S808" s="8">
        <v>46189.0</v>
      </c>
      <c r="T808" s="9">
        <v>0.375</v>
      </c>
      <c r="U808" s="9">
        <v>0.9166666666666666</v>
      </c>
      <c r="V808" s="4" t="s">
        <v>49</v>
      </c>
      <c r="W808" s="5">
        <v>1.0</v>
      </c>
      <c r="X808" s="5" t="b">
        <v>1</v>
      </c>
      <c r="Y808" s="5" t="s">
        <v>50</v>
      </c>
      <c r="Z808" s="5" t="b">
        <v>0</v>
      </c>
      <c r="AA808" s="10"/>
      <c r="AB808" s="4">
        <v>1.0</v>
      </c>
      <c r="AC808" s="11" t="s">
        <v>4837</v>
      </c>
      <c r="AD808" s="5">
        <v>0.0</v>
      </c>
      <c r="AE808" s="5">
        <v>1.0</v>
      </c>
      <c r="AF808" s="8">
        <v>46189.0</v>
      </c>
      <c r="AG808" s="9">
        <v>0.375</v>
      </c>
      <c r="AH808" s="9">
        <v>0.9166666666666666</v>
      </c>
      <c r="AI808" s="4" t="s">
        <v>49</v>
      </c>
      <c r="AJ808" s="5" t="s">
        <v>4838</v>
      </c>
      <c r="AK808" s="12"/>
      <c r="AL808" s="12"/>
      <c r="AM808" s="12"/>
      <c r="AN808" s="12"/>
      <c r="AO808" s="12"/>
      <c r="AP808" s="12"/>
      <c r="AQ808" s="12"/>
    </row>
    <row r="809">
      <c r="A809" s="5" t="s">
        <v>4839</v>
      </c>
      <c r="B809" s="5">
        <v>1.1398423E7</v>
      </c>
      <c r="C809" s="5" t="s">
        <v>37</v>
      </c>
      <c r="D809" s="5" t="s">
        <v>4807</v>
      </c>
      <c r="E809" s="5" t="s">
        <v>39</v>
      </c>
      <c r="F809" s="5" t="s">
        <v>4840</v>
      </c>
      <c r="G809" s="15">
        <v>59139.0</v>
      </c>
      <c r="H809" s="5" t="s">
        <v>4841</v>
      </c>
      <c r="I809" s="5" t="s">
        <v>42</v>
      </c>
      <c r="J809" s="5" t="s">
        <v>43</v>
      </c>
      <c r="K809" s="5">
        <v>8.7733785699E10</v>
      </c>
      <c r="L809" s="4" t="s">
        <v>44</v>
      </c>
      <c r="M809" s="5" t="s">
        <v>42</v>
      </c>
      <c r="N809" s="4" t="s">
        <v>45</v>
      </c>
      <c r="O809" s="4" t="s">
        <v>46</v>
      </c>
      <c r="P809" s="4" t="s">
        <v>47</v>
      </c>
      <c r="Q809" s="4">
        <v>16451.0</v>
      </c>
      <c r="R809" s="5" t="s">
        <v>4842</v>
      </c>
      <c r="S809" s="8">
        <v>46189.0</v>
      </c>
      <c r="T809" s="9">
        <v>0.375</v>
      </c>
      <c r="U809" s="9">
        <v>0.9166666666666666</v>
      </c>
      <c r="V809" s="4" t="s">
        <v>49</v>
      </c>
      <c r="W809" s="5">
        <v>1.0</v>
      </c>
      <c r="X809" s="5" t="b">
        <v>1</v>
      </c>
      <c r="Y809" s="5" t="s">
        <v>50</v>
      </c>
      <c r="Z809" s="5" t="b">
        <v>0</v>
      </c>
      <c r="AA809" s="10"/>
      <c r="AB809" s="4">
        <v>1.0</v>
      </c>
      <c r="AC809" s="11" t="s">
        <v>4843</v>
      </c>
      <c r="AD809" s="5">
        <v>0.0</v>
      </c>
      <c r="AE809" s="5">
        <v>1.0</v>
      </c>
      <c r="AF809" s="8">
        <v>46189.0</v>
      </c>
      <c r="AG809" s="9">
        <v>0.375</v>
      </c>
      <c r="AH809" s="9">
        <v>0.9166666666666666</v>
      </c>
      <c r="AI809" s="4" t="s">
        <v>49</v>
      </c>
      <c r="AJ809" s="5" t="s">
        <v>4844</v>
      </c>
      <c r="AK809" s="12"/>
      <c r="AL809" s="12"/>
      <c r="AM809" s="12"/>
      <c r="AN809" s="12"/>
      <c r="AO809" s="12"/>
      <c r="AP809" s="12"/>
      <c r="AQ809" s="12"/>
    </row>
    <row r="810">
      <c r="A810" s="5" t="s">
        <v>4845</v>
      </c>
      <c r="B810" s="5">
        <v>1.1398423E7</v>
      </c>
      <c r="C810" s="5" t="s">
        <v>37</v>
      </c>
      <c r="D810" s="5" t="s">
        <v>4807</v>
      </c>
      <c r="E810" s="5" t="s">
        <v>39</v>
      </c>
      <c r="F810" s="5" t="s">
        <v>4579</v>
      </c>
      <c r="G810" s="15">
        <v>6.28512E17</v>
      </c>
      <c r="H810" s="5" t="s">
        <v>4580</v>
      </c>
      <c r="I810" s="5" t="s">
        <v>42</v>
      </c>
      <c r="J810" s="5" t="s">
        <v>43</v>
      </c>
      <c r="K810" s="5">
        <v>8.7733785699E10</v>
      </c>
      <c r="L810" s="4" t="s">
        <v>44</v>
      </c>
      <c r="M810" s="5" t="s">
        <v>42</v>
      </c>
      <c r="N810" s="4" t="s">
        <v>45</v>
      </c>
      <c r="O810" s="4" t="s">
        <v>46</v>
      </c>
      <c r="P810" s="4" t="s">
        <v>47</v>
      </c>
      <c r="Q810" s="4">
        <v>16451.0</v>
      </c>
      <c r="R810" s="5" t="s">
        <v>4846</v>
      </c>
      <c r="S810" s="8">
        <v>46189.0</v>
      </c>
      <c r="T810" s="9">
        <v>0.375</v>
      </c>
      <c r="U810" s="9">
        <v>0.9166666666666666</v>
      </c>
      <c r="V810" s="4" t="s">
        <v>49</v>
      </c>
      <c r="W810" s="5">
        <v>1.0</v>
      </c>
      <c r="X810" s="5" t="b">
        <v>1</v>
      </c>
      <c r="Y810" s="5" t="s">
        <v>50</v>
      </c>
      <c r="Z810" s="5" t="b">
        <v>0</v>
      </c>
      <c r="AA810" s="10"/>
      <c r="AB810" s="4">
        <v>1.0</v>
      </c>
      <c r="AC810" s="11" t="s">
        <v>4847</v>
      </c>
      <c r="AD810" s="5">
        <v>0.0</v>
      </c>
      <c r="AE810" s="5">
        <v>1.0</v>
      </c>
      <c r="AF810" s="8">
        <v>46189.0</v>
      </c>
      <c r="AG810" s="9">
        <v>0.375</v>
      </c>
      <c r="AH810" s="9">
        <v>0.9166666666666666</v>
      </c>
      <c r="AI810" s="4" t="s">
        <v>49</v>
      </c>
      <c r="AJ810" s="5" t="s">
        <v>4848</v>
      </c>
      <c r="AK810" s="12"/>
      <c r="AL810" s="12"/>
      <c r="AM810" s="12"/>
      <c r="AN810" s="12"/>
      <c r="AO810" s="12"/>
      <c r="AP810" s="12"/>
      <c r="AQ810" s="12"/>
    </row>
    <row r="811">
      <c r="A811" s="5" t="s">
        <v>4849</v>
      </c>
      <c r="B811" s="5">
        <v>1.1398423E7</v>
      </c>
      <c r="C811" s="5" t="s">
        <v>37</v>
      </c>
      <c r="D811" s="5" t="s">
        <v>4807</v>
      </c>
      <c r="E811" s="5" t="s">
        <v>39</v>
      </c>
      <c r="F811" s="5" t="s">
        <v>4850</v>
      </c>
      <c r="G811" s="15">
        <v>6.28593E17</v>
      </c>
      <c r="H811" s="5" t="s">
        <v>4851</v>
      </c>
      <c r="I811" s="5" t="s">
        <v>42</v>
      </c>
      <c r="J811" s="5" t="s">
        <v>43</v>
      </c>
      <c r="K811" s="5">
        <v>8.7733785699E10</v>
      </c>
      <c r="L811" s="4" t="s">
        <v>44</v>
      </c>
      <c r="M811" s="5" t="s">
        <v>42</v>
      </c>
      <c r="N811" s="4" t="s">
        <v>45</v>
      </c>
      <c r="O811" s="4" t="s">
        <v>46</v>
      </c>
      <c r="P811" s="4" t="s">
        <v>47</v>
      </c>
      <c r="Q811" s="4">
        <v>16451.0</v>
      </c>
      <c r="R811" s="5" t="s">
        <v>4852</v>
      </c>
      <c r="S811" s="8">
        <v>46189.0</v>
      </c>
      <c r="T811" s="9">
        <v>0.375</v>
      </c>
      <c r="U811" s="9">
        <v>0.9166666666666666</v>
      </c>
      <c r="V811" s="4" t="s">
        <v>49</v>
      </c>
      <c r="W811" s="5">
        <v>1.0</v>
      </c>
      <c r="X811" s="5" t="b">
        <v>1</v>
      </c>
      <c r="Y811" s="5" t="s">
        <v>50</v>
      </c>
      <c r="Z811" s="5" t="b">
        <v>0</v>
      </c>
      <c r="AA811" s="10"/>
      <c r="AB811" s="4">
        <v>1.0</v>
      </c>
      <c r="AC811" s="11" t="s">
        <v>4853</v>
      </c>
      <c r="AD811" s="5">
        <v>0.0</v>
      </c>
      <c r="AE811" s="5">
        <v>1.0</v>
      </c>
      <c r="AF811" s="8">
        <v>46189.0</v>
      </c>
      <c r="AG811" s="9">
        <v>0.375</v>
      </c>
      <c r="AH811" s="9">
        <v>0.9166666666666666</v>
      </c>
      <c r="AI811" s="4" t="s">
        <v>49</v>
      </c>
      <c r="AJ811" s="5" t="s">
        <v>4854</v>
      </c>
      <c r="AK811" s="12"/>
      <c r="AL811" s="12"/>
      <c r="AM811" s="12"/>
      <c r="AN811" s="12"/>
      <c r="AO811" s="12"/>
      <c r="AP811" s="12"/>
      <c r="AQ811" s="12"/>
    </row>
    <row r="812">
      <c r="A812" s="5" t="s">
        <v>4855</v>
      </c>
      <c r="B812" s="5">
        <v>1.1398423E7</v>
      </c>
      <c r="C812" s="5" t="s">
        <v>37</v>
      </c>
      <c r="D812" s="5" t="s">
        <v>4807</v>
      </c>
      <c r="E812" s="5" t="s">
        <v>39</v>
      </c>
      <c r="F812" s="5" t="s">
        <v>2087</v>
      </c>
      <c r="G812" s="15" t="s">
        <v>2088</v>
      </c>
      <c r="H812" s="5" t="s">
        <v>2089</v>
      </c>
      <c r="I812" s="5" t="s">
        <v>42</v>
      </c>
      <c r="J812" s="5" t="s">
        <v>43</v>
      </c>
      <c r="K812" s="5">
        <v>8.7733785699E10</v>
      </c>
      <c r="L812" s="4" t="s">
        <v>44</v>
      </c>
      <c r="M812" s="5" t="s">
        <v>42</v>
      </c>
      <c r="N812" s="4" t="s">
        <v>45</v>
      </c>
      <c r="O812" s="4" t="s">
        <v>46</v>
      </c>
      <c r="P812" s="4" t="s">
        <v>47</v>
      </c>
      <c r="Q812" s="4">
        <v>16451.0</v>
      </c>
      <c r="R812" s="5" t="s">
        <v>4856</v>
      </c>
      <c r="S812" s="8">
        <v>46189.0</v>
      </c>
      <c r="T812" s="9">
        <v>0.375</v>
      </c>
      <c r="U812" s="9">
        <v>0.9166666666666666</v>
      </c>
      <c r="V812" s="4" t="s">
        <v>49</v>
      </c>
      <c r="W812" s="5">
        <v>1.0</v>
      </c>
      <c r="X812" s="5" t="b">
        <v>1</v>
      </c>
      <c r="Y812" s="5" t="s">
        <v>50</v>
      </c>
      <c r="Z812" s="5" t="b">
        <v>0</v>
      </c>
      <c r="AA812" s="10"/>
      <c r="AB812" s="4">
        <v>1.0</v>
      </c>
      <c r="AC812" s="11" t="s">
        <v>4857</v>
      </c>
      <c r="AD812" s="5">
        <v>0.0</v>
      </c>
      <c r="AE812" s="5">
        <v>1.0</v>
      </c>
      <c r="AF812" s="8">
        <v>46189.0</v>
      </c>
      <c r="AG812" s="9">
        <v>0.375</v>
      </c>
      <c r="AH812" s="9">
        <v>0.9166666666666666</v>
      </c>
      <c r="AI812" s="4" t="s">
        <v>49</v>
      </c>
      <c r="AJ812" s="5" t="s">
        <v>4858</v>
      </c>
      <c r="AK812" s="12"/>
      <c r="AL812" s="12"/>
      <c r="AM812" s="12"/>
      <c r="AN812" s="12"/>
      <c r="AO812" s="12"/>
      <c r="AP812" s="12"/>
      <c r="AQ812" s="12"/>
    </row>
    <row r="813">
      <c r="A813" s="5" t="s">
        <v>4859</v>
      </c>
      <c r="B813" s="5">
        <v>1.1398423E7</v>
      </c>
      <c r="C813" s="5" t="s">
        <v>37</v>
      </c>
      <c r="D813" s="5" t="s">
        <v>4807</v>
      </c>
      <c r="E813" s="5" t="s">
        <v>39</v>
      </c>
      <c r="F813" s="5" t="s">
        <v>4860</v>
      </c>
      <c r="G813" s="15">
        <v>6.28572E17</v>
      </c>
      <c r="H813" s="5" t="s">
        <v>4861</v>
      </c>
      <c r="I813" s="5" t="s">
        <v>42</v>
      </c>
      <c r="J813" s="5" t="s">
        <v>43</v>
      </c>
      <c r="K813" s="5">
        <v>8.7733785699E10</v>
      </c>
      <c r="L813" s="4" t="s">
        <v>44</v>
      </c>
      <c r="M813" s="5" t="s">
        <v>42</v>
      </c>
      <c r="N813" s="4" t="s">
        <v>45</v>
      </c>
      <c r="O813" s="4" t="s">
        <v>46</v>
      </c>
      <c r="P813" s="4" t="s">
        <v>47</v>
      </c>
      <c r="Q813" s="4">
        <v>16451.0</v>
      </c>
      <c r="R813" s="5" t="s">
        <v>4862</v>
      </c>
      <c r="S813" s="8">
        <v>46189.0</v>
      </c>
      <c r="T813" s="9">
        <v>0.375</v>
      </c>
      <c r="U813" s="9">
        <v>0.9166666666666666</v>
      </c>
      <c r="V813" s="4" t="s">
        <v>49</v>
      </c>
      <c r="W813" s="5">
        <v>1.0</v>
      </c>
      <c r="X813" s="5" t="b">
        <v>1</v>
      </c>
      <c r="Y813" s="5" t="s">
        <v>50</v>
      </c>
      <c r="Z813" s="5" t="b">
        <v>0</v>
      </c>
      <c r="AA813" s="10"/>
      <c r="AB813" s="4">
        <v>1.0</v>
      </c>
      <c r="AC813" s="11" t="s">
        <v>4863</v>
      </c>
      <c r="AD813" s="5">
        <v>0.0</v>
      </c>
      <c r="AE813" s="5">
        <v>1.0</v>
      </c>
      <c r="AF813" s="8">
        <v>46189.0</v>
      </c>
      <c r="AG813" s="9">
        <v>0.375</v>
      </c>
      <c r="AH813" s="9">
        <v>0.9166666666666666</v>
      </c>
      <c r="AI813" s="4" t="s">
        <v>49</v>
      </c>
      <c r="AJ813" s="5" t="s">
        <v>4864</v>
      </c>
      <c r="AK813" s="12"/>
      <c r="AL813" s="12"/>
      <c r="AM813" s="12"/>
      <c r="AN813" s="12"/>
      <c r="AO813" s="12"/>
      <c r="AP813" s="12"/>
      <c r="AQ813" s="12"/>
    </row>
    <row r="814">
      <c r="A814" s="5" t="s">
        <v>4865</v>
      </c>
      <c r="B814" s="5">
        <v>1.1398423E7</v>
      </c>
      <c r="C814" s="5" t="s">
        <v>37</v>
      </c>
      <c r="D814" s="5" t="s">
        <v>4807</v>
      </c>
      <c r="E814" s="5" t="s">
        <v>39</v>
      </c>
      <c r="F814" s="5" t="s">
        <v>4586</v>
      </c>
      <c r="G814" s="15">
        <v>6.28001E17</v>
      </c>
      <c r="H814" s="5" t="s">
        <v>4587</v>
      </c>
      <c r="I814" s="5" t="s">
        <v>42</v>
      </c>
      <c r="J814" s="5" t="s">
        <v>43</v>
      </c>
      <c r="K814" s="5">
        <v>8.7733785699E10</v>
      </c>
      <c r="L814" s="4" t="s">
        <v>44</v>
      </c>
      <c r="M814" s="5" t="s">
        <v>42</v>
      </c>
      <c r="N814" s="4" t="s">
        <v>45</v>
      </c>
      <c r="O814" s="4" t="s">
        <v>46</v>
      </c>
      <c r="P814" s="4" t="s">
        <v>47</v>
      </c>
      <c r="Q814" s="4">
        <v>16451.0</v>
      </c>
      <c r="R814" s="5" t="s">
        <v>4866</v>
      </c>
      <c r="S814" s="8">
        <v>46189.0</v>
      </c>
      <c r="T814" s="9">
        <v>0.375</v>
      </c>
      <c r="U814" s="9">
        <v>0.9166666666666666</v>
      </c>
      <c r="V814" s="4" t="s">
        <v>49</v>
      </c>
      <c r="W814" s="5">
        <v>1.0</v>
      </c>
      <c r="X814" s="5" t="b">
        <v>1</v>
      </c>
      <c r="Y814" s="5" t="s">
        <v>50</v>
      </c>
      <c r="Z814" s="5" t="b">
        <v>0</v>
      </c>
      <c r="AA814" s="10"/>
      <c r="AB814" s="4">
        <v>1.0</v>
      </c>
      <c r="AC814" s="11" t="s">
        <v>4867</v>
      </c>
      <c r="AD814" s="5">
        <v>0.0</v>
      </c>
      <c r="AE814" s="5">
        <v>1.0</v>
      </c>
      <c r="AF814" s="8">
        <v>46189.0</v>
      </c>
      <c r="AG814" s="9">
        <v>0.375</v>
      </c>
      <c r="AH814" s="9">
        <v>0.9166666666666666</v>
      </c>
      <c r="AI814" s="4" t="s">
        <v>49</v>
      </c>
      <c r="AJ814" s="5" t="s">
        <v>4868</v>
      </c>
      <c r="AK814" s="12"/>
      <c r="AL814" s="12"/>
      <c r="AM814" s="12"/>
      <c r="AN814" s="12"/>
      <c r="AO814" s="12"/>
      <c r="AP814" s="12"/>
      <c r="AQ814" s="12"/>
    </row>
    <row r="815">
      <c r="A815" s="5" t="s">
        <v>4869</v>
      </c>
      <c r="B815" s="5">
        <v>1.1398423E7</v>
      </c>
      <c r="C815" s="5" t="s">
        <v>37</v>
      </c>
      <c r="D815" s="5" t="s">
        <v>4807</v>
      </c>
      <c r="E815" s="5" t="s">
        <v>39</v>
      </c>
      <c r="F815" s="5" t="s">
        <v>4870</v>
      </c>
      <c r="G815" s="15">
        <v>6.28001E17</v>
      </c>
      <c r="H815" s="5" t="s">
        <v>4871</v>
      </c>
      <c r="I815" s="5" t="s">
        <v>42</v>
      </c>
      <c r="J815" s="5" t="s">
        <v>43</v>
      </c>
      <c r="K815" s="5">
        <v>8.7733785699E10</v>
      </c>
      <c r="L815" s="4" t="s">
        <v>44</v>
      </c>
      <c r="M815" s="5" t="s">
        <v>42</v>
      </c>
      <c r="N815" s="4" t="s">
        <v>45</v>
      </c>
      <c r="O815" s="4" t="s">
        <v>46</v>
      </c>
      <c r="P815" s="4" t="s">
        <v>47</v>
      </c>
      <c r="Q815" s="4">
        <v>16451.0</v>
      </c>
      <c r="R815" s="5" t="s">
        <v>4872</v>
      </c>
      <c r="S815" s="8">
        <v>46189.0</v>
      </c>
      <c r="T815" s="9">
        <v>0.375</v>
      </c>
      <c r="U815" s="9">
        <v>0.9166666666666666</v>
      </c>
      <c r="V815" s="4" t="s">
        <v>49</v>
      </c>
      <c r="W815" s="5">
        <v>1.0</v>
      </c>
      <c r="X815" s="5" t="b">
        <v>1</v>
      </c>
      <c r="Y815" s="5" t="s">
        <v>50</v>
      </c>
      <c r="Z815" s="5" t="b">
        <v>0</v>
      </c>
      <c r="AA815" s="10"/>
      <c r="AB815" s="4">
        <v>1.0</v>
      </c>
      <c r="AC815" s="11" t="s">
        <v>4873</v>
      </c>
      <c r="AD815" s="5">
        <v>0.0</v>
      </c>
      <c r="AE815" s="5">
        <v>1.0</v>
      </c>
      <c r="AF815" s="8">
        <v>46189.0</v>
      </c>
      <c r="AG815" s="9">
        <v>0.375</v>
      </c>
      <c r="AH815" s="9">
        <v>0.9166666666666666</v>
      </c>
      <c r="AI815" s="4" t="s">
        <v>49</v>
      </c>
      <c r="AJ815" s="5" t="s">
        <v>4874</v>
      </c>
      <c r="AK815" s="12"/>
      <c r="AL815" s="12"/>
      <c r="AM815" s="12"/>
      <c r="AN815" s="12"/>
      <c r="AO815" s="12"/>
      <c r="AP815" s="12"/>
      <c r="AQ815" s="12"/>
    </row>
    <row r="816">
      <c r="A816" s="5" t="s">
        <v>4875</v>
      </c>
      <c r="B816" s="5">
        <v>1.1398423E7</v>
      </c>
      <c r="C816" s="5" t="s">
        <v>37</v>
      </c>
      <c r="D816" s="5" t="s">
        <v>4807</v>
      </c>
      <c r="E816" s="5" t="s">
        <v>39</v>
      </c>
      <c r="F816" s="5" t="s">
        <v>2879</v>
      </c>
      <c r="G816" s="15">
        <v>6.28789E17</v>
      </c>
      <c r="H816" s="5" t="s">
        <v>2880</v>
      </c>
      <c r="I816" s="5" t="s">
        <v>42</v>
      </c>
      <c r="J816" s="5" t="s">
        <v>43</v>
      </c>
      <c r="K816" s="5">
        <v>8.7733785699E10</v>
      </c>
      <c r="L816" s="4" t="s">
        <v>44</v>
      </c>
      <c r="M816" s="5" t="s">
        <v>42</v>
      </c>
      <c r="N816" s="4" t="s">
        <v>45</v>
      </c>
      <c r="O816" s="4" t="s">
        <v>46</v>
      </c>
      <c r="P816" s="4" t="s">
        <v>47</v>
      </c>
      <c r="Q816" s="4">
        <v>16451.0</v>
      </c>
      <c r="R816" s="5" t="s">
        <v>4876</v>
      </c>
      <c r="S816" s="8">
        <v>46189.0</v>
      </c>
      <c r="T816" s="9">
        <v>0.375</v>
      </c>
      <c r="U816" s="9">
        <v>0.9166666666666666</v>
      </c>
      <c r="V816" s="4" t="s">
        <v>49</v>
      </c>
      <c r="W816" s="5">
        <v>1.0</v>
      </c>
      <c r="X816" s="5" t="b">
        <v>1</v>
      </c>
      <c r="Y816" s="5" t="s">
        <v>50</v>
      </c>
      <c r="Z816" s="5" t="b">
        <v>0</v>
      </c>
      <c r="AA816" s="10"/>
      <c r="AB816" s="4">
        <v>1.0</v>
      </c>
      <c r="AC816" s="11" t="s">
        <v>4877</v>
      </c>
      <c r="AD816" s="5">
        <v>0.0</v>
      </c>
      <c r="AE816" s="5">
        <v>1.0</v>
      </c>
      <c r="AF816" s="8">
        <v>46189.0</v>
      </c>
      <c r="AG816" s="9">
        <v>0.375</v>
      </c>
      <c r="AH816" s="9">
        <v>0.9166666666666666</v>
      </c>
      <c r="AI816" s="4" t="s">
        <v>49</v>
      </c>
      <c r="AJ816" s="5" t="s">
        <v>4878</v>
      </c>
      <c r="AK816" s="12"/>
      <c r="AL816" s="12"/>
      <c r="AM816" s="12"/>
      <c r="AN816" s="12"/>
      <c r="AO816" s="12"/>
      <c r="AP816" s="12"/>
      <c r="AQ816" s="12"/>
    </row>
    <row r="817">
      <c r="A817" s="5" t="s">
        <v>4879</v>
      </c>
      <c r="B817" s="5">
        <v>1.1398423E7</v>
      </c>
      <c r="C817" s="5" t="s">
        <v>37</v>
      </c>
      <c r="D817" s="5" t="s">
        <v>4807</v>
      </c>
      <c r="E817" s="5" t="s">
        <v>39</v>
      </c>
      <c r="F817" s="5" t="s">
        <v>2886</v>
      </c>
      <c r="G817" s="15">
        <v>6.28789E17</v>
      </c>
      <c r="H817" s="5" t="s">
        <v>2887</v>
      </c>
      <c r="I817" s="5" t="s">
        <v>42</v>
      </c>
      <c r="J817" s="5" t="s">
        <v>43</v>
      </c>
      <c r="K817" s="5">
        <v>8.7733785699E10</v>
      </c>
      <c r="L817" s="4" t="s">
        <v>44</v>
      </c>
      <c r="M817" s="5" t="s">
        <v>42</v>
      </c>
      <c r="N817" s="4" t="s">
        <v>45</v>
      </c>
      <c r="O817" s="4" t="s">
        <v>46</v>
      </c>
      <c r="P817" s="4" t="s">
        <v>47</v>
      </c>
      <c r="Q817" s="4">
        <v>16451.0</v>
      </c>
      <c r="R817" s="5" t="s">
        <v>4880</v>
      </c>
      <c r="S817" s="8">
        <v>46189.0</v>
      </c>
      <c r="T817" s="9">
        <v>0.375</v>
      </c>
      <c r="U817" s="9">
        <v>0.9166666666666666</v>
      </c>
      <c r="V817" s="4" t="s">
        <v>49</v>
      </c>
      <c r="W817" s="5">
        <v>1.0</v>
      </c>
      <c r="X817" s="5" t="b">
        <v>1</v>
      </c>
      <c r="Y817" s="5" t="s">
        <v>50</v>
      </c>
      <c r="Z817" s="5" t="b">
        <v>0</v>
      </c>
      <c r="AA817" s="10"/>
      <c r="AB817" s="4">
        <v>1.0</v>
      </c>
      <c r="AC817" s="11" t="s">
        <v>4881</v>
      </c>
      <c r="AD817" s="5">
        <v>0.0</v>
      </c>
      <c r="AE817" s="5">
        <v>1.0</v>
      </c>
      <c r="AF817" s="8">
        <v>46189.0</v>
      </c>
      <c r="AG817" s="9">
        <v>0.375</v>
      </c>
      <c r="AH817" s="9">
        <v>0.9166666666666666</v>
      </c>
      <c r="AI817" s="4" t="s">
        <v>49</v>
      </c>
      <c r="AJ817" s="5" t="s">
        <v>4882</v>
      </c>
      <c r="AK817" s="12"/>
      <c r="AL817" s="12"/>
      <c r="AM817" s="12"/>
      <c r="AN817" s="12"/>
      <c r="AO817" s="12"/>
      <c r="AP817" s="12"/>
      <c r="AQ817" s="12"/>
    </row>
    <row r="818">
      <c r="A818" s="5" t="s">
        <v>4883</v>
      </c>
      <c r="B818" s="5">
        <v>1.1398423E7</v>
      </c>
      <c r="C818" s="5" t="s">
        <v>37</v>
      </c>
      <c r="D818" s="5" t="s">
        <v>4807</v>
      </c>
      <c r="E818" s="5" t="s">
        <v>39</v>
      </c>
      <c r="F818" s="5" t="s">
        <v>4884</v>
      </c>
      <c r="G818" s="15">
        <v>6.28789E17</v>
      </c>
      <c r="H818" s="5" t="s">
        <v>4885</v>
      </c>
      <c r="I818" s="5" t="s">
        <v>42</v>
      </c>
      <c r="J818" s="5" t="s">
        <v>43</v>
      </c>
      <c r="K818" s="5">
        <v>8.7733785699E10</v>
      </c>
      <c r="L818" s="4" t="s">
        <v>44</v>
      </c>
      <c r="M818" s="5" t="s">
        <v>42</v>
      </c>
      <c r="N818" s="4" t="s">
        <v>45</v>
      </c>
      <c r="O818" s="4" t="s">
        <v>46</v>
      </c>
      <c r="P818" s="4" t="s">
        <v>47</v>
      </c>
      <c r="Q818" s="4">
        <v>16451.0</v>
      </c>
      <c r="R818" s="5" t="s">
        <v>4886</v>
      </c>
      <c r="S818" s="8">
        <v>46189.0</v>
      </c>
      <c r="T818" s="9">
        <v>0.375</v>
      </c>
      <c r="U818" s="9">
        <v>0.9166666666666666</v>
      </c>
      <c r="V818" s="4" t="s">
        <v>49</v>
      </c>
      <c r="W818" s="5">
        <v>1.0</v>
      </c>
      <c r="X818" s="5" t="b">
        <v>1</v>
      </c>
      <c r="Y818" s="5" t="s">
        <v>50</v>
      </c>
      <c r="Z818" s="5" t="b">
        <v>0</v>
      </c>
      <c r="AA818" s="10"/>
      <c r="AB818" s="4">
        <v>1.0</v>
      </c>
      <c r="AC818" s="11" t="s">
        <v>4887</v>
      </c>
      <c r="AD818" s="5">
        <v>0.0</v>
      </c>
      <c r="AE818" s="5">
        <v>1.0</v>
      </c>
      <c r="AF818" s="8">
        <v>46189.0</v>
      </c>
      <c r="AG818" s="9">
        <v>0.375</v>
      </c>
      <c r="AH818" s="9">
        <v>0.9166666666666666</v>
      </c>
      <c r="AI818" s="4" t="s">
        <v>49</v>
      </c>
      <c r="AJ818" s="5" t="s">
        <v>4888</v>
      </c>
      <c r="AK818" s="12"/>
      <c r="AL818" s="12"/>
      <c r="AM818" s="12"/>
      <c r="AN818" s="12"/>
      <c r="AO818" s="12"/>
      <c r="AP818" s="12"/>
      <c r="AQ818" s="12"/>
    </row>
    <row r="819">
      <c r="A819" s="5" t="s">
        <v>4889</v>
      </c>
      <c r="B819" s="5">
        <v>1.1398423E7</v>
      </c>
      <c r="C819" s="5" t="s">
        <v>37</v>
      </c>
      <c r="D819" s="5" t="s">
        <v>4807</v>
      </c>
      <c r="E819" s="5" t="s">
        <v>39</v>
      </c>
      <c r="F819" s="5" t="s">
        <v>4890</v>
      </c>
      <c r="G819" s="15">
        <v>6.28786E17</v>
      </c>
      <c r="H819" s="5" t="s">
        <v>4891</v>
      </c>
      <c r="I819" s="5" t="s">
        <v>42</v>
      </c>
      <c r="J819" s="5" t="s">
        <v>43</v>
      </c>
      <c r="K819" s="5">
        <v>8.7733785699E10</v>
      </c>
      <c r="L819" s="4" t="s">
        <v>44</v>
      </c>
      <c r="M819" s="5" t="s">
        <v>42</v>
      </c>
      <c r="N819" s="4" t="s">
        <v>45</v>
      </c>
      <c r="O819" s="4" t="s">
        <v>46</v>
      </c>
      <c r="P819" s="4" t="s">
        <v>47</v>
      </c>
      <c r="Q819" s="4">
        <v>16451.0</v>
      </c>
      <c r="R819" s="5" t="s">
        <v>4892</v>
      </c>
      <c r="S819" s="8">
        <v>46189.0</v>
      </c>
      <c r="T819" s="9">
        <v>0.375</v>
      </c>
      <c r="U819" s="9">
        <v>0.9166666666666666</v>
      </c>
      <c r="V819" s="4" t="s">
        <v>49</v>
      </c>
      <c r="W819" s="5">
        <v>1.0</v>
      </c>
      <c r="X819" s="5" t="b">
        <v>1</v>
      </c>
      <c r="Y819" s="5" t="s">
        <v>50</v>
      </c>
      <c r="Z819" s="5" t="b">
        <v>0</v>
      </c>
      <c r="AA819" s="10"/>
      <c r="AB819" s="4">
        <v>1.0</v>
      </c>
      <c r="AC819" s="11" t="s">
        <v>4893</v>
      </c>
      <c r="AD819" s="5">
        <v>0.0</v>
      </c>
      <c r="AE819" s="5">
        <v>1.0</v>
      </c>
      <c r="AF819" s="8">
        <v>46189.0</v>
      </c>
      <c r="AG819" s="9">
        <v>0.375</v>
      </c>
      <c r="AH819" s="9">
        <v>0.9166666666666666</v>
      </c>
      <c r="AI819" s="4" t="s">
        <v>49</v>
      </c>
      <c r="AJ819" s="5" t="s">
        <v>4894</v>
      </c>
      <c r="AK819" s="12"/>
      <c r="AL819" s="12"/>
      <c r="AM819" s="12"/>
      <c r="AN819" s="12"/>
      <c r="AO819" s="12"/>
      <c r="AP819" s="12"/>
      <c r="AQ819" s="12"/>
    </row>
    <row r="820">
      <c r="A820" s="5" t="s">
        <v>4895</v>
      </c>
      <c r="B820" s="5">
        <v>1.1398423E7</v>
      </c>
      <c r="C820" s="5" t="s">
        <v>37</v>
      </c>
      <c r="D820" s="5" t="s">
        <v>4807</v>
      </c>
      <c r="E820" s="5" t="s">
        <v>39</v>
      </c>
      <c r="F820" s="5" t="s">
        <v>1564</v>
      </c>
      <c r="G820" s="15">
        <v>6.28531E17</v>
      </c>
      <c r="H820" s="5" t="s">
        <v>1565</v>
      </c>
      <c r="I820" s="5" t="s">
        <v>42</v>
      </c>
      <c r="J820" s="5" t="s">
        <v>43</v>
      </c>
      <c r="K820" s="5">
        <v>8.7733785699E10</v>
      </c>
      <c r="L820" s="4" t="s">
        <v>44</v>
      </c>
      <c r="M820" s="5" t="s">
        <v>42</v>
      </c>
      <c r="N820" s="4" t="s">
        <v>45</v>
      </c>
      <c r="O820" s="4" t="s">
        <v>46</v>
      </c>
      <c r="P820" s="4" t="s">
        <v>47</v>
      </c>
      <c r="Q820" s="4">
        <v>16451.0</v>
      </c>
      <c r="R820" s="5" t="s">
        <v>4896</v>
      </c>
      <c r="S820" s="8">
        <v>46189.0</v>
      </c>
      <c r="T820" s="9">
        <v>0.375</v>
      </c>
      <c r="U820" s="9">
        <v>0.9166666666666666</v>
      </c>
      <c r="V820" s="4" t="s">
        <v>49</v>
      </c>
      <c r="W820" s="5">
        <v>1.0</v>
      </c>
      <c r="X820" s="5" t="b">
        <v>1</v>
      </c>
      <c r="Y820" s="5" t="s">
        <v>50</v>
      </c>
      <c r="Z820" s="5" t="b">
        <v>0</v>
      </c>
      <c r="AA820" s="10"/>
      <c r="AB820" s="4">
        <v>1.0</v>
      </c>
      <c r="AC820" s="11" t="s">
        <v>4897</v>
      </c>
      <c r="AD820" s="5">
        <v>0.0</v>
      </c>
      <c r="AE820" s="5">
        <v>1.0</v>
      </c>
      <c r="AF820" s="8">
        <v>46189.0</v>
      </c>
      <c r="AG820" s="9">
        <v>0.375</v>
      </c>
      <c r="AH820" s="9">
        <v>0.9166666666666666</v>
      </c>
      <c r="AI820" s="4" t="s">
        <v>49</v>
      </c>
      <c r="AJ820" s="5" t="s">
        <v>4898</v>
      </c>
      <c r="AK820" s="12"/>
      <c r="AL820" s="12"/>
      <c r="AM820" s="12"/>
      <c r="AN820" s="12"/>
      <c r="AO820" s="12"/>
      <c r="AP820" s="12"/>
      <c r="AQ820" s="12"/>
    </row>
    <row r="821">
      <c r="A821" s="5" t="s">
        <v>4899</v>
      </c>
      <c r="B821" s="5">
        <v>1.1398423E7</v>
      </c>
      <c r="C821" s="5" t="s">
        <v>37</v>
      </c>
      <c r="D821" s="5" t="s">
        <v>4807</v>
      </c>
      <c r="E821" s="5" t="s">
        <v>39</v>
      </c>
      <c r="F821" s="5" t="s">
        <v>4900</v>
      </c>
      <c r="G821" s="15">
        <v>6.21315E16</v>
      </c>
      <c r="H821" s="5" t="s">
        <v>4901</v>
      </c>
      <c r="I821" s="5" t="s">
        <v>42</v>
      </c>
      <c r="J821" s="5" t="s">
        <v>43</v>
      </c>
      <c r="K821" s="5">
        <v>8.7733785699E10</v>
      </c>
      <c r="L821" s="4" t="s">
        <v>44</v>
      </c>
      <c r="M821" s="5" t="s">
        <v>42</v>
      </c>
      <c r="N821" s="4" t="s">
        <v>45</v>
      </c>
      <c r="O821" s="4" t="s">
        <v>46</v>
      </c>
      <c r="P821" s="4" t="s">
        <v>47</v>
      </c>
      <c r="Q821" s="4">
        <v>16451.0</v>
      </c>
      <c r="R821" s="5" t="s">
        <v>4902</v>
      </c>
      <c r="S821" s="8">
        <v>46189.0</v>
      </c>
      <c r="T821" s="9">
        <v>0.375</v>
      </c>
      <c r="U821" s="9">
        <v>0.9166666666666666</v>
      </c>
      <c r="V821" s="4" t="s">
        <v>49</v>
      </c>
      <c r="W821" s="5">
        <v>1.0</v>
      </c>
      <c r="X821" s="5" t="b">
        <v>1</v>
      </c>
      <c r="Y821" s="5" t="s">
        <v>50</v>
      </c>
      <c r="Z821" s="5" t="b">
        <v>0</v>
      </c>
      <c r="AA821" s="10"/>
      <c r="AB821" s="4">
        <v>1.0</v>
      </c>
      <c r="AC821" s="11" t="s">
        <v>4903</v>
      </c>
      <c r="AD821" s="5">
        <v>0.0</v>
      </c>
      <c r="AE821" s="5">
        <v>1.0</v>
      </c>
      <c r="AF821" s="8">
        <v>46189.0</v>
      </c>
      <c r="AG821" s="9">
        <v>0.375</v>
      </c>
      <c r="AH821" s="9">
        <v>0.9166666666666666</v>
      </c>
      <c r="AI821" s="4" t="s">
        <v>49</v>
      </c>
      <c r="AJ821" s="5" t="s">
        <v>4904</v>
      </c>
      <c r="AK821" s="12"/>
      <c r="AL821" s="12"/>
      <c r="AM821" s="12"/>
      <c r="AN821" s="12"/>
      <c r="AO821" s="12"/>
      <c r="AP821" s="12"/>
      <c r="AQ821" s="12"/>
    </row>
    <row r="822">
      <c r="A822" s="5" t="s">
        <v>4905</v>
      </c>
      <c r="B822" s="5">
        <v>1.1398423E7</v>
      </c>
      <c r="C822" s="5" t="s">
        <v>37</v>
      </c>
      <c r="D822" s="5" t="s">
        <v>4807</v>
      </c>
      <c r="E822" s="5" t="s">
        <v>39</v>
      </c>
      <c r="F822" s="5" t="s">
        <v>4906</v>
      </c>
      <c r="G822" s="15">
        <v>6.21315E16</v>
      </c>
      <c r="H822" s="5" t="s">
        <v>4901</v>
      </c>
      <c r="I822" s="5" t="s">
        <v>42</v>
      </c>
      <c r="J822" s="5" t="s">
        <v>43</v>
      </c>
      <c r="K822" s="5">
        <v>8.7733785699E10</v>
      </c>
      <c r="L822" s="4" t="s">
        <v>44</v>
      </c>
      <c r="M822" s="5" t="s">
        <v>42</v>
      </c>
      <c r="N822" s="4" t="s">
        <v>45</v>
      </c>
      <c r="O822" s="4" t="s">
        <v>46</v>
      </c>
      <c r="P822" s="4" t="s">
        <v>47</v>
      </c>
      <c r="Q822" s="4">
        <v>16451.0</v>
      </c>
      <c r="R822" s="5" t="s">
        <v>4907</v>
      </c>
      <c r="S822" s="8">
        <v>46189.0</v>
      </c>
      <c r="T822" s="9">
        <v>0.375</v>
      </c>
      <c r="U822" s="9">
        <v>0.9166666666666666</v>
      </c>
      <c r="V822" s="4" t="s">
        <v>49</v>
      </c>
      <c r="W822" s="5">
        <v>1.0</v>
      </c>
      <c r="X822" s="5" t="b">
        <v>1</v>
      </c>
      <c r="Y822" s="5" t="s">
        <v>50</v>
      </c>
      <c r="Z822" s="5" t="b">
        <v>0</v>
      </c>
      <c r="AA822" s="10"/>
      <c r="AB822" s="4">
        <v>1.0</v>
      </c>
      <c r="AC822" s="11" t="s">
        <v>4908</v>
      </c>
      <c r="AD822" s="5">
        <v>0.0</v>
      </c>
      <c r="AE822" s="5">
        <v>1.0</v>
      </c>
      <c r="AF822" s="8">
        <v>46189.0</v>
      </c>
      <c r="AG822" s="9">
        <v>0.375</v>
      </c>
      <c r="AH822" s="9">
        <v>0.9166666666666666</v>
      </c>
      <c r="AI822" s="4" t="s">
        <v>49</v>
      </c>
      <c r="AJ822" s="5" t="s">
        <v>4909</v>
      </c>
      <c r="AK822" s="12"/>
      <c r="AL822" s="12"/>
      <c r="AM822" s="12"/>
      <c r="AN822" s="12"/>
      <c r="AO822" s="12"/>
      <c r="AP822" s="12"/>
      <c r="AQ822" s="12"/>
    </row>
    <row r="823">
      <c r="A823" s="5" t="s">
        <v>4910</v>
      </c>
      <c r="B823" s="5">
        <v>1.1398423E7</v>
      </c>
      <c r="C823" s="5" t="s">
        <v>37</v>
      </c>
      <c r="D823" s="5" t="s">
        <v>4807</v>
      </c>
      <c r="E823" s="5" t="s">
        <v>39</v>
      </c>
      <c r="F823" s="5" t="s">
        <v>2000</v>
      </c>
      <c r="G823" s="15">
        <v>6.21315E16</v>
      </c>
      <c r="H823" s="5" t="s">
        <v>4901</v>
      </c>
      <c r="I823" s="5" t="s">
        <v>42</v>
      </c>
      <c r="J823" s="5" t="s">
        <v>43</v>
      </c>
      <c r="K823" s="5">
        <v>8.7733785699E10</v>
      </c>
      <c r="L823" s="4" t="s">
        <v>44</v>
      </c>
      <c r="M823" s="5" t="s">
        <v>42</v>
      </c>
      <c r="N823" s="4" t="s">
        <v>45</v>
      </c>
      <c r="O823" s="4" t="s">
        <v>46</v>
      </c>
      <c r="P823" s="4" t="s">
        <v>47</v>
      </c>
      <c r="Q823" s="4">
        <v>16451.0</v>
      </c>
      <c r="R823" s="5" t="s">
        <v>4911</v>
      </c>
      <c r="S823" s="8">
        <v>46189.0</v>
      </c>
      <c r="T823" s="9">
        <v>0.375</v>
      </c>
      <c r="U823" s="9">
        <v>0.9166666666666666</v>
      </c>
      <c r="V823" s="4" t="s">
        <v>49</v>
      </c>
      <c r="W823" s="5">
        <v>1.0</v>
      </c>
      <c r="X823" s="5" t="b">
        <v>1</v>
      </c>
      <c r="Y823" s="5" t="s">
        <v>50</v>
      </c>
      <c r="Z823" s="5" t="b">
        <v>0</v>
      </c>
      <c r="AA823" s="10"/>
      <c r="AB823" s="4">
        <v>1.0</v>
      </c>
      <c r="AC823" s="11" t="s">
        <v>4912</v>
      </c>
      <c r="AD823" s="5">
        <v>0.0</v>
      </c>
      <c r="AE823" s="5">
        <v>1.0</v>
      </c>
      <c r="AF823" s="8">
        <v>46189.0</v>
      </c>
      <c r="AG823" s="9">
        <v>0.375</v>
      </c>
      <c r="AH823" s="9">
        <v>0.9166666666666666</v>
      </c>
      <c r="AI823" s="4" t="s">
        <v>49</v>
      </c>
      <c r="AJ823" s="5" t="s">
        <v>4913</v>
      </c>
      <c r="AK823" s="12"/>
      <c r="AL823" s="12"/>
      <c r="AM823" s="12"/>
      <c r="AN823" s="12"/>
      <c r="AO823" s="12"/>
      <c r="AP823" s="12"/>
      <c r="AQ823" s="12"/>
    </row>
    <row r="824">
      <c r="A824" s="5" t="s">
        <v>4914</v>
      </c>
      <c r="B824" s="5">
        <v>1.1398423E7</v>
      </c>
      <c r="C824" s="5" t="s">
        <v>37</v>
      </c>
      <c r="D824" s="5" t="s">
        <v>4807</v>
      </c>
      <c r="E824" s="5" t="s">
        <v>39</v>
      </c>
      <c r="F824" s="5" t="s">
        <v>4915</v>
      </c>
      <c r="G824" s="15">
        <v>6.21315E16</v>
      </c>
      <c r="H824" s="5" t="s">
        <v>4901</v>
      </c>
      <c r="I824" s="5" t="s">
        <v>42</v>
      </c>
      <c r="J824" s="5" t="s">
        <v>43</v>
      </c>
      <c r="K824" s="5">
        <v>8.7733785699E10</v>
      </c>
      <c r="L824" s="4" t="s">
        <v>44</v>
      </c>
      <c r="M824" s="5" t="s">
        <v>42</v>
      </c>
      <c r="N824" s="4" t="s">
        <v>45</v>
      </c>
      <c r="O824" s="4" t="s">
        <v>46</v>
      </c>
      <c r="P824" s="4" t="s">
        <v>47</v>
      </c>
      <c r="Q824" s="4">
        <v>16451.0</v>
      </c>
      <c r="R824" s="5" t="s">
        <v>4916</v>
      </c>
      <c r="S824" s="8">
        <v>46189.0</v>
      </c>
      <c r="T824" s="9">
        <v>0.375</v>
      </c>
      <c r="U824" s="9">
        <v>0.9166666666666666</v>
      </c>
      <c r="V824" s="4" t="s">
        <v>49</v>
      </c>
      <c r="W824" s="5">
        <v>1.0</v>
      </c>
      <c r="X824" s="5" t="b">
        <v>1</v>
      </c>
      <c r="Y824" s="5" t="s">
        <v>50</v>
      </c>
      <c r="Z824" s="5" t="b">
        <v>0</v>
      </c>
      <c r="AA824" s="10"/>
      <c r="AB824" s="4">
        <v>1.0</v>
      </c>
      <c r="AC824" s="11" t="s">
        <v>4917</v>
      </c>
      <c r="AD824" s="5">
        <v>0.0</v>
      </c>
      <c r="AE824" s="5">
        <v>1.0</v>
      </c>
      <c r="AF824" s="8">
        <v>46189.0</v>
      </c>
      <c r="AG824" s="9">
        <v>0.375</v>
      </c>
      <c r="AH824" s="9">
        <v>0.9166666666666666</v>
      </c>
      <c r="AI824" s="4" t="s">
        <v>49</v>
      </c>
      <c r="AJ824" s="5" t="s">
        <v>4918</v>
      </c>
      <c r="AK824" s="12"/>
      <c r="AL824" s="12"/>
      <c r="AM824" s="12"/>
      <c r="AN824" s="12"/>
      <c r="AO824" s="12"/>
      <c r="AP824" s="12"/>
      <c r="AQ824" s="12"/>
    </row>
    <row r="825">
      <c r="A825" s="5" t="s">
        <v>4919</v>
      </c>
      <c r="B825" s="5">
        <v>1.1398423E7</v>
      </c>
      <c r="C825" s="5" t="s">
        <v>37</v>
      </c>
      <c r="D825" s="5" t="s">
        <v>4807</v>
      </c>
      <c r="E825" s="5" t="s">
        <v>39</v>
      </c>
      <c r="F825" s="5" t="s">
        <v>4920</v>
      </c>
      <c r="G825" s="15">
        <v>6.21315E16</v>
      </c>
      <c r="H825" s="5" t="s">
        <v>4901</v>
      </c>
      <c r="I825" s="5" t="s">
        <v>42</v>
      </c>
      <c r="J825" s="5" t="s">
        <v>43</v>
      </c>
      <c r="K825" s="5">
        <v>8.7733785699E10</v>
      </c>
      <c r="L825" s="4" t="s">
        <v>44</v>
      </c>
      <c r="M825" s="5" t="s">
        <v>42</v>
      </c>
      <c r="N825" s="4" t="s">
        <v>45</v>
      </c>
      <c r="O825" s="4" t="s">
        <v>46</v>
      </c>
      <c r="P825" s="4" t="s">
        <v>47</v>
      </c>
      <c r="Q825" s="4">
        <v>16451.0</v>
      </c>
      <c r="R825" s="5" t="s">
        <v>4921</v>
      </c>
      <c r="S825" s="8">
        <v>46189.0</v>
      </c>
      <c r="T825" s="9">
        <v>0.375</v>
      </c>
      <c r="U825" s="9">
        <v>0.9166666666666666</v>
      </c>
      <c r="V825" s="4" t="s">
        <v>49</v>
      </c>
      <c r="W825" s="5">
        <v>1.0</v>
      </c>
      <c r="X825" s="5" t="b">
        <v>1</v>
      </c>
      <c r="Y825" s="5" t="s">
        <v>50</v>
      </c>
      <c r="Z825" s="5" t="b">
        <v>0</v>
      </c>
      <c r="AA825" s="10"/>
      <c r="AB825" s="4">
        <v>1.0</v>
      </c>
      <c r="AC825" s="11" t="s">
        <v>4922</v>
      </c>
      <c r="AD825" s="5">
        <v>0.0</v>
      </c>
      <c r="AE825" s="5">
        <v>1.0</v>
      </c>
      <c r="AF825" s="8">
        <v>46189.0</v>
      </c>
      <c r="AG825" s="9">
        <v>0.375</v>
      </c>
      <c r="AH825" s="9">
        <v>0.9166666666666666</v>
      </c>
      <c r="AI825" s="4" t="s">
        <v>49</v>
      </c>
      <c r="AJ825" s="5" t="s">
        <v>4923</v>
      </c>
      <c r="AK825" s="12"/>
      <c r="AL825" s="12"/>
      <c r="AM825" s="12"/>
      <c r="AN825" s="12"/>
      <c r="AO825" s="12"/>
      <c r="AP825" s="12"/>
      <c r="AQ825" s="12"/>
    </row>
    <row r="826">
      <c r="A826" s="5" t="s">
        <v>4924</v>
      </c>
      <c r="B826" s="5">
        <v>1.1398423E7</v>
      </c>
      <c r="C826" s="5" t="s">
        <v>37</v>
      </c>
      <c r="D826" s="5" t="s">
        <v>4807</v>
      </c>
      <c r="E826" s="5" t="s">
        <v>39</v>
      </c>
      <c r="F826" s="5" t="s">
        <v>4925</v>
      </c>
      <c r="G826" s="15">
        <v>6.21315E16</v>
      </c>
      <c r="H826" s="5" t="s">
        <v>4901</v>
      </c>
      <c r="I826" s="5" t="s">
        <v>42</v>
      </c>
      <c r="J826" s="5" t="s">
        <v>43</v>
      </c>
      <c r="K826" s="5">
        <v>8.7733785699E10</v>
      </c>
      <c r="L826" s="4" t="s">
        <v>44</v>
      </c>
      <c r="M826" s="5" t="s">
        <v>42</v>
      </c>
      <c r="N826" s="4" t="s">
        <v>45</v>
      </c>
      <c r="O826" s="4" t="s">
        <v>46</v>
      </c>
      <c r="P826" s="4" t="s">
        <v>47</v>
      </c>
      <c r="Q826" s="4">
        <v>16451.0</v>
      </c>
      <c r="R826" s="5" t="s">
        <v>4926</v>
      </c>
      <c r="S826" s="8">
        <v>46189.0</v>
      </c>
      <c r="T826" s="9">
        <v>0.375</v>
      </c>
      <c r="U826" s="9">
        <v>0.9166666666666666</v>
      </c>
      <c r="V826" s="4" t="s">
        <v>49</v>
      </c>
      <c r="W826" s="5">
        <v>1.0</v>
      </c>
      <c r="X826" s="5" t="b">
        <v>1</v>
      </c>
      <c r="Y826" s="5" t="s">
        <v>50</v>
      </c>
      <c r="Z826" s="5" t="b">
        <v>0</v>
      </c>
      <c r="AA826" s="10"/>
      <c r="AB826" s="4">
        <v>1.0</v>
      </c>
      <c r="AC826" s="11" t="s">
        <v>4927</v>
      </c>
      <c r="AD826" s="5">
        <v>0.0</v>
      </c>
      <c r="AE826" s="5">
        <v>1.0</v>
      </c>
      <c r="AF826" s="8">
        <v>46189.0</v>
      </c>
      <c r="AG826" s="9">
        <v>0.375</v>
      </c>
      <c r="AH826" s="9">
        <v>0.9166666666666666</v>
      </c>
      <c r="AI826" s="4" t="s">
        <v>49</v>
      </c>
      <c r="AJ826" s="5" t="s">
        <v>4928</v>
      </c>
      <c r="AK826" s="12"/>
      <c r="AL826" s="12"/>
      <c r="AM826" s="12"/>
      <c r="AN826" s="12"/>
      <c r="AO826" s="12"/>
      <c r="AP826" s="12"/>
      <c r="AQ826" s="12"/>
    </row>
    <row r="827">
      <c r="A827" s="5" t="s">
        <v>4929</v>
      </c>
      <c r="B827" s="5">
        <v>1.1398423E7</v>
      </c>
      <c r="C827" s="5" t="s">
        <v>37</v>
      </c>
      <c r="D827" s="5" t="s">
        <v>4807</v>
      </c>
      <c r="E827" s="5" t="s">
        <v>39</v>
      </c>
      <c r="F827" s="5" t="s">
        <v>230</v>
      </c>
      <c r="G827" s="15">
        <v>6.21315E16</v>
      </c>
      <c r="H827" s="5" t="s">
        <v>4901</v>
      </c>
      <c r="I827" s="5" t="s">
        <v>42</v>
      </c>
      <c r="J827" s="5" t="s">
        <v>43</v>
      </c>
      <c r="K827" s="5">
        <v>8.7733785699E10</v>
      </c>
      <c r="L827" s="4" t="s">
        <v>44</v>
      </c>
      <c r="M827" s="5" t="s">
        <v>42</v>
      </c>
      <c r="N827" s="4" t="s">
        <v>45</v>
      </c>
      <c r="O827" s="4" t="s">
        <v>46</v>
      </c>
      <c r="P827" s="4" t="s">
        <v>47</v>
      </c>
      <c r="Q827" s="4">
        <v>16451.0</v>
      </c>
      <c r="R827" s="5" t="s">
        <v>4930</v>
      </c>
      <c r="S827" s="8">
        <v>46189.0</v>
      </c>
      <c r="T827" s="9">
        <v>0.375</v>
      </c>
      <c r="U827" s="9">
        <v>0.9166666666666666</v>
      </c>
      <c r="V827" s="4" t="s">
        <v>49</v>
      </c>
      <c r="W827" s="5">
        <v>1.0</v>
      </c>
      <c r="X827" s="5" t="b">
        <v>1</v>
      </c>
      <c r="Y827" s="5" t="s">
        <v>50</v>
      </c>
      <c r="Z827" s="5" t="b">
        <v>0</v>
      </c>
      <c r="AA827" s="10"/>
      <c r="AB827" s="4">
        <v>1.0</v>
      </c>
      <c r="AC827" s="11" t="s">
        <v>4931</v>
      </c>
      <c r="AD827" s="5">
        <v>0.0</v>
      </c>
      <c r="AE827" s="5">
        <v>1.0</v>
      </c>
      <c r="AF827" s="8">
        <v>46189.0</v>
      </c>
      <c r="AG827" s="9">
        <v>0.375</v>
      </c>
      <c r="AH827" s="9">
        <v>0.9166666666666666</v>
      </c>
      <c r="AI827" s="4" t="s">
        <v>49</v>
      </c>
      <c r="AJ827" s="5" t="s">
        <v>4932</v>
      </c>
      <c r="AK827" s="12"/>
      <c r="AL827" s="12"/>
      <c r="AM827" s="12"/>
      <c r="AN827" s="12"/>
      <c r="AO827" s="12"/>
      <c r="AP827" s="12"/>
      <c r="AQ827" s="12"/>
    </row>
    <row r="828">
      <c r="A828" s="5" t="s">
        <v>4933</v>
      </c>
      <c r="B828" s="5">
        <v>1.1398423E7</v>
      </c>
      <c r="C828" s="5" t="s">
        <v>37</v>
      </c>
      <c r="D828" s="5" t="s">
        <v>4807</v>
      </c>
      <c r="E828" s="5" t="s">
        <v>39</v>
      </c>
      <c r="F828" s="5" t="s">
        <v>4934</v>
      </c>
      <c r="G828" s="15">
        <v>6.21315E16</v>
      </c>
      <c r="H828" s="5" t="s">
        <v>4901</v>
      </c>
      <c r="I828" s="5" t="s">
        <v>42</v>
      </c>
      <c r="J828" s="5" t="s">
        <v>43</v>
      </c>
      <c r="K828" s="5">
        <v>8.7733785699E10</v>
      </c>
      <c r="L828" s="4" t="s">
        <v>44</v>
      </c>
      <c r="M828" s="5" t="s">
        <v>42</v>
      </c>
      <c r="N828" s="4" t="s">
        <v>45</v>
      </c>
      <c r="O828" s="4" t="s">
        <v>46</v>
      </c>
      <c r="P828" s="4" t="s">
        <v>47</v>
      </c>
      <c r="Q828" s="4">
        <v>16451.0</v>
      </c>
      <c r="R828" s="5" t="s">
        <v>4935</v>
      </c>
      <c r="S828" s="8">
        <v>46189.0</v>
      </c>
      <c r="T828" s="9">
        <v>0.375</v>
      </c>
      <c r="U828" s="9">
        <v>0.9166666666666666</v>
      </c>
      <c r="V828" s="4" t="s">
        <v>49</v>
      </c>
      <c r="W828" s="5">
        <v>1.0</v>
      </c>
      <c r="X828" s="5" t="b">
        <v>1</v>
      </c>
      <c r="Y828" s="5" t="s">
        <v>50</v>
      </c>
      <c r="Z828" s="5" t="b">
        <v>0</v>
      </c>
      <c r="AA828" s="10"/>
      <c r="AB828" s="4">
        <v>1.0</v>
      </c>
      <c r="AC828" s="11" t="s">
        <v>4936</v>
      </c>
      <c r="AD828" s="5">
        <v>0.0</v>
      </c>
      <c r="AE828" s="5">
        <v>1.0</v>
      </c>
      <c r="AF828" s="8">
        <v>46189.0</v>
      </c>
      <c r="AG828" s="9">
        <v>0.375</v>
      </c>
      <c r="AH828" s="9">
        <v>0.9166666666666666</v>
      </c>
      <c r="AI828" s="4" t="s">
        <v>49</v>
      </c>
      <c r="AJ828" s="5" t="s">
        <v>4937</v>
      </c>
      <c r="AK828" s="12"/>
      <c r="AL828" s="12"/>
      <c r="AM828" s="12"/>
      <c r="AN828" s="12"/>
      <c r="AO828" s="12"/>
      <c r="AP828" s="12"/>
      <c r="AQ828" s="12"/>
    </row>
    <row r="829">
      <c r="A829" s="5" t="s">
        <v>4938</v>
      </c>
      <c r="B829" s="5">
        <v>1.1398423E7</v>
      </c>
      <c r="C829" s="5" t="s">
        <v>37</v>
      </c>
      <c r="D829" s="5" t="s">
        <v>4807</v>
      </c>
      <c r="E829" s="5" t="s">
        <v>39</v>
      </c>
      <c r="F829" s="5" t="s">
        <v>3254</v>
      </c>
      <c r="G829" s="15">
        <v>6.21315E16</v>
      </c>
      <c r="H829" s="5" t="s">
        <v>4901</v>
      </c>
      <c r="I829" s="5" t="s">
        <v>42</v>
      </c>
      <c r="J829" s="5" t="s">
        <v>43</v>
      </c>
      <c r="K829" s="5">
        <v>8.7733785699E10</v>
      </c>
      <c r="L829" s="4" t="s">
        <v>44</v>
      </c>
      <c r="M829" s="5" t="s">
        <v>42</v>
      </c>
      <c r="N829" s="4" t="s">
        <v>45</v>
      </c>
      <c r="O829" s="4" t="s">
        <v>46</v>
      </c>
      <c r="P829" s="4" t="s">
        <v>47</v>
      </c>
      <c r="Q829" s="4">
        <v>16451.0</v>
      </c>
      <c r="R829" s="5" t="s">
        <v>4939</v>
      </c>
      <c r="S829" s="8">
        <v>46189.0</v>
      </c>
      <c r="T829" s="9">
        <v>0.375</v>
      </c>
      <c r="U829" s="9">
        <v>0.9166666666666666</v>
      </c>
      <c r="V829" s="4" t="s">
        <v>49</v>
      </c>
      <c r="W829" s="5">
        <v>1.0</v>
      </c>
      <c r="X829" s="5" t="b">
        <v>1</v>
      </c>
      <c r="Y829" s="5" t="s">
        <v>50</v>
      </c>
      <c r="Z829" s="5" t="b">
        <v>0</v>
      </c>
      <c r="AA829" s="10"/>
      <c r="AB829" s="4">
        <v>1.0</v>
      </c>
      <c r="AC829" s="11" t="s">
        <v>4940</v>
      </c>
      <c r="AD829" s="5">
        <v>0.0</v>
      </c>
      <c r="AE829" s="5">
        <v>1.0</v>
      </c>
      <c r="AF829" s="8">
        <v>46189.0</v>
      </c>
      <c r="AG829" s="9">
        <v>0.375</v>
      </c>
      <c r="AH829" s="9">
        <v>0.9166666666666666</v>
      </c>
      <c r="AI829" s="4" t="s">
        <v>49</v>
      </c>
      <c r="AJ829" s="5" t="s">
        <v>4941</v>
      </c>
      <c r="AK829" s="12"/>
      <c r="AL829" s="12"/>
      <c r="AM829" s="12"/>
      <c r="AN829" s="12"/>
      <c r="AO829" s="12"/>
      <c r="AP829" s="12"/>
      <c r="AQ829" s="12"/>
    </row>
    <row r="830">
      <c r="A830" s="5" t="s">
        <v>4942</v>
      </c>
      <c r="B830" s="5">
        <v>1.1398423E7</v>
      </c>
      <c r="C830" s="5" t="s">
        <v>37</v>
      </c>
      <c r="D830" s="5" t="s">
        <v>4807</v>
      </c>
      <c r="E830" s="5" t="s">
        <v>39</v>
      </c>
      <c r="F830" s="5" t="s">
        <v>416</v>
      </c>
      <c r="G830" s="15">
        <v>6.21315E16</v>
      </c>
      <c r="H830" s="5" t="s">
        <v>4901</v>
      </c>
      <c r="I830" s="5" t="s">
        <v>42</v>
      </c>
      <c r="J830" s="5" t="s">
        <v>43</v>
      </c>
      <c r="K830" s="5">
        <v>8.7733785699E10</v>
      </c>
      <c r="L830" s="4" t="s">
        <v>44</v>
      </c>
      <c r="M830" s="5" t="s">
        <v>42</v>
      </c>
      <c r="N830" s="4" t="s">
        <v>45</v>
      </c>
      <c r="O830" s="4" t="s">
        <v>46</v>
      </c>
      <c r="P830" s="4" t="s">
        <v>47</v>
      </c>
      <c r="Q830" s="4">
        <v>16451.0</v>
      </c>
      <c r="R830" s="5" t="s">
        <v>4943</v>
      </c>
      <c r="S830" s="8">
        <v>46189.0</v>
      </c>
      <c r="T830" s="9">
        <v>0.375</v>
      </c>
      <c r="U830" s="9">
        <v>0.9166666666666666</v>
      </c>
      <c r="V830" s="4" t="s">
        <v>49</v>
      </c>
      <c r="W830" s="5">
        <v>1.0</v>
      </c>
      <c r="X830" s="5" t="b">
        <v>1</v>
      </c>
      <c r="Y830" s="5" t="s">
        <v>50</v>
      </c>
      <c r="Z830" s="5" t="b">
        <v>0</v>
      </c>
      <c r="AA830" s="10"/>
      <c r="AB830" s="4">
        <v>1.0</v>
      </c>
      <c r="AC830" s="11" t="s">
        <v>4944</v>
      </c>
      <c r="AD830" s="5">
        <v>0.0</v>
      </c>
      <c r="AE830" s="5">
        <v>1.0</v>
      </c>
      <c r="AF830" s="8">
        <v>46189.0</v>
      </c>
      <c r="AG830" s="9">
        <v>0.375</v>
      </c>
      <c r="AH830" s="9">
        <v>0.9166666666666666</v>
      </c>
      <c r="AI830" s="4" t="s">
        <v>49</v>
      </c>
      <c r="AJ830" s="5" t="s">
        <v>4945</v>
      </c>
      <c r="AK830" s="12"/>
      <c r="AL830" s="12"/>
      <c r="AM830" s="12"/>
      <c r="AN830" s="12"/>
      <c r="AO830" s="12"/>
      <c r="AP830" s="12"/>
      <c r="AQ830" s="12"/>
    </row>
    <row r="831">
      <c r="A831" s="5" t="s">
        <v>4946</v>
      </c>
      <c r="B831" s="5">
        <v>1.1398423E7</v>
      </c>
      <c r="C831" s="5" t="s">
        <v>37</v>
      </c>
      <c r="D831" s="5" t="s">
        <v>4807</v>
      </c>
      <c r="E831" s="5" t="s">
        <v>39</v>
      </c>
      <c r="F831" s="5" t="s">
        <v>206</v>
      </c>
      <c r="G831" s="15">
        <v>6.21315E16</v>
      </c>
      <c r="H831" s="5" t="s">
        <v>4901</v>
      </c>
      <c r="I831" s="5" t="s">
        <v>42</v>
      </c>
      <c r="J831" s="5" t="s">
        <v>43</v>
      </c>
      <c r="K831" s="5">
        <v>8.7733785699E10</v>
      </c>
      <c r="L831" s="4" t="s">
        <v>44</v>
      </c>
      <c r="M831" s="5" t="s">
        <v>42</v>
      </c>
      <c r="N831" s="4" t="s">
        <v>45</v>
      </c>
      <c r="O831" s="4" t="s">
        <v>46</v>
      </c>
      <c r="P831" s="4" t="s">
        <v>47</v>
      </c>
      <c r="Q831" s="4">
        <v>16451.0</v>
      </c>
      <c r="R831" s="5" t="s">
        <v>4947</v>
      </c>
      <c r="S831" s="8">
        <v>46189.0</v>
      </c>
      <c r="T831" s="9">
        <v>0.375</v>
      </c>
      <c r="U831" s="9">
        <v>0.9166666666666666</v>
      </c>
      <c r="V831" s="4" t="s">
        <v>49</v>
      </c>
      <c r="W831" s="5">
        <v>1.0</v>
      </c>
      <c r="X831" s="5" t="b">
        <v>1</v>
      </c>
      <c r="Y831" s="5" t="s">
        <v>50</v>
      </c>
      <c r="Z831" s="5" t="b">
        <v>0</v>
      </c>
      <c r="AA831" s="10"/>
      <c r="AB831" s="4">
        <v>1.0</v>
      </c>
      <c r="AC831" s="11" t="s">
        <v>4948</v>
      </c>
      <c r="AD831" s="5">
        <v>0.0</v>
      </c>
      <c r="AE831" s="5">
        <v>1.0</v>
      </c>
      <c r="AF831" s="8">
        <v>46189.0</v>
      </c>
      <c r="AG831" s="9">
        <v>0.375</v>
      </c>
      <c r="AH831" s="9">
        <v>0.9166666666666666</v>
      </c>
      <c r="AI831" s="4" t="s">
        <v>49</v>
      </c>
      <c r="AJ831" s="5" t="s">
        <v>4949</v>
      </c>
      <c r="AK831" s="12"/>
      <c r="AL831" s="12"/>
      <c r="AM831" s="12"/>
      <c r="AN831" s="12"/>
      <c r="AO831" s="12"/>
      <c r="AP831" s="12"/>
      <c r="AQ831" s="12"/>
    </row>
    <row r="832">
      <c r="A832" s="5" t="s">
        <v>4950</v>
      </c>
      <c r="B832" s="5">
        <v>1.1398423E7</v>
      </c>
      <c r="C832" s="5" t="s">
        <v>37</v>
      </c>
      <c r="D832" s="5" t="s">
        <v>4807</v>
      </c>
      <c r="E832" s="5" t="s">
        <v>39</v>
      </c>
      <c r="F832" s="5" t="s">
        <v>422</v>
      </c>
      <c r="G832" s="15">
        <v>6.21315E16</v>
      </c>
      <c r="H832" s="5" t="s">
        <v>4901</v>
      </c>
      <c r="I832" s="5" t="s">
        <v>42</v>
      </c>
      <c r="J832" s="5" t="s">
        <v>43</v>
      </c>
      <c r="K832" s="5">
        <v>8.7733785699E10</v>
      </c>
      <c r="L832" s="4" t="s">
        <v>44</v>
      </c>
      <c r="M832" s="5" t="s">
        <v>42</v>
      </c>
      <c r="N832" s="4" t="s">
        <v>45</v>
      </c>
      <c r="O832" s="4" t="s">
        <v>46</v>
      </c>
      <c r="P832" s="4" t="s">
        <v>47</v>
      </c>
      <c r="Q832" s="4">
        <v>16451.0</v>
      </c>
      <c r="R832" s="5" t="s">
        <v>4951</v>
      </c>
      <c r="S832" s="8">
        <v>46189.0</v>
      </c>
      <c r="T832" s="9">
        <v>0.375</v>
      </c>
      <c r="U832" s="9">
        <v>0.9166666666666666</v>
      </c>
      <c r="V832" s="4" t="s">
        <v>49</v>
      </c>
      <c r="W832" s="5">
        <v>1.0</v>
      </c>
      <c r="X832" s="5" t="b">
        <v>1</v>
      </c>
      <c r="Y832" s="5" t="s">
        <v>50</v>
      </c>
      <c r="Z832" s="5" t="b">
        <v>0</v>
      </c>
      <c r="AA832" s="10"/>
      <c r="AB832" s="4">
        <v>1.0</v>
      </c>
      <c r="AC832" s="11" t="s">
        <v>4952</v>
      </c>
      <c r="AD832" s="5">
        <v>0.0</v>
      </c>
      <c r="AE832" s="5">
        <v>1.0</v>
      </c>
      <c r="AF832" s="8">
        <v>46189.0</v>
      </c>
      <c r="AG832" s="9">
        <v>0.375</v>
      </c>
      <c r="AH832" s="9">
        <v>0.9166666666666666</v>
      </c>
      <c r="AI832" s="4" t="s">
        <v>49</v>
      </c>
      <c r="AJ832" s="5" t="s">
        <v>4953</v>
      </c>
      <c r="AK832" s="12"/>
      <c r="AL832" s="12"/>
      <c r="AM832" s="12"/>
      <c r="AN832" s="12"/>
      <c r="AO832" s="12"/>
      <c r="AP832" s="12"/>
      <c r="AQ832" s="12"/>
    </row>
    <row r="833">
      <c r="A833" s="5" t="s">
        <v>4954</v>
      </c>
      <c r="B833" s="5">
        <v>1.1398423E7</v>
      </c>
      <c r="C833" s="5" t="s">
        <v>37</v>
      </c>
      <c r="D833" s="5" t="s">
        <v>4807</v>
      </c>
      <c r="E833" s="5" t="s">
        <v>39</v>
      </c>
      <c r="F833" s="5" t="s">
        <v>1967</v>
      </c>
      <c r="G833" s="15">
        <v>6.21315E16</v>
      </c>
      <c r="H833" s="5" t="s">
        <v>4901</v>
      </c>
      <c r="I833" s="5" t="s">
        <v>42</v>
      </c>
      <c r="J833" s="5" t="s">
        <v>43</v>
      </c>
      <c r="K833" s="5">
        <v>8.7733785699E10</v>
      </c>
      <c r="L833" s="4" t="s">
        <v>44</v>
      </c>
      <c r="M833" s="5" t="s">
        <v>42</v>
      </c>
      <c r="N833" s="4" t="s">
        <v>45</v>
      </c>
      <c r="O833" s="4" t="s">
        <v>46</v>
      </c>
      <c r="P833" s="4" t="s">
        <v>47</v>
      </c>
      <c r="Q833" s="4">
        <v>16451.0</v>
      </c>
      <c r="R833" s="5" t="s">
        <v>4955</v>
      </c>
      <c r="S833" s="8">
        <v>46189.0</v>
      </c>
      <c r="T833" s="9">
        <v>0.375</v>
      </c>
      <c r="U833" s="9">
        <v>0.9166666666666666</v>
      </c>
      <c r="V833" s="4" t="s">
        <v>49</v>
      </c>
      <c r="W833" s="5">
        <v>1.0</v>
      </c>
      <c r="X833" s="5" t="b">
        <v>1</v>
      </c>
      <c r="Y833" s="5" t="s">
        <v>50</v>
      </c>
      <c r="Z833" s="5" t="b">
        <v>0</v>
      </c>
      <c r="AA833" s="10"/>
      <c r="AB833" s="4">
        <v>1.0</v>
      </c>
      <c r="AC833" s="11" t="s">
        <v>4956</v>
      </c>
      <c r="AD833" s="5">
        <v>0.0</v>
      </c>
      <c r="AE833" s="5">
        <v>1.0</v>
      </c>
      <c r="AF833" s="8">
        <v>46189.0</v>
      </c>
      <c r="AG833" s="9">
        <v>0.375</v>
      </c>
      <c r="AH833" s="9">
        <v>0.9166666666666666</v>
      </c>
      <c r="AI833" s="4" t="s">
        <v>49</v>
      </c>
      <c r="AJ833" s="5" t="s">
        <v>4957</v>
      </c>
      <c r="AK833" s="12"/>
      <c r="AL833" s="12"/>
      <c r="AM833" s="12"/>
      <c r="AN833" s="12"/>
      <c r="AO833" s="12"/>
      <c r="AP833" s="12"/>
      <c r="AQ833" s="12"/>
    </row>
    <row r="834">
      <c r="A834" s="5" t="s">
        <v>4958</v>
      </c>
      <c r="B834" s="5">
        <v>1.1398423E7</v>
      </c>
      <c r="C834" s="5" t="s">
        <v>37</v>
      </c>
      <c r="D834" s="5" t="s">
        <v>4807</v>
      </c>
      <c r="E834" s="5" t="s">
        <v>39</v>
      </c>
      <c r="F834" s="5" t="s">
        <v>4959</v>
      </c>
      <c r="G834" s="15">
        <v>6.21315E16</v>
      </c>
      <c r="H834" s="5" t="s">
        <v>4901</v>
      </c>
      <c r="I834" s="5" t="s">
        <v>42</v>
      </c>
      <c r="J834" s="5" t="s">
        <v>43</v>
      </c>
      <c r="K834" s="5">
        <v>8.7733785699E10</v>
      </c>
      <c r="L834" s="4" t="s">
        <v>44</v>
      </c>
      <c r="M834" s="5" t="s">
        <v>42</v>
      </c>
      <c r="N834" s="4" t="s">
        <v>45</v>
      </c>
      <c r="O834" s="4" t="s">
        <v>46</v>
      </c>
      <c r="P834" s="4" t="s">
        <v>47</v>
      </c>
      <c r="Q834" s="4">
        <v>16451.0</v>
      </c>
      <c r="R834" s="5" t="s">
        <v>4960</v>
      </c>
      <c r="S834" s="8">
        <v>46189.0</v>
      </c>
      <c r="T834" s="9">
        <v>0.375</v>
      </c>
      <c r="U834" s="9">
        <v>0.9166666666666666</v>
      </c>
      <c r="V834" s="4" t="s">
        <v>49</v>
      </c>
      <c r="W834" s="5">
        <v>1.0</v>
      </c>
      <c r="X834" s="5" t="b">
        <v>1</v>
      </c>
      <c r="Y834" s="5" t="s">
        <v>50</v>
      </c>
      <c r="Z834" s="5" t="b">
        <v>0</v>
      </c>
      <c r="AA834" s="10"/>
      <c r="AB834" s="4">
        <v>1.0</v>
      </c>
      <c r="AC834" s="11" t="s">
        <v>4961</v>
      </c>
      <c r="AD834" s="5">
        <v>0.0</v>
      </c>
      <c r="AE834" s="5">
        <v>1.0</v>
      </c>
      <c r="AF834" s="8">
        <v>46189.0</v>
      </c>
      <c r="AG834" s="9">
        <v>0.375</v>
      </c>
      <c r="AH834" s="9">
        <v>0.9166666666666666</v>
      </c>
      <c r="AI834" s="4" t="s">
        <v>49</v>
      </c>
      <c r="AJ834" s="5" t="s">
        <v>4962</v>
      </c>
      <c r="AK834" s="12"/>
      <c r="AL834" s="12"/>
      <c r="AM834" s="12"/>
      <c r="AN834" s="12"/>
      <c r="AO834" s="12"/>
      <c r="AP834" s="12"/>
      <c r="AQ834" s="12"/>
    </row>
    <row r="835">
      <c r="A835" s="5" t="s">
        <v>4963</v>
      </c>
      <c r="B835" s="5">
        <v>1.1398423E7</v>
      </c>
      <c r="C835" s="5" t="s">
        <v>37</v>
      </c>
      <c r="D835" s="5" t="s">
        <v>4807</v>
      </c>
      <c r="E835" s="5" t="s">
        <v>39</v>
      </c>
      <c r="F835" s="5" t="s">
        <v>4964</v>
      </c>
      <c r="G835" s="15">
        <v>6.21315E16</v>
      </c>
      <c r="H835" s="5" t="s">
        <v>4901</v>
      </c>
      <c r="I835" s="5" t="s">
        <v>42</v>
      </c>
      <c r="J835" s="5" t="s">
        <v>43</v>
      </c>
      <c r="K835" s="5">
        <v>8.7733785699E10</v>
      </c>
      <c r="L835" s="4" t="s">
        <v>44</v>
      </c>
      <c r="M835" s="5" t="s">
        <v>42</v>
      </c>
      <c r="N835" s="4" t="s">
        <v>45</v>
      </c>
      <c r="O835" s="4" t="s">
        <v>46</v>
      </c>
      <c r="P835" s="4" t="s">
        <v>47</v>
      </c>
      <c r="Q835" s="4">
        <v>16451.0</v>
      </c>
      <c r="R835" s="5" t="s">
        <v>4965</v>
      </c>
      <c r="S835" s="8">
        <v>46189.0</v>
      </c>
      <c r="T835" s="9">
        <v>0.375</v>
      </c>
      <c r="U835" s="9">
        <v>0.9166666666666666</v>
      </c>
      <c r="V835" s="4" t="s">
        <v>49</v>
      </c>
      <c r="W835" s="5">
        <v>1.0</v>
      </c>
      <c r="X835" s="5" t="b">
        <v>1</v>
      </c>
      <c r="Y835" s="5" t="s">
        <v>50</v>
      </c>
      <c r="Z835" s="5" t="b">
        <v>0</v>
      </c>
      <c r="AA835" s="10"/>
      <c r="AB835" s="4">
        <v>1.0</v>
      </c>
      <c r="AC835" s="11" t="s">
        <v>4966</v>
      </c>
      <c r="AD835" s="5">
        <v>0.0</v>
      </c>
      <c r="AE835" s="5">
        <v>1.0</v>
      </c>
      <c r="AF835" s="8">
        <v>46189.0</v>
      </c>
      <c r="AG835" s="9">
        <v>0.375</v>
      </c>
      <c r="AH835" s="9">
        <v>0.9166666666666666</v>
      </c>
      <c r="AI835" s="4" t="s">
        <v>49</v>
      </c>
      <c r="AJ835" s="5" t="s">
        <v>4967</v>
      </c>
      <c r="AK835" s="12"/>
      <c r="AL835" s="12"/>
      <c r="AM835" s="12"/>
      <c r="AN835" s="12"/>
      <c r="AO835" s="12"/>
      <c r="AP835" s="12"/>
      <c r="AQ835" s="12"/>
    </row>
    <row r="836">
      <c r="A836" s="5" t="s">
        <v>4968</v>
      </c>
      <c r="B836" s="5">
        <v>1.1398423E7</v>
      </c>
      <c r="C836" s="5" t="s">
        <v>37</v>
      </c>
      <c r="D836" s="5" t="s">
        <v>4807</v>
      </c>
      <c r="E836" s="5" t="s">
        <v>39</v>
      </c>
      <c r="F836" s="5" t="s">
        <v>4969</v>
      </c>
      <c r="G836" s="15">
        <v>6.21315E16</v>
      </c>
      <c r="H836" s="5" t="s">
        <v>4901</v>
      </c>
      <c r="I836" s="5" t="s">
        <v>42</v>
      </c>
      <c r="J836" s="5" t="s">
        <v>43</v>
      </c>
      <c r="K836" s="5">
        <v>8.7733785699E10</v>
      </c>
      <c r="L836" s="4" t="s">
        <v>44</v>
      </c>
      <c r="M836" s="5" t="s">
        <v>42</v>
      </c>
      <c r="N836" s="4" t="s">
        <v>45</v>
      </c>
      <c r="O836" s="4" t="s">
        <v>46</v>
      </c>
      <c r="P836" s="4" t="s">
        <v>47</v>
      </c>
      <c r="Q836" s="4">
        <v>16451.0</v>
      </c>
      <c r="R836" s="5" t="s">
        <v>4970</v>
      </c>
      <c r="S836" s="8">
        <v>46189.0</v>
      </c>
      <c r="T836" s="9">
        <v>0.375</v>
      </c>
      <c r="U836" s="9">
        <v>0.9166666666666666</v>
      </c>
      <c r="V836" s="4" t="s">
        <v>49</v>
      </c>
      <c r="W836" s="5">
        <v>1.0</v>
      </c>
      <c r="X836" s="5" t="b">
        <v>1</v>
      </c>
      <c r="Y836" s="5" t="s">
        <v>50</v>
      </c>
      <c r="Z836" s="5" t="b">
        <v>0</v>
      </c>
      <c r="AA836" s="10"/>
      <c r="AB836" s="4">
        <v>1.0</v>
      </c>
      <c r="AC836" s="11" t="s">
        <v>4971</v>
      </c>
      <c r="AD836" s="5">
        <v>0.0</v>
      </c>
      <c r="AE836" s="5">
        <v>1.0</v>
      </c>
      <c r="AF836" s="8">
        <v>46189.0</v>
      </c>
      <c r="AG836" s="9">
        <v>0.375</v>
      </c>
      <c r="AH836" s="9">
        <v>0.9166666666666666</v>
      </c>
      <c r="AI836" s="4" t="s">
        <v>49</v>
      </c>
      <c r="AJ836" s="5" t="s">
        <v>4972</v>
      </c>
      <c r="AK836" s="12"/>
      <c r="AL836" s="12"/>
      <c r="AM836" s="12"/>
      <c r="AN836" s="12"/>
      <c r="AO836" s="12"/>
      <c r="AP836" s="12"/>
      <c r="AQ836" s="12"/>
    </row>
    <row r="837">
      <c r="A837" s="5" t="s">
        <v>4973</v>
      </c>
      <c r="B837" s="5">
        <v>1.1398423E7</v>
      </c>
      <c r="C837" s="5" t="s">
        <v>37</v>
      </c>
      <c r="D837" s="5" t="s">
        <v>4807</v>
      </c>
      <c r="E837" s="5" t="s">
        <v>39</v>
      </c>
      <c r="F837" s="5" t="s">
        <v>4974</v>
      </c>
      <c r="G837" s="15">
        <v>6.21315E16</v>
      </c>
      <c r="H837" s="5" t="s">
        <v>4901</v>
      </c>
      <c r="I837" s="5" t="s">
        <v>42</v>
      </c>
      <c r="J837" s="5" t="s">
        <v>43</v>
      </c>
      <c r="K837" s="5">
        <v>8.7733785699E10</v>
      </c>
      <c r="L837" s="4" t="s">
        <v>44</v>
      </c>
      <c r="M837" s="5" t="s">
        <v>42</v>
      </c>
      <c r="N837" s="4" t="s">
        <v>45</v>
      </c>
      <c r="O837" s="4" t="s">
        <v>46</v>
      </c>
      <c r="P837" s="4" t="s">
        <v>47</v>
      </c>
      <c r="Q837" s="4">
        <v>16451.0</v>
      </c>
      <c r="R837" s="5" t="s">
        <v>4975</v>
      </c>
      <c r="S837" s="8">
        <v>46189.0</v>
      </c>
      <c r="T837" s="9">
        <v>0.375</v>
      </c>
      <c r="U837" s="9">
        <v>0.9166666666666666</v>
      </c>
      <c r="V837" s="4" t="s">
        <v>49</v>
      </c>
      <c r="W837" s="5">
        <v>1.0</v>
      </c>
      <c r="X837" s="5" t="b">
        <v>1</v>
      </c>
      <c r="Y837" s="5" t="s">
        <v>50</v>
      </c>
      <c r="Z837" s="5" t="b">
        <v>0</v>
      </c>
      <c r="AA837" s="10"/>
      <c r="AB837" s="4">
        <v>1.0</v>
      </c>
      <c r="AC837" s="11" t="s">
        <v>4976</v>
      </c>
      <c r="AD837" s="5">
        <v>0.0</v>
      </c>
      <c r="AE837" s="5">
        <v>1.0</v>
      </c>
      <c r="AF837" s="8">
        <v>46189.0</v>
      </c>
      <c r="AG837" s="9">
        <v>0.375</v>
      </c>
      <c r="AH837" s="9">
        <v>0.9166666666666666</v>
      </c>
      <c r="AI837" s="4" t="s">
        <v>49</v>
      </c>
      <c r="AJ837" s="5" t="s">
        <v>4977</v>
      </c>
      <c r="AK837" s="12"/>
      <c r="AL837" s="12"/>
      <c r="AM837" s="12"/>
      <c r="AN837" s="12"/>
      <c r="AO837" s="12"/>
      <c r="AP837" s="12"/>
      <c r="AQ837" s="12"/>
    </row>
    <row r="838">
      <c r="A838" s="5" t="s">
        <v>4978</v>
      </c>
      <c r="B838" s="5">
        <v>1.1398423E7</v>
      </c>
      <c r="C838" s="5" t="s">
        <v>37</v>
      </c>
      <c r="D838" s="5" t="s">
        <v>4807</v>
      </c>
      <c r="E838" s="5" t="s">
        <v>39</v>
      </c>
      <c r="F838" s="5" t="s">
        <v>4979</v>
      </c>
      <c r="G838" s="15">
        <v>6.21315E16</v>
      </c>
      <c r="H838" s="5" t="s">
        <v>4901</v>
      </c>
      <c r="I838" s="5" t="s">
        <v>42</v>
      </c>
      <c r="J838" s="5" t="s">
        <v>43</v>
      </c>
      <c r="K838" s="5">
        <v>8.7733785699E10</v>
      </c>
      <c r="L838" s="4" t="s">
        <v>44</v>
      </c>
      <c r="M838" s="5" t="s">
        <v>42</v>
      </c>
      <c r="N838" s="4" t="s">
        <v>45</v>
      </c>
      <c r="O838" s="4" t="s">
        <v>46</v>
      </c>
      <c r="P838" s="4" t="s">
        <v>47</v>
      </c>
      <c r="Q838" s="4">
        <v>16451.0</v>
      </c>
      <c r="R838" s="5" t="s">
        <v>4980</v>
      </c>
      <c r="S838" s="8">
        <v>46189.0</v>
      </c>
      <c r="T838" s="9">
        <v>0.375</v>
      </c>
      <c r="U838" s="9">
        <v>0.9166666666666666</v>
      </c>
      <c r="V838" s="4" t="s">
        <v>49</v>
      </c>
      <c r="W838" s="5">
        <v>1.0</v>
      </c>
      <c r="X838" s="5" t="b">
        <v>1</v>
      </c>
      <c r="Y838" s="5" t="s">
        <v>50</v>
      </c>
      <c r="Z838" s="5" t="b">
        <v>0</v>
      </c>
      <c r="AA838" s="10"/>
      <c r="AB838" s="4">
        <v>1.0</v>
      </c>
      <c r="AC838" s="11" t="s">
        <v>4981</v>
      </c>
      <c r="AD838" s="5">
        <v>0.0</v>
      </c>
      <c r="AE838" s="5">
        <v>1.0</v>
      </c>
      <c r="AF838" s="8">
        <v>46189.0</v>
      </c>
      <c r="AG838" s="9">
        <v>0.375</v>
      </c>
      <c r="AH838" s="9">
        <v>0.9166666666666666</v>
      </c>
      <c r="AI838" s="4" t="s">
        <v>49</v>
      </c>
      <c r="AJ838" s="5" t="s">
        <v>4982</v>
      </c>
      <c r="AK838" s="12"/>
      <c r="AL838" s="12"/>
      <c r="AM838" s="12"/>
      <c r="AN838" s="12"/>
      <c r="AO838" s="12"/>
      <c r="AP838" s="12"/>
      <c r="AQ838" s="12"/>
    </row>
    <row r="839">
      <c r="A839" s="5" t="s">
        <v>4983</v>
      </c>
      <c r="B839" s="5">
        <v>1.1398423E7</v>
      </c>
      <c r="C839" s="5" t="s">
        <v>37</v>
      </c>
      <c r="D839" s="5" t="s">
        <v>4807</v>
      </c>
      <c r="E839" s="5" t="s">
        <v>39</v>
      </c>
      <c r="F839" s="5" t="s">
        <v>4984</v>
      </c>
      <c r="G839" s="15">
        <v>6.21315E16</v>
      </c>
      <c r="H839" s="5" t="s">
        <v>4901</v>
      </c>
      <c r="I839" s="5" t="s">
        <v>42</v>
      </c>
      <c r="J839" s="5" t="s">
        <v>43</v>
      </c>
      <c r="K839" s="5">
        <v>8.7733785699E10</v>
      </c>
      <c r="L839" s="4" t="s">
        <v>44</v>
      </c>
      <c r="M839" s="5" t="s">
        <v>42</v>
      </c>
      <c r="N839" s="4" t="s">
        <v>45</v>
      </c>
      <c r="O839" s="4" t="s">
        <v>46</v>
      </c>
      <c r="P839" s="4" t="s">
        <v>47</v>
      </c>
      <c r="Q839" s="4">
        <v>16451.0</v>
      </c>
      <c r="R839" s="5" t="s">
        <v>4985</v>
      </c>
      <c r="S839" s="8">
        <v>46189.0</v>
      </c>
      <c r="T839" s="9">
        <v>0.375</v>
      </c>
      <c r="U839" s="9">
        <v>0.9166666666666666</v>
      </c>
      <c r="V839" s="4" t="s">
        <v>49</v>
      </c>
      <c r="W839" s="5">
        <v>1.0</v>
      </c>
      <c r="X839" s="5" t="b">
        <v>1</v>
      </c>
      <c r="Y839" s="5" t="s">
        <v>50</v>
      </c>
      <c r="Z839" s="5" t="b">
        <v>0</v>
      </c>
      <c r="AA839" s="10"/>
      <c r="AB839" s="4">
        <v>1.0</v>
      </c>
      <c r="AC839" s="11" t="s">
        <v>4986</v>
      </c>
      <c r="AD839" s="5">
        <v>0.0</v>
      </c>
      <c r="AE839" s="5">
        <v>1.0</v>
      </c>
      <c r="AF839" s="8">
        <v>46189.0</v>
      </c>
      <c r="AG839" s="9">
        <v>0.375</v>
      </c>
      <c r="AH839" s="9">
        <v>0.9166666666666666</v>
      </c>
      <c r="AI839" s="4" t="s">
        <v>49</v>
      </c>
      <c r="AJ839" s="5" t="s">
        <v>4987</v>
      </c>
      <c r="AK839" s="12"/>
      <c r="AL839" s="12"/>
      <c r="AM839" s="12"/>
      <c r="AN839" s="12"/>
      <c r="AO839" s="12"/>
      <c r="AP839" s="12"/>
      <c r="AQ839" s="12"/>
    </row>
    <row r="840">
      <c r="A840" s="5" t="s">
        <v>4988</v>
      </c>
      <c r="B840" s="5">
        <v>1.1398423E7</v>
      </c>
      <c r="C840" s="5" t="s">
        <v>37</v>
      </c>
      <c r="D840" s="5" t="s">
        <v>4807</v>
      </c>
      <c r="E840" s="5" t="s">
        <v>39</v>
      </c>
      <c r="F840" s="5" t="s">
        <v>4989</v>
      </c>
      <c r="G840" s="15">
        <v>6.21315E16</v>
      </c>
      <c r="H840" s="5" t="s">
        <v>4901</v>
      </c>
      <c r="I840" s="5" t="s">
        <v>42</v>
      </c>
      <c r="J840" s="5" t="s">
        <v>43</v>
      </c>
      <c r="K840" s="5">
        <v>8.7733785699E10</v>
      </c>
      <c r="L840" s="4" t="s">
        <v>44</v>
      </c>
      <c r="M840" s="5" t="s">
        <v>42</v>
      </c>
      <c r="N840" s="4" t="s">
        <v>45</v>
      </c>
      <c r="O840" s="4" t="s">
        <v>46</v>
      </c>
      <c r="P840" s="4" t="s">
        <v>47</v>
      </c>
      <c r="Q840" s="4">
        <v>16451.0</v>
      </c>
      <c r="R840" s="5" t="s">
        <v>4990</v>
      </c>
      <c r="S840" s="8">
        <v>46189.0</v>
      </c>
      <c r="T840" s="9">
        <v>0.375</v>
      </c>
      <c r="U840" s="9">
        <v>0.9166666666666666</v>
      </c>
      <c r="V840" s="4" t="s">
        <v>49</v>
      </c>
      <c r="W840" s="5">
        <v>1.0</v>
      </c>
      <c r="X840" s="5" t="b">
        <v>1</v>
      </c>
      <c r="Y840" s="5" t="s">
        <v>50</v>
      </c>
      <c r="Z840" s="5" t="b">
        <v>0</v>
      </c>
      <c r="AA840" s="10"/>
      <c r="AB840" s="4">
        <v>1.0</v>
      </c>
      <c r="AC840" s="11" t="s">
        <v>4991</v>
      </c>
      <c r="AD840" s="5">
        <v>0.0</v>
      </c>
      <c r="AE840" s="5">
        <v>1.0</v>
      </c>
      <c r="AF840" s="8">
        <v>46189.0</v>
      </c>
      <c r="AG840" s="9">
        <v>0.375</v>
      </c>
      <c r="AH840" s="9">
        <v>0.9166666666666666</v>
      </c>
      <c r="AI840" s="4" t="s">
        <v>49</v>
      </c>
      <c r="AJ840" s="5" t="s">
        <v>4992</v>
      </c>
      <c r="AK840" s="12"/>
      <c r="AL840" s="12"/>
      <c r="AM840" s="12"/>
      <c r="AN840" s="12"/>
      <c r="AO840" s="12"/>
      <c r="AP840" s="12"/>
      <c r="AQ840" s="12"/>
    </row>
    <row r="841">
      <c r="A841" s="5" t="s">
        <v>4993</v>
      </c>
      <c r="B841" s="5">
        <v>1.1398423E7</v>
      </c>
      <c r="C841" s="5" t="s">
        <v>37</v>
      </c>
      <c r="D841" s="5" t="s">
        <v>4807</v>
      </c>
      <c r="E841" s="5" t="s">
        <v>39</v>
      </c>
      <c r="F841" s="5" t="s">
        <v>270</v>
      </c>
      <c r="G841" s="15">
        <v>6.21315E16</v>
      </c>
      <c r="H841" s="5" t="s">
        <v>4901</v>
      </c>
      <c r="I841" s="5" t="s">
        <v>42</v>
      </c>
      <c r="J841" s="5" t="s">
        <v>43</v>
      </c>
      <c r="K841" s="5">
        <v>8.7733785699E10</v>
      </c>
      <c r="L841" s="4" t="s">
        <v>44</v>
      </c>
      <c r="M841" s="5" t="s">
        <v>42</v>
      </c>
      <c r="N841" s="4" t="s">
        <v>45</v>
      </c>
      <c r="O841" s="4" t="s">
        <v>46</v>
      </c>
      <c r="P841" s="4" t="s">
        <v>47</v>
      </c>
      <c r="Q841" s="4">
        <v>16451.0</v>
      </c>
      <c r="R841" s="5" t="s">
        <v>4994</v>
      </c>
      <c r="S841" s="8">
        <v>46189.0</v>
      </c>
      <c r="T841" s="9">
        <v>0.375</v>
      </c>
      <c r="U841" s="9">
        <v>0.9166666666666666</v>
      </c>
      <c r="V841" s="4" t="s">
        <v>49</v>
      </c>
      <c r="W841" s="5">
        <v>1.0</v>
      </c>
      <c r="X841" s="5" t="b">
        <v>1</v>
      </c>
      <c r="Y841" s="5" t="s">
        <v>50</v>
      </c>
      <c r="Z841" s="5" t="b">
        <v>0</v>
      </c>
      <c r="AA841" s="10"/>
      <c r="AB841" s="4">
        <v>1.0</v>
      </c>
      <c r="AC841" s="11" t="s">
        <v>4995</v>
      </c>
      <c r="AD841" s="5">
        <v>0.0</v>
      </c>
      <c r="AE841" s="5">
        <v>1.0</v>
      </c>
      <c r="AF841" s="8">
        <v>46189.0</v>
      </c>
      <c r="AG841" s="9">
        <v>0.375</v>
      </c>
      <c r="AH841" s="9">
        <v>0.9166666666666666</v>
      </c>
      <c r="AI841" s="4" t="s">
        <v>49</v>
      </c>
      <c r="AJ841" s="5" t="s">
        <v>4996</v>
      </c>
      <c r="AK841" s="12"/>
      <c r="AL841" s="12"/>
      <c r="AM841" s="12"/>
      <c r="AN841" s="12"/>
      <c r="AO841" s="12"/>
      <c r="AP841" s="12"/>
      <c r="AQ841" s="12"/>
    </row>
    <row r="842">
      <c r="A842" s="5" t="s">
        <v>4997</v>
      </c>
      <c r="B842" s="5">
        <v>1.1398423E7</v>
      </c>
      <c r="C842" s="5" t="s">
        <v>37</v>
      </c>
      <c r="D842" s="5" t="s">
        <v>4807</v>
      </c>
      <c r="E842" s="5" t="s">
        <v>39</v>
      </c>
      <c r="F842" s="5" t="s">
        <v>4998</v>
      </c>
      <c r="G842" s="15">
        <v>6.21315E16</v>
      </c>
      <c r="H842" s="5" t="s">
        <v>4901</v>
      </c>
      <c r="I842" s="5" t="s">
        <v>42</v>
      </c>
      <c r="J842" s="5" t="s">
        <v>43</v>
      </c>
      <c r="K842" s="5">
        <v>8.7733785699E10</v>
      </c>
      <c r="L842" s="4" t="s">
        <v>44</v>
      </c>
      <c r="M842" s="5" t="s">
        <v>42</v>
      </c>
      <c r="N842" s="4" t="s">
        <v>45</v>
      </c>
      <c r="O842" s="4" t="s">
        <v>46</v>
      </c>
      <c r="P842" s="4" t="s">
        <v>47</v>
      </c>
      <c r="Q842" s="4">
        <v>16451.0</v>
      </c>
      <c r="R842" s="5" t="s">
        <v>4999</v>
      </c>
      <c r="S842" s="8">
        <v>46189.0</v>
      </c>
      <c r="T842" s="9">
        <v>0.375</v>
      </c>
      <c r="U842" s="9">
        <v>0.9166666666666666</v>
      </c>
      <c r="V842" s="4" t="s">
        <v>49</v>
      </c>
      <c r="W842" s="5">
        <v>1.0</v>
      </c>
      <c r="X842" s="5" t="b">
        <v>1</v>
      </c>
      <c r="Y842" s="5" t="s">
        <v>50</v>
      </c>
      <c r="Z842" s="5" t="b">
        <v>0</v>
      </c>
      <c r="AA842" s="10"/>
      <c r="AB842" s="4">
        <v>1.0</v>
      </c>
      <c r="AC842" s="11" t="s">
        <v>5000</v>
      </c>
      <c r="AD842" s="5">
        <v>0.0</v>
      </c>
      <c r="AE842" s="5">
        <v>1.0</v>
      </c>
      <c r="AF842" s="8">
        <v>46189.0</v>
      </c>
      <c r="AG842" s="9">
        <v>0.375</v>
      </c>
      <c r="AH842" s="9">
        <v>0.9166666666666666</v>
      </c>
      <c r="AI842" s="4" t="s">
        <v>49</v>
      </c>
      <c r="AJ842" s="5" t="s">
        <v>5001</v>
      </c>
      <c r="AK842" s="12"/>
      <c r="AL842" s="12"/>
      <c r="AM842" s="12"/>
      <c r="AN842" s="12"/>
      <c r="AO842" s="12"/>
      <c r="AP842" s="12"/>
      <c r="AQ842" s="12"/>
    </row>
    <row r="843">
      <c r="A843" s="5" t="s">
        <v>5002</v>
      </c>
      <c r="B843" s="5">
        <v>1.1398423E7</v>
      </c>
      <c r="C843" s="5" t="s">
        <v>37</v>
      </c>
      <c r="D843" s="5" t="s">
        <v>4807</v>
      </c>
      <c r="E843" s="5" t="s">
        <v>39</v>
      </c>
      <c r="F843" s="5" t="s">
        <v>5003</v>
      </c>
      <c r="G843" s="15">
        <v>6.21315E16</v>
      </c>
      <c r="H843" s="5" t="s">
        <v>4901</v>
      </c>
      <c r="I843" s="5" t="s">
        <v>42</v>
      </c>
      <c r="J843" s="5" t="s">
        <v>43</v>
      </c>
      <c r="K843" s="5">
        <v>8.7733785699E10</v>
      </c>
      <c r="L843" s="4" t="s">
        <v>44</v>
      </c>
      <c r="M843" s="5" t="s">
        <v>42</v>
      </c>
      <c r="N843" s="4" t="s">
        <v>45</v>
      </c>
      <c r="O843" s="4" t="s">
        <v>46</v>
      </c>
      <c r="P843" s="4" t="s">
        <v>47</v>
      </c>
      <c r="Q843" s="4">
        <v>16451.0</v>
      </c>
      <c r="R843" s="5" t="s">
        <v>5004</v>
      </c>
      <c r="S843" s="8">
        <v>46189.0</v>
      </c>
      <c r="T843" s="9">
        <v>0.375</v>
      </c>
      <c r="U843" s="9">
        <v>0.9166666666666666</v>
      </c>
      <c r="V843" s="4" t="s">
        <v>49</v>
      </c>
      <c r="W843" s="5">
        <v>1.0</v>
      </c>
      <c r="X843" s="5" t="b">
        <v>1</v>
      </c>
      <c r="Y843" s="5" t="s">
        <v>50</v>
      </c>
      <c r="Z843" s="5" t="b">
        <v>0</v>
      </c>
      <c r="AA843" s="10"/>
      <c r="AB843" s="4">
        <v>1.0</v>
      </c>
      <c r="AC843" s="11" t="s">
        <v>5005</v>
      </c>
      <c r="AD843" s="5">
        <v>0.0</v>
      </c>
      <c r="AE843" s="5">
        <v>1.0</v>
      </c>
      <c r="AF843" s="8">
        <v>46189.0</v>
      </c>
      <c r="AG843" s="9">
        <v>0.375</v>
      </c>
      <c r="AH843" s="9">
        <v>0.9166666666666666</v>
      </c>
      <c r="AI843" s="4" t="s">
        <v>49</v>
      </c>
      <c r="AJ843" s="5" t="s">
        <v>5006</v>
      </c>
      <c r="AK843" s="12"/>
      <c r="AL843" s="12"/>
      <c r="AM843" s="12"/>
      <c r="AN843" s="12"/>
      <c r="AO843" s="12"/>
      <c r="AP843" s="12"/>
      <c r="AQ843" s="12"/>
    </row>
    <row r="844">
      <c r="A844" s="5" t="s">
        <v>5007</v>
      </c>
      <c r="B844" s="5">
        <v>1.1398423E7</v>
      </c>
      <c r="C844" s="5" t="s">
        <v>37</v>
      </c>
      <c r="D844" s="5" t="s">
        <v>4807</v>
      </c>
      <c r="E844" s="5" t="s">
        <v>39</v>
      </c>
      <c r="F844" s="5" t="s">
        <v>4515</v>
      </c>
      <c r="G844" s="15">
        <v>6.21315E16</v>
      </c>
      <c r="H844" s="5" t="s">
        <v>4901</v>
      </c>
      <c r="I844" s="5" t="s">
        <v>42</v>
      </c>
      <c r="J844" s="5" t="s">
        <v>43</v>
      </c>
      <c r="K844" s="5">
        <v>8.7733785699E10</v>
      </c>
      <c r="L844" s="4" t="s">
        <v>44</v>
      </c>
      <c r="M844" s="5" t="s">
        <v>42</v>
      </c>
      <c r="N844" s="4" t="s">
        <v>45</v>
      </c>
      <c r="O844" s="4" t="s">
        <v>46</v>
      </c>
      <c r="P844" s="4" t="s">
        <v>47</v>
      </c>
      <c r="Q844" s="4">
        <v>16451.0</v>
      </c>
      <c r="R844" s="5" t="s">
        <v>5008</v>
      </c>
      <c r="S844" s="8">
        <v>46189.0</v>
      </c>
      <c r="T844" s="9">
        <v>0.375</v>
      </c>
      <c r="U844" s="9">
        <v>0.9166666666666666</v>
      </c>
      <c r="V844" s="4" t="s">
        <v>49</v>
      </c>
      <c r="W844" s="5">
        <v>1.0</v>
      </c>
      <c r="X844" s="5" t="b">
        <v>1</v>
      </c>
      <c r="Y844" s="5" t="s">
        <v>50</v>
      </c>
      <c r="Z844" s="5" t="b">
        <v>0</v>
      </c>
      <c r="AA844" s="10"/>
      <c r="AB844" s="4">
        <v>1.0</v>
      </c>
      <c r="AC844" s="11" t="s">
        <v>5009</v>
      </c>
      <c r="AD844" s="5">
        <v>0.0</v>
      </c>
      <c r="AE844" s="5">
        <v>1.0</v>
      </c>
      <c r="AF844" s="8">
        <v>46189.0</v>
      </c>
      <c r="AG844" s="9">
        <v>0.375</v>
      </c>
      <c r="AH844" s="9">
        <v>0.9166666666666666</v>
      </c>
      <c r="AI844" s="4" t="s">
        <v>49</v>
      </c>
      <c r="AJ844" s="5" t="s">
        <v>5010</v>
      </c>
      <c r="AK844" s="12"/>
      <c r="AL844" s="12"/>
      <c r="AM844" s="12"/>
      <c r="AN844" s="12"/>
      <c r="AO844" s="12"/>
      <c r="AP844" s="12"/>
      <c r="AQ844" s="12"/>
    </row>
    <row r="845">
      <c r="A845" s="5" t="s">
        <v>5011</v>
      </c>
      <c r="B845" s="5">
        <v>1.1398423E7</v>
      </c>
      <c r="C845" s="5" t="s">
        <v>37</v>
      </c>
      <c r="D845" s="5" t="s">
        <v>4807</v>
      </c>
      <c r="E845" s="5" t="s">
        <v>39</v>
      </c>
      <c r="F845" s="5" t="s">
        <v>306</v>
      </c>
      <c r="G845" s="15">
        <v>6.21315E16</v>
      </c>
      <c r="H845" s="5" t="s">
        <v>4901</v>
      </c>
      <c r="I845" s="5" t="s">
        <v>42</v>
      </c>
      <c r="J845" s="5" t="s">
        <v>43</v>
      </c>
      <c r="K845" s="5">
        <v>8.7733785699E10</v>
      </c>
      <c r="L845" s="4" t="s">
        <v>44</v>
      </c>
      <c r="M845" s="5" t="s">
        <v>42</v>
      </c>
      <c r="N845" s="4" t="s">
        <v>45</v>
      </c>
      <c r="O845" s="4" t="s">
        <v>46</v>
      </c>
      <c r="P845" s="4" t="s">
        <v>47</v>
      </c>
      <c r="Q845" s="4">
        <v>16451.0</v>
      </c>
      <c r="R845" s="5" t="s">
        <v>5012</v>
      </c>
      <c r="S845" s="8">
        <v>46189.0</v>
      </c>
      <c r="T845" s="9">
        <v>0.375</v>
      </c>
      <c r="U845" s="9">
        <v>0.9166666666666666</v>
      </c>
      <c r="V845" s="4" t="s">
        <v>49</v>
      </c>
      <c r="W845" s="5">
        <v>1.0</v>
      </c>
      <c r="X845" s="5" t="b">
        <v>1</v>
      </c>
      <c r="Y845" s="5" t="s">
        <v>50</v>
      </c>
      <c r="Z845" s="5" t="b">
        <v>0</v>
      </c>
      <c r="AA845" s="10"/>
      <c r="AB845" s="4">
        <v>1.0</v>
      </c>
      <c r="AC845" s="11" t="s">
        <v>5013</v>
      </c>
      <c r="AD845" s="5">
        <v>0.0</v>
      </c>
      <c r="AE845" s="5">
        <v>1.0</v>
      </c>
      <c r="AF845" s="8">
        <v>46189.0</v>
      </c>
      <c r="AG845" s="9">
        <v>0.375</v>
      </c>
      <c r="AH845" s="9">
        <v>0.9166666666666666</v>
      </c>
      <c r="AI845" s="4" t="s">
        <v>49</v>
      </c>
      <c r="AJ845" s="5" t="s">
        <v>5014</v>
      </c>
      <c r="AK845" s="12"/>
      <c r="AL845" s="12"/>
      <c r="AM845" s="12"/>
      <c r="AN845" s="12"/>
      <c r="AO845" s="12"/>
      <c r="AP845" s="12"/>
      <c r="AQ845" s="12"/>
    </row>
    <row r="846">
      <c r="A846" s="5" t="s">
        <v>5015</v>
      </c>
      <c r="B846" s="5">
        <v>1.1398423E7</v>
      </c>
      <c r="C846" s="5" t="s">
        <v>37</v>
      </c>
      <c r="D846" s="5" t="s">
        <v>4807</v>
      </c>
      <c r="E846" s="5" t="s">
        <v>39</v>
      </c>
      <c r="F846" s="5" t="s">
        <v>246</v>
      </c>
      <c r="G846" s="15">
        <v>6.21315E16</v>
      </c>
      <c r="H846" s="5" t="s">
        <v>4901</v>
      </c>
      <c r="I846" s="5" t="s">
        <v>42</v>
      </c>
      <c r="J846" s="5" t="s">
        <v>43</v>
      </c>
      <c r="K846" s="5">
        <v>8.7733785699E10</v>
      </c>
      <c r="L846" s="4" t="s">
        <v>44</v>
      </c>
      <c r="M846" s="5" t="s">
        <v>42</v>
      </c>
      <c r="N846" s="4" t="s">
        <v>45</v>
      </c>
      <c r="O846" s="4" t="s">
        <v>46</v>
      </c>
      <c r="P846" s="4" t="s">
        <v>47</v>
      </c>
      <c r="Q846" s="4">
        <v>16451.0</v>
      </c>
      <c r="R846" s="5" t="s">
        <v>5016</v>
      </c>
      <c r="S846" s="8">
        <v>46189.0</v>
      </c>
      <c r="T846" s="9">
        <v>0.375</v>
      </c>
      <c r="U846" s="9">
        <v>0.9166666666666666</v>
      </c>
      <c r="V846" s="4" t="s">
        <v>49</v>
      </c>
      <c r="W846" s="5">
        <v>1.0</v>
      </c>
      <c r="X846" s="5" t="b">
        <v>1</v>
      </c>
      <c r="Y846" s="5" t="s">
        <v>50</v>
      </c>
      <c r="Z846" s="5" t="b">
        <v>0</v>
      </c>
      <c r="AA846" s="10"/>
      <c r="AB846" s="4">
        <v>1.0</v>
      </c>
      <c r="AC846" s="11" t="s">
        <v>5017</v>
      </c>
      <c r="AD846" s="5">
        <v>0.0</v>
      </c>
      <c r="AE846" s="5">
        <v>1.0</v>
      </c>
      <c r="AF846" s="8">
        <v>46189.0</v>
      </c>
      <c r="AG846" s="9">
        <v>0.375</v>
      </c>
      <c r="AH846" s="9">
        <v>0.9166666666666666</v>
      </c>
      <c r="AI846" s="4" t="s">
        <v>49</v>
      </c>
      <c r="AJ846" s="5" t="s">
        <v>5018</v>
      </c>
      <c r="AK846" s="12"/>
      <c r="AL846" s="12"/>
      <c r="AM846" s="12"/>
      <c r="AN846" s="12"/>
      <c r="AO846" s="12"/>
      <c r="AP846" s="12"/>
      <c r="AQ846" s="12"/>
    </row>
    <row r="847">
      <c r="A847" s="5" t="s">
        <v>5019</v>
      </c>
      <c r="B847" s="5">
        <v>1.1398423E7</v>
      </c>
      <c r="C847" s="5" t="s">
        <v>37</v>
      </c>
      <c r="D847" s="5" t="s">
        <v>4807</v>
      </c>
      <c r="E847" s="5" t="s">
        <v>39</v>
      </c>
      <c r="F847" s="5" t="s">
        <v>5020</v>
      </c>
      <c r="G847" s="15">
        <v>6.21315E16</v>
      </c>
      <c r="H847" s="5" t="s">
        <v>4901</v>
      </c>
      <c r="I847" s="5" t="s">
        <v>42</v>
      </c>
      <c r="J847" s="5" t="s">
        <v>43</v>
      </c>
      <c r="K847" s="5">
        <v>8.7733785699E10</v>
      </c>
      <c r="L847" s="4" t="s">
        <v>44</v>
      </c>
      <c r="M847" s="5" t="s">
        <v>42</v>
      </c>
      <c r="N847" s="4" t="s">
        <v>45</v>
      </c>
      <c r="O847" s="4" t="s">
        <v>46</v>
      </c>
      <c r="P847" s="4" t="s">
        <v>47</v>
      </c>
      <c r="Q847" s="4">
        <v>16451.0</v>
      </c>
      <c r="R847" s="5" t="s">
        <v>5021</v>
      </c>
      <c r="S847" s="8">
        <v>46189.0</v>
      </c>
      <c r="T847" s="9">
        <v>0.375</v>
      </c>
      <c r="U847" s="9">
        <v>0.9166666666666666</v>
      </c>
      <c r="V847" s="4" t="s">
        <v>49</v>
      </c>
      <c r="W847" s="5">
        <v>1.0</v>
      </c>
      <c r="X847" s="5" t="b">
        <v>1</v>
      </c>
      <c r="Y847" s="5" t="s">
        <v>50</v>
      </c>
      <c r="Z847" s="5" t="b">
        <v>0</v>
      </c>
      <c r="AA847" s="10"/>
      <c r="AB847" s="4">
        <v>1.0</v>
      </c>
      <c r="AC847" s="11" t="s">
        <v>5022</v>
      </c>
      <c r="AD847" s="5">
        <v>0.0</v>
      </c>
      <c r="AE847" s="5">
        <v>1.0</v>
      </c>
      <c r="AF847" s="8">
        <v>46189.0</v>
      </c>
      <c r="AG847" s="9">
        <v>0.375</v>
      </c>
      <c r="AH847" s="9">
        <v>0.9166666666666666</v>
      </c>
      <c r="AI847" s="4" t="s">
        <v>49</v>
      </c>
      <c r="AJ847" s="5" t="s">
        <v>5023</v>
      </c>
      <c r="AK847" s="12"/>
      <c r="AL847" s="12"/>
      <c r="AM847" s="12"/>
      <c r="AN847" s="12"/>
      <c r="AO847" s="12"/>
      <c r="AP847" s="12"/>
      <c r="AQ847" s="12"/>
    </row>
    <row r="848">
      <c r="A848" s="5" t="s">
        <v>5024</v>
      </c>
      <c r="B848" s="5">
        <v>1.1398423E7</v>
      </c>
      <c r="C848" s="5" t="s">
        <v>37</v>
      </c>
      <c r="D848" s="5" t="s">
        <v>4807</v>
      </c>
      <c r="E848" s="5" t="s">
        <v>39</v>
      </c>
      <c r="F848" s="5" t="s">
        <v>4123</v>
      </c>
      <c r="G848" s="15">
        <v>6.21315E16</v>
      </c>
      <c r="H848" s="5" t="s">
        <v>4901</v>
      </c>
      <c r="I848" s="5" t="s">
        <v>42</v>
      </c>
      <c r="J848" s="5" t="s">
        <v>43</v>
      </c>
      <c r="K848" s="5">
        <v>8.7733785699E10</v>
      </c>
      <c r="L848" s="4" t="s">
        <v>44</v>
      </c>
      <c r="M848" s="5" t="s">
        <v>42</v>
      </c>
      <c r="N848" s="4" t="s">
        <v>45</v>
      </c>
      <c r="O848" s="4" t="s">
        <v>46</v>
      </c>
      <c r="P848" s="4" t="s">
        <v>47</v>
      </c>
      <c r="Q848" s="4">
        <v>16451.0</v>
      </c>
      <c r="R848" s="5" t="s">
        <v>5025</v>
      </c>
      <c r="S848" s="8">
        <v>46189.0</v>
      </c>
      <c r="T848" s="9">
        <v>0.375</v>
      </c>
      <c r="U848" s="9">
        <v>0.9166666666666666</v>
      </c>
      <c r="V848" s="4" t="s">
        <v>49</v>
      </c>
      <c r="W848" s="5">
        <v>1.0</v>
      </c>
      <c r="X848" s="5" t="b">
        <v>1</v>
      </c>
      <c r="Y848" s="5" t="s">
        <v>50</v>
      </c>
      <c r="Z848" s="5" t="b">
        <v>0</v>
      </c>
      <c r="AA848" s="10"/>
      <c r="AB848" s="4">
        <v>1.0</v>
      </c>
      <c r="AC848" s="11" t="s">
        <v>5026</v>
      </c>
      <c r="AD848" s="5">
        <v>0.0</v>
      </c>
      <c r="AE848" s="5">
        <v>1.0</v>
      </c>
      <c r="AF848" s="8">
        <v>46189.0</v>
      </c>
      <c r="AG848" s="9">
        <v>0.375</v>
      </c>
      <c r="AH848" s="9">
        <v>0.9166666666666666</v>
      </c>
      <c r="AI848" s="4" t="s">
        <v>49</v>
      </c>
      <c r="AJ848" s="5" t="s">
        <v>5027</v>
      </c>
      <c r="AK848" s="12"/>
      <c r="AL848" s="12"/>
      <c r="AM848" s="12"/>
      <c r="AN848" s="12"/>
      <c r="AO848" s="12"/>
      <c r="AP848" s="12"/>
      <c r="AQ848" s="12"/>
    </row>
    <row r="849">
      <c r="A849" s="5" t="s">
        <v>5028</v>
      </c>
      <c r="B849" s="5">
        <v>1.1398423E7</v>
      </c>
      <c r="C849" s="5" t="s">
        <v>37</v>
      </c>
      <c r="D849" s="5" t="s">
        <v>4807</v>
      </c>
      <c r="E849" s="5" t="s">
        <v>39</v>
      </c>
      <c r="F849" s="5" t="s">
        <v>5029</v>
      </c>
      <c r="G849" s="15">
        <v>6.21315E16</v>
      </c>
      <c r="H849" s="5" t="s">
        <v>4901</v>
      </c>
      <c r="I849" s="5" t="s">
        <v>42</v>
      </c>
      <c r="J849" s="5" t="s">
        <v>43</v>
      </c>
      <c r="K849" s="5">
        <v>8.7733785699E10</v>
      </c>
      <c r="L849" s="4" t="s">
        <v>44</v>
      </c>
      <c r="M849" s="5" t="s">
        <v>42</v>
      </c>
      <c r="N849" s="4" t="s">
        <v>45</v>
      </c>
      <c r="O849" s="4" t="s">
        <v>46</v>
      </c>
      <c r="P849" s="4" t="s">
        <v>47</v>
      </c>
      <c r="Q849" s="4">
        <v>16451.0</v>
      </c>
      <c r="R849" s="5" t="s">
        <v>5030</v>
      </c>
      <c r="S849" s="8">
        <v>46189.0</v>
      </c>
      <c r="T849" s="9">
        <v>0.375</v>
      </c>
      <c r="U849" s="9">
        <v>0.9166666666666666</v>
      </c>
      <c r="V849" s="4" t="s">
        <v>49</v>
      </c>
      <c r="W849" s="5">
        <v>1.0</v>
      </c>
      <c r="X849" s="5" t="b">
        <v>1</v>
      </c>
      <c r="Y849" s="5" t="s">
        <v>50</v>
      </c>
      <c r="Z849" s="5" t="b">
        <v>0</v>
      </c>
      <c r="AA849" s="10"/>
      <c r="AB849" s="4">
        <v>1.0</v>
      </c>
      <c r="AC849" s="11" t="s">
        <v>5031</v>
      </c>
      <c r="AD849" s="5">
        <v>0.0</v>
      </c>
      <c r="AE849" s="5">
        <v>1.0</v>
      </c>
      <c r="AF849" s="8">
        <v>46189.0</v>
      </c>
      <c r="AG849" s="9">
        <v>0.375</v>
      </c>
      <c r="AH849" s="9">
        <v>0.9166666666666666</v>
      </c>
      <c r="AI849" s="4" t="s">
        <v>49</v>
      </c>
      <c r="AJ849" s="5" t="s">
        <v>5032</v>
      </c>
      <c r="AK849" s="12"/>
      <c r="AL849" s="12"/>
      <c r="AM849" s="12"/>
      <c r="AN849" s="12"/>
      <c r="AO849" s="12"/>
      <c r="AP849" s="12"/>
      <c r="AQ849" s="12"/>
    </row>
    <row r="850">
      <c r="A850" s="5" t="s">
        <v>5033</v>
      </c>
      <c r="B850" s="5">
        <v>1.1398423E7</v>
      </c>
      <c r="C850" s="5" t="s">
        <v>37</v>
      </c>
      <c r="D850" s="5" t="s">
        <v>4807</v>
      </c>
      <c r="E850" s="5" t="s">
        <v>39</v>
      </c>
      <c r="F850" s="5" t="s">
        <v>5034</v>
      </c>
      <c r="G850" s="15">
        <v>6.21315E16</v>
      </c>
      <c r="H850" s="5" t="s">
        <v>4901</v>
      </c>
      <c r="I850" s="5" t="s">
        <v>42</v>
      </c>
      <c r="J850" s="5" t="s">
        <v>43</v>
      </c>
      <c r="K850" s="5">
        <v>8.7733785699E10</v>
      </c>
      <c r="L850" s="4" t="s">
        <v>44</v>
      </c>
      <c r="M850" s="5" t="s">
        <v>42</v>
      </c>
      <c r="N850" s="4" t="s">
        <v>45</v>
      </c>
      <c r="O850" s="4" t="s">
        <v>46</v>
      </c>
      <c r="P850" s="4" t="s">
        <v>47</v>
      </c>
      <c r="Q850" s="4">
        <v>16451.0</v>
      </c>
      <c r="R850" s="5" t="s">
        <v>5035</v>
      </c>
      <c r="S850" s="8">
        <v>46189.0</v>
      </c>
      <c r="T850" s="9">
        <v>0.375</v>
      </c>
      <c r="U850" s="9">
        <v>0.9166666666666666</v>
      </c>
      <c r="V850" s="4" t="s">
        <v>49</v>
      </c>
      <c r="W850" s="5">
        <v>1.0</v>
      </c>
      <c r="X850" s="5" t="b">
        <v>1</v>
      </c>
      <c r="Y850" s="5" t="s">
        <v>50</v>
      </c>
      <c r="Z850" s="5" t="b">
        <v>0</v>
      </c>
      <c r="AA850" s="10"/>
      <c r="AB850" s="4">
        <v>1.0</v>
      </c>
      <c r="AC850" s="11" t="s">
        <v>5036</v>
      </c>
      <c r="AD850" s="5">
        <v>0.0</v>
      </c>
      <c r="AE850" s="5">
        <v>1.0</v>
      </c>
      <c r="AF850" s="8">
        <v>46189.0</v>
      </c>
      <c r="AG850" s="9">
        <v>0.375</v>
      </c>
      <c r="AH850" s="9">
        <v>0.9166666666666666</v>
      </c>
      <c r="AI850" s="4" t="s">
        <v>49</v>
      </c>
      <c r="AJ850" s="5" t="s">
        <v>5037</v>
      </c>
      <c r="AK850" s="12"/>
      <c r="AL850" s="12"/>
      <c r="AM850" s="12"/>
      <c r="AN850" s="12"/>
      <c r="AO850" s="12"/>
      <c r="AP850" s="12"/>
      <c r="AQ850" s="12"/>
    </row>
    <row r="851">
      <c r="A851" s="5" t="s">
        <v>5038</v>
      </c>
      <c r="B851" s="5">
        <v>1.1398423E7</v>
      </c>
      <c r="C851" s="5" t="s">
        <v>37</v>
      </c>
      <c r="D851" s="5" t="s">
        <v>4807</v>
      </c>
      <c r="E851" s="5" t="s">
        <v>39</v>
      </c>
      <c r="F851" s="5" t="s">
        <v>212</v>
      </c>
      <c r="G851" s="15">
        <v>6.21315E16</v>
      </c>
      <c r="H851" s="5" t="s">
        <v>4901</v>
      </c>
      <c r="I851" s="5" t="s">
        <v>42</v>
      </c>
      <c r="J851" s="5" t="s">
        <v>43</v>
      </c>
      <c r="K851" s="5">
        <v>8.7733785699E10</v>
      </c>
      <c r="L851" s="4" t="s">
        <v>44</v>
      </c>
      <c r="M851" s="5" t="s">
        <v>42</v>
      </c>
      <c r="N851" s="4" t="s">
        <v>45</v>
      </c>
      <c r="O851" s="4" t="s">
        <v>46</v>
      </c>
      <c r="P851" s="4" t="s">
        <v>47</v>
      </c>
      <c r="Q851" s="4">
        <v>16451.0</v>
      </c>
      <c r="R851" s="5" t="s">
        <v>5039</v>
      </c>
      <c r="S851" s="8">
        <v>46189.0</v>
      </c>
      <c r="T851" s="9">
        <v>0.375</v>
      </c>
      <c r="U851" s="9">
        <v>0.9166666666666666</v>
      </c>
      <c r="V851" s="4" t="s">
        <v>49</v>
      </c>
      <c r="W851" s="5">
        <v>1.0</v>
      </c>
      <c r="X851" s="5" t="b">
        <v>1</v>
      </c>
      <c r="Y851" s="5" t="s">
        <v>50</v>
      </c>
      <c r="Z851" s="5" t="b">
        <v>0</v>
      </c>
      <c r="AA851" s="10"/>
      <c r="AB851" s="4">
        <v>1.0</v>
      </c>
      <c r="AC851" s="11" t="s">
        <v>5040</v>
      </c>
      <c r="AD851" s="5">
        <v>0.0</v>
      </c>
      <c r="AE851" s="5">
        <v>1.0</v>
      </c>
      <c r="AF851" s="8">
        <v>46189.0</v>
      </c>
      <c r="AG851" s="9">
        <v>0.375</v>
      </c>
      <c r="AH851" s="9">
        <v>0.9166666666666666</v>
      </c>
      <c r="AI851" s="4" t="s">
        <v>49</v>
      </c>
      <c r="AJ851" s="5" t="s">
        <v>5041</v>
      </c>
      <c r="AK851" s="12"/>
      <c r="AL851" s="12"/>
      <c r="AM851" s="12"/>
      <c r="AN851" s="12"/>
      <c r="AO851" s="12"/>
      <c r="AP851" s="12"/>
      <c r="AQ851" s="12"/>
    </row>
    <row r="852">
      <c r="A852" s="5" t="s">
        <v>5042</v>
      </c>
      <c r="B852" s="5">
        <v>1.1398423E7</v>
      </c>
      <c r="C852" s="5" t="s">
        <v>37</v>
      </c>
      <c r="D852" s="5" t="s">
        <v>4807</v>
      </c>
      <c r="E852" s="5" t="s">
        <v>39</v>
      </c>
      <c r="F852" s="5" t="s">
        <v>4527</v>
      </c>
      <c r="G852" s="15">
        <v>6.21315E16</v>
      </c>
      <c r="H852" s="5" t="s">
        <v>4901</v>
      </c>
      <c r="I852" s="5" t="s">
        <v>42</v>
      </c>
      <c r="J852" s="5" t="s">
        <v>43</v>
      </c>
      <c r="K852" s="5">
        <v>8.7733785699E10</v>
      </c>
      <c r="L852" s="4" t="s">
        <v>44</v>
      </c>
      <c r="M852" s="5" t="s">
        <v>42</v>
      </c>
      <c r="N852" s="4" t="s">
        <v>45</v>
      </c>
      <c r="O852" s="4" t="s">
        <v>46</v>
      </c>
      <c r="P852" s="4" t="s">
        <v>47</v>
      </c>
      <c r="Q852" s="4">
        <v>16451.0</v>
      </c>
      <c r="R852" s="5" t="s">
        <v>5043</v>
      </c>
      <c r="S852" s="8">
        <v>46189.0</v>
      </c>
      <c r="T852" s="9">
        <v>0.375</v>
      </c>
      <c r="U852" s="9">
        <v>0.9166666666666666</v>
      </c>
      <c r="V852" s="4" t="s">
        <v>49</v>
      </c>
      <c r="W852" s="5">
        <v>1.0</v>
      </c>
      <c r="X852" s="5" t="b">
        <v>1</v>
      </c>
      <c r="Y852" s="5" t="s">
        <v>50</v>
      </c>
      <c r="Z852" s="5" t="b">
        <v>0</v>
      </c>
      <c r="AA852" s="10"/>
      <c r="AB852" s="4">
        <v>1.0</v>
      </c>
      <c r="AC852" s="11" t="s">
        <v>5044</v>
      </c>
      <c r="AD852" s="5">
        <v>0.0</v>
      </c>
      <c r="AE852" s="5">
        <v>1.0</v>
      </c>
      <c r="AF852" s="8">
        <v>46189.0</v>
      </c>
      <c r="AG852" s="9">
        <v>0.375</v>
      </c>
      <c r="AH852" s="9">
        <v>0.9166666666666666</v>
      </c>
      <c r="AI852" s="4" t="s">
        <v>49</v>
      </c>
      <c r="AJ852" s="5" t="s">
        <v>5045</v>
      </c>
      <c r="AK852" s="12"/>
      <c r="AL852" s="12"/>
      <c r="AM852" s="12"/>
      <c r="AN852" s="12"/>
      <c r="AO852" s="12"/>
      <c r="AP852" s="12"/>
      <c r="AQ852" s="12"/>
    </row>
    <row r="853">
      <c r="A853" s="5" t="s">
        <v>5046</v>
      </c>
      <c r="B853" s="5">
        <v>1.1398423E7</v>
      </c>
      <c r="C853" s="5" t="s">
        <v>37</v>
      </c>
      <c r="D853" s="5" t="s">
        <v>4807</v>
      </c>
      <c r="E853" s="5" t="s">
        <v>39</v>
      </c>
      <c r="F853" s="5" t="s">
        <v>5047</v>
      </c>
      <c r="G853" s="15">
        <v>6.21315E16</v>
      </c>
      <c r="H853" s="5" t="s">
        <v>4901</v>
      </c>
      <c r="I853" s="5" t="s">
        <v>42</v>
      </c>
      <c r="J853" s="5" t="s">
        <v>43</v>
      </c>
      <c r="K853" s="5">
        <v>8.7733785699E10</v>
      </c>
      <c r="L853" s="4" t="s">
        <v>44</v>
      </c>
      <c r="M853" s="5" t="s">
        <v>42</v>
      </c>
      <c r="N853" s="4" t="s">
        <v>45</v>
      </c>
      <c r="O853" s="4" t="s">
        <v>46</v>
      </c>
      <c r="P853" s="4" t="s">
        <v>47</v>
      </c>
      <c r="Q853" s="4">
        <v>16451.0</v>
      </c>
      <c r="R853" s="5" t="s">
        <v>5048</v>
      </c>
      <c r="S853" s="8">
        <v>46189.0</v>
      </c>
      <c r="T853" s="9">
        <v>0.375</v>
      </c>
      <c r="U853" s="9">
        <v>0.9166666666666666</v>
      </c>
      <c r="V853" s="4" t="s">
        <v>49</v>
      </c>
      <c r="W853" s="5">
        <v>1.0</v>
      </c>
      <c r="X853" s="5" t="b">
        <v>1</v>
      </c>
      <c r="Y853" s="5" t="s">
        <v>50</v>
      </c>
      <c r="Z853" s="5" t="b">
        <v>0</v>
      </c>
      <c r="AA853" s="10"/>
      <c r="AB853" s="4">
        <v>1.0</v>
      </c>
      <c r="AC853" s="11" t="s">
        <v>5049</v>
      </c>
      <c r="AD853" s="5">
        <v>0.0</v>
      </c>
      <c r="AE853" s="5">
        <v>1.0</v>
      </c>
      <c r="AF853" s="8">
        <v>46189.0</v>
      </c>
      <c r="AG853" s="9">
        <v>0.375</v>
      </c>
      <c r="AH853" s="9">
        <v>0.9166666666666666</v>
      </c>
      <c r="AI853" s="4" t="s">
        <v>49</v>
      </c>
      <c r="AJ853" s="5" t="s">
        <v>5050</v>
      </c>
      <c r="AK853" s="12"/>
      <c r="AL853" s="12"/>
      <c r="AM853" s="12"/>
      <c r="AN853" s="12"/>
      <c r="AO853" s="12"/>
      <c r="AP853" s="12"/>
      <c r="AQ853" s="12"/>
    </row>
    <row r="854">
      <c r="A854" s="5" t="s">
        <v>5051</v>
      </c>
      <c r="B854" s="5">
        <v>1.1398423E7</v>
      </c>
      <c r="C854" s="5" t="s">
        <v>37</v>
      </c>
      <c r="D854" s="5" t="s">
        <v>4807</v>
      </c>
      <c r="E854" s="5" t="s">
        <v>39</v>
      </c>
      <c r="F854" s="5" t="s">
        <v>179</v>
      </c>
      <c r="G854" s="15">
        <v>6.21315E16</v>
      </c>
      <c r="H854" s="5" t="s">
        <v>4901</v>
      </c>
      <c r="I854" s="5" t="s">
        <v>42</v>
      </c>
      <c r="J854" s="5" t="s">
        <v>43</v>
      </c>
      <c r="K854" s="5">
        <v>8.7733785699E10</v>
      </c>
      <c r="L854" s="4" t="s">
        <v>44</v>
      </c>
      <c r="M854" s="5" t="s">
        <v>42</v>
      </c>
      <c r="N854" s="4" t="s">
        <v>45</v>
      </c>
      <c r="O854" s="4" t="s">
        <v>46</v>
      </c>
      <c r="P854" s="4" t="s">
        <v>47</v>
      </c>
      <c r="Q854" s="4">
        <v>16451.0</v>
      </c>
      <c r="R854" s="5" t="s">
        <v>5052</v>
      </c>
      <c r="S854" s="8">
        <v>46189.0</v>
      </c>
      <c r="T854" s="9">
        <v>0.375</v>
      </c>
      <c r="U854" s="9">
        <v>0.9166666666666666</v>
      </c>
      <c r="V854" s="4" t="s">
        <v>49</v>
      </c>
      <c r="W854" s="5">
        <v>1.0</v>
      </c>
      <c r="X854" s="5" t="b">
        <v>1</v>
      </c>
      <c r="Y854" s="5" t="s">
        <v>50</v>
      </c>
      <c r="Z854" s="5" t="b">
        <v>0</v>
      </c>
      <c r="AA854" s="10"/>
      <c r="AB854" s="4">
        <v>1.0</v>
      </c>
      <c r="AC854" s="11" t="s">
        <v>5053</v>
      </c>
      <c r="AD854" s="5">
        <v>0.0</v>
      </c>
      <c r="AE854" s="5">
        <v>1.0</v>
      </c>
      <c r="AF854" s="8">
        <v>46189.0</v>
      </c>
      <c r="AG854" s="9">
        <v>0.375</v>
      </c>
      <c r="AH854" s="9">
        <v>0.9166666666666666</v>
      </c>
      <c r="AI854" s="4" t="s">
        <v>49</v>
      </c>
      <c r="AJ854" s="5" t="s">
        <v>5054</v>
      </c>
      <c r="AK854" s="12"/>
      <c r="AL854" s="12"/>
      <c r="AM854" s="12"/>
      <c r="AN854" s="12"/>
      <c r="AO854" s="12"/>
      <c r="AP854" s="12"/>
      <c r="AQ854" s="12"/>
    </row>
    <row r="855">
      <c r="A855" s="5" t="s">
        <v>5055</v>
      </c>
      <c r="B855" s="5">
        <v>1.1398423E7</v>
      </c>
      <c r="C855" s="5" t="s">
        <v>37</v>
      </c>
      <c r="D855" s="5" t="s">
        <v>4807</v>
      </c>
      <c r="E855" s="5" t="s">
        <v>39</v>
      </c>
      <c r="F855" s="5" t="s">
        <v>5056</v>
      </c>
      <c r="G855" s="15">
        <v>6.21315E16</v>
      </c>
      <c r="H855" s="5" t="s">
        <v>4901</v>
      </c>
      <c r="I855" s="5" t="s">
        <v>42</v>
      </c>
      <c r="J855" s="5" t="s">
        <v>43</v>
      </c>
      <c r="K855" s="5">
        <v>8.7733785699E10</v>
      </c>
      <c r="L855" s="4" t="s">
        <v>44</v>
      </c>
      <c r="M855" s="5" t="s">
        <v>42</v>
      </c>
      <c r="N855" s="4" t="s">
        <v>45</v>
      </c>
      <c r="O855" s="4" t="s">
        <v>46</v>
      </c>
      <c r="P855" s="4" t="s">
        <v>47</v>
      </c>
      <c r="Q855" s="4">
        <v>16451.0</v>
      </c>
      <c r="R855" s="5" t="s">
        <v>5057</v>
      </c>
      <c r="S855" s="8">
        <v>46189.0</v>
      </c>
      <c r="T855" s="9">
        <v>0.375</v>
      </c>
      <c r="U855" s="9">
        <v>0.9166666666666666</v>
      </c>
      <c r="V855" s="4" t="s">
        <v>49</v>
      </c>
      <c r="W855" s="5">
        <v>1.0</v>
      </c>
      <c r="X855" s="5" t="b">
        <v>1</v>
      </c>
      <c r="Y855" s="5" t="s">
        <v>50</v>
      </c>
      <c r="Z855" s="5" t="b">
        <v>0</v>
      </c>
      <c r="AA855" s="10"/>
      <c r="AB855" s="4">
        <v>1.0</v>
      </c>
      <c r="AC855" s="11" t="s">
        <v>5058</v>
      </c>
      <c r="AD855" s="5">
        <v>0.0</v>
      </c>
      <c r="AE855" s="5">
        <v>1.0</v>
      </c>
      <c r="AF855" s="8">
        <v>46189.0</v>
      </c>
      <c r="AG855" s="9">
        <v>0.375</v>
      </c>
      <c r="AH855" s="9">
        <v>0.9166666666666666</v>
      </c>
      <c r="AI855" s="4" t="s">
        <v>49</v>
      </c>
      <c r="AJ855" s="5" t="s">
        <v>5059</v>
      </c>
      <c r="AK855" s="12"/>
      <c r="AL855" s="12"/>
      <c r="AM855" s="12"/>
      <c r="AN855" s="12"/>
      <c r="AO855" s="12"/>
      <c r="AP855" s="12"/>
      <c r="AQ855" s="12"/>
    </row>
    <row r="856">
      <c r="A856" s="5" t="s">
        <v>5060</v>
      </c>
      <c r="B856" s="5">
        <v>1.1398423E7</v>
      </c>
      <c r="C856" s="5" t="s">
        <v>37</v>
      </c>
      <c r="D856" s="5" t="s">
        <v>4807</v>
      </c>
      <c r="E856" s="5" t="s">
        <v>39</v>
      </c>
      <c r="F856" s="5" t="s">
        <v>5061</v>
      </c>
      <c r="G856" s="15">
        <v>6.21315E16</v>
      </c>
      <c r="H856" s="5" t="s">
        <v>4901</v>
      </c>
      <c r="I856" s="5" t="s">
        <v>42</v>
      </c>
      <c r="J856" s="5" t="s">
        <v>43</v>
      </c>
      <c r="K856" s="5">
        <v>8.7733785699E10</v>
      </c>
      <c r="L856" s="4" t="s">
        <v>44</v>
      </c>
      <c r="M856" s="5" t="s">
        <v>42</v>
      </c>
      <c r="N856" s="4" t="s">
        <v>45</v>
      </c>
      <c r="O856" s="4" t="s">
        <v>46</v>
      </c>
      <c r="P856" s="4" t="s">
        <v>47</v>
      </c>
      <c r="Q856" s="4">
        <v>16451.0</v>
      </c>
      <c r="R856" s="5" t="s">
        <v>5062</v>
      </c>
      <c r="S856" s="8">
        <v>46189.0</v>
      </c>
      <c r="T856" s="9">
        <v>0.375</v>
      </c>
      <c r="U856" s="9">
        <v>0.9166666666666666</v>
      </c>
      <c r="V856" s="4" t="s">
        <v>49</v>
      </c>
      <c r="W856" s="5">
        <v>1.0</v>
      </c>
      <c r="X856" s="5" t="b">
        <v>1</v>
      </c>
      <c r="Y856" s="5" t="s">
        <v>50</v>
      </c>
      <c r="Z856" s="5" t="b">
        <v>0</v>
      </c>
      <c r="AA856" s="10"/>
      <c r="AB856" s="4">
        <v>1.0</v>
      </c>
      <c r="AC856" s="11" t="s">
        <v>5063</v>
      </c>
      <c r="AD856" s="5">
        <v>0.0</v>
      </c>
      <c r="AE856" s="5">
        <v>1.0</v>
      </c>
      <c r="AF856" s="8">
        <v>46189.0</v>
      </c>
      <c r="AG856" s="9">
        <v>0.375</v>
      </c>
      <c r="AH856" s="9">
        <v>0.9166666666666666</v>
      </c>
      <c r="AI856" s="4" t="s">
        <v>49</v>
      </c>
      <c r="AJ856" s="5" t="s">
        <v>5064</v>
      </c>
      <c r="AK856" s="12"/>
      <c r="AL856" s="12"/>
      <c r="AM856" s="12"/>
      <c r="AN856" s="12"/>
      <c r="AO856" s="12"/>
      <c r="AP856" s="12"/>
      <c r="AQ856" s="12"/>
    </row>
    <row r="857">
      <c r="A857" s="5" t="s">
        <v>5065</v>
      </c>
      <c r="B857" s="5">
        <v>1.1398423E7</v>
      </c>
      <c r="C857" s="5" t="s">
        <v>37</v>
      </c>
      <c r="D857" s="5" t="s">
        <v>4807</v>
      </c>
      <c r="E857" s="5" t="s">
        <v>39</v>
      </c>
      <c r="F857" s="5" t="s">
        <v>252</v>
      </c>
      <c r="G857" s="15">
        <v>6.21315E16</v>
      </c>
      <c r="H857" s="5" t="s">
        <v>4901</v>
      </c>
      <c r="I857" s="5" t="s">
        <v>42</v>
      </c>
      <c r="J857" s="5" t="s">
        <v>43</v>
      </c>
      <c r="K857" s="5">
        <v>8.7733785699E10</v>
      </c>
      <c r="L857" s="4" t="s">
        <v>44</v>
      </c>
      <c r="M857" s="5" t="s">
        <v>42</v>
      </c>
      <c r="N857" s="4" t="s">
        <v>45</v>
      </c>
      <c r="O857" s="4" t="s">
        <v>46</v>
      </c>
      <c r="P857" s="4" t="s">
        <v>47</v>
      </c>
      <c r="Q857" s="4">
        <v>16451.0</v>
      </c>
      <c r="R857" s="5" t="s">
        <v>5066</v>
      </c>
      <c r="S857" s="8">
        <v>46189.0</v>
      </c>
      <c r="T857" s="9">
        <v>0.375</v>
      </c>
      <c r="U857" s="9">
        <v>0.9166666666666666</v>
      </c>
      <c r="V857" s="4" t="s">
        <v>49</v>
      </c>
      <c r="W857" s="5">
        <v>1.0</v>
      </c>
      <c r="X857" s="5" t="b">
        <v>1</v>
      </c>
      <c r="Y857" s="5" t="s">
        <v>50</v>
      </c>
      <c r="Z857" s="5" t="b">
        <v>0</v>
      </c>
      <c r="AA857" s="10"/>
      <c r="AB857" s="4">
        <v>1.0</v>
      </c>
      <c r="AC857" s="11" t="s">
        <v>5067</v>
      </c>
      <c r="AD857" s="5">
        <v>0.0</v>
      </c>
      <c r="AE857" s="5">
        <v>1.0</v>
      </c>
      <c r="AF857" s="8">
        <v>46189.0</v>
      </c>
      <c r="AG857" s="9">
        <v>0.375</v>
      </c>
      <c r="AH857" s="9">
        <v>0.9166666666666666</v>
      </c>
      <c r="AI857" s="4" t="s">
        <v>49</v>
      </c>
      <c r="AJ857" s="5" t="s">
        <v>5068</v>
      </c>
      <c r="AK857" s="12"/>
      <c r="AL857" s="12"/>
      <c r="AM857" s="12"/>
      <c r="AN857" s="12"/>
      <c r="AO857" s="12"/>
      <c r="AP857" s="12"/>
      <c r="AQ857" s="12"/>
    </row>
    <row r="858">
      <c r="A858" s="5" t="s">
        <v>5069</v>
      </c>
      <c r="B858" s="5">
        <v>1.1398423E7</v>
      </c>
      <c r="C858" s="5" t="s">
        <v>37</v>
      </c>
      <c r="D858" s="5" t="s">
        <v>5070</v>
      </c>
      <c r="E858" s="5" t="s">
        <v>39</v>
      </c>
      <c r="F858" s="5" t="s">
        <v>4715</v>
      </c>
      <c r="G858" s="15">
        <v>6.28552E16</v>
      </c>
      <c r="H858" s="5" t="s">
        <v>4716</v>
      </c>
      <c r="I858" s="5" t="s">
        <v>42</v>
      </c>
      <c r="J858" s="5" t="s">
        <v>43</v>
      </c>
      <c r="K858" s="5">
        <v>8.7733785699E10</v>
      </c>
      <c r="L858" s="4" t="s">
        <v>44</v>
      </c>
      <c r="M858" s="5" t="s">
        <v>42</v>
      </c>
      <c r="N858" s="4" t="s">
        <v>45</v>
      </c>
      <c r="O858" s="4" t="s">
        <v>46</v>
      </c>
      <c r="P858" s="4" t="s">
        <v>47</v>
      </c>
      <c r="Q858" s="4">
        <v>16451.0</v>
      </c>
      <c r="R858" s="5" t="s">
        <v>4717</v>
      </c>
      <c r="S858" s="8">
        <v>46189.0</v>
      </c>
      <c r="T858" s="9">
        <v>0.375</v>
      </c>
      <c r="U858" s="9">
        <v>0.9166666666666666</v>
      </c>
      <c r="V858" s="4" t="s">
        <v>49</v>
      </c>
      <c r="W858" s="5">
        <v>1.0</v>
      </c>
      <c r="X858" s="5" t="b">
        <v>1</v>
      </c>
      <c r="Y858" s="5" t="s">
        <v>50</v>
      </c>
      <c r="Z858" s="5" t="b">
        <v>0</v>
      </c>
      <c r="AA858" s="10"/>
      <c r="AB858" s="4">
        <v>1.0</v>
      </c>
      <c r="AC858" s="11" t="s">
        <v>5071</v>
      </c>
      <c r="AD858" s="5">
        <v>0.0</v>
      </c>
      <c r="AE858" s="5">
        <v>1.0</v>
      </c>
      <c r="AF858" s="8">
        <v>46189.0</v>
      </c>
      <c r="AG858" s="9">
        <v>0.375</v>
      </c>
      <c r="AH858" s="9">
        <v>0.9166666666666666</v>
      </c>
      <c r="AI858" s="4" t="s">
        <v>49</v>
      </c>
      <c r="AJ858" s="5" t="s">
        <v>4719</v>
      </c>
      <c r="AK858" s="12"/>
      <c r="AL858" s="12"/>
      <c r="AM858" s="12"/>
      <c r="AN858" s="12"/>
      <c r="AO858" s="12"/>
      <c r="AP858" s="12"/>
      <c r="AQ858" s="12"/>
    </row>
    <row r="859">
      <c r="A859" s="5" t="s">
        <v>5072</v>
      </c>
      <c r="B859" s="5">
        <v>1.1398423E7</v>
      </c>
      <c r="C859" s="5" t="s">
        <v>37</v>
      </c>
      <c r="D859" s="5" t="s">
        <v>5073</v>
      </c>
      <c r="E859" s="5" t="s">
        <v>39</v>
      </c>
      <c r="F859" s="5" t="s">
        <v>5074</v>
      </c>
      <c r="G859" s="15">
        <v>6.28129E17</v>
      </c>
      <c r="H859" s="5" t="s">
        <v>5075</v>
      </c>
      <c r="I859" s="5" t="s">
        <v>42</v>
      </c>
      <c r="J859" s="5" t="s">
        <v>43</v>
      </c>
      <c r="K859" s="5">
        <v>8.7733785699E10</v>
      </c>
      <c r="L859" s="4" t="s">
        <v>44</v>
      </c>
      <c r="M859" s="5" t="s">
        <v>42</v>
      </c>
      <c r="N859" s="4" t="s">
        <v>45</v>
      </c>
      <c r="O859" s="4" t="s">
        <v>46</v>
      </c>
      <c r="P859" s="4" t="s">
        <v>47</v>
      </c>
      <c r="Q859" s="4">
        <v>16451.0</v>
      </c>
      <c r="R859" s="5" t="s">
        <v>5076</v>
      </c>
      <c r="S859" s="8">
        <v>46189.0</v>
      </c>
      <c r="T859" s="9">
        <v>0.375</v>
      </c>
      <c r="U859" s="9">
        <v>0.9166666666666666</v>
      </c>
      <c r="V859" s="4" t="s">
        <v>49</v>
      </c>
      <c r="W859" s="5">
        <v>1.0</v>
      </c>
      <c r="X859" s="5" t="b">
        <v>1</v>
      </c>
      <c r="Y859" s="5" t="s">
        <v>50</v>
      </c>
      <c r="Z859" s="5" t="b">
        <v>0</v>
      </c>
      <c r="AA859" s="10"/>
      <c r="AB859" s="4">
        <v>1.0</v>
      </c>
      <c r="AC859" s="11" t="s">
        <v>5077</v>
      </c>
      <c r="AD859" s="5">
        <v>0.0</v>
      </c>
      <c r="AE859" s="5">
        <v>1.0</v>
      </c>
      <c r="AF859" s="8">
        <v>46189.0</v>
      </c>
      <c r="AG859" s="9">
        <v>0.375</v>
      </c>
      <c r="AH859" s="9">
        <v>0.9166666666666666</v>
      </c>
      <c r="AI859" s="4" t="s">
        <v>49</v>
      </c>
      <c r="AJ859" s="5" t="s">
        <v>5078</v>
      </c>
      <c r="AK859" s="12"/>
      <c r="AL859" s="12"/>
      <c r="AM859" s="12"/>
      <c r="AN859" s="12"/>
      <c r="AO859" s="12"/>
      <c r="AP859" s="12"/>
      <c r="AQ859" s="12"/>
    </row>
    <row r="860">
      <c r="A860" s="5" t="s">
        <v>5079</v>
      </c>
      <c r="B860" s="5">
        <v>1.1398423E7</v>
      </c>
      <c r="C860" s="5" t="s">
        <v>37</v>
      </c>
      <c r="D860" s="5" t="s">
        <v>5080</v>
      </c>
      <c r="E860" s="5" t="s">
        <v>39</v>
      </c>
      <c r="F860" s="5" t="s">
        <v>5081</v>
      </c>
      <c r="G860" s="15">
        <v>8.121962657E9</v>
      </c>
      <c r="H860" s="5" t="s">
        <v>5082</v>
      </c>
      <c r="I860" s="5" t="s">
        <v>42</v>
      </c>
      <c r="J860" s="5" t="s">
        <v>43</v>
      </c>
      <c r="K860" s="5">
        <v>8.7733785699E10</v>
      </c>
      <c r="L860" s="4" t="s">
        <v>44</v>
      </c>
      <c r="M860" s="5" t="s">
        <v>42</v>
      </c>
      <c r="N860" s="4" t="s">
        <v>45</v>
      </c>
      <c r="O860" s="4" t="s">
        <v>46</v>
      </c>
      <c r="P860" s="4" t="s">
        <v>47</v>
      </c>
      <c r="Q860" s="4">
        <v>16451.0</v>
      </c>
      <c r="R860" s="5" t="s">
        <v>5083</v>
      </c>
      <c r="S860" s="8">
        <v>46189.0</v>
      </c>
      <c r="T860" s="9">
        <v>0.375</v>
      </c>
      <c r="U860" s="9">
        <v>0.9166666666666666</v>
      </c>
      <c r="V860" s="4" t="s">
        <v>49</v>
      </c>
      <c r="W860" s="5">
        <v>1.0</v>
      </c>
      <c r="X860" s="5" t="b">
        <v>1</v>
      </c>
      <c r="Y860" s="5" t="s">
        <v>50</v>
      </c>
      <c r="Z860" s="5" t="b">
        <v>0</v>
      </c>
      <c r="AA860" s="10"/>
      <c r="AB860" s="4">
        <v>1.0</v>
      </c>
      <c r="AC860" s="11" t="s">
        <v>5084</v>
      </c>
      <c r="AD860" s="5">
        <v>0.0</v>
      </c>
      <c r="AE860" s="5">
        <v>1.0</v>
      </c>
      <c r="AF860" s="8">
        <v>46189.0</v>
      </c>
      <c r="AG860" s="9">
        <v>0.375</v>
      </c>
      <c r="AH860" s="9">
        <v>0.9166666666666666</v>
      </c>
      <c r="AI860" s="4" t="s">
        <v>49</v>
      </c>
      <c r="AJ860" s="5" t="s">
        <v>5085</v>
      </c>
      <c r="AK860" s="12"/>
      <c r="AL860" s="12"/>
      <c r="AM860" s="12"/>
      <c r="AN860" s="12"/>
      <c r="AO860" s="12"/>
      <c r="AP860" s="12"/>
      <c r="AQ860" s="12"/>
    </row>
    <row r="861">
      <c r="A861" s="5" t="s">
        <v>5086</v>
      </c>
      <c r="B861" s="5">
        <v>1.1398423E7</v>
      </c>
      <c r="C861" s="5" t="s">
        <v>37</v>
      </c>
      <c r="D861" s="5" t="s">
        <v>5087</v>
      </c>
      <c r="E861" s="5" t="s">
        <v>39</v>
      </c>
      <c r="F861" s="5" t="s">
        <v>149</v>
      </c>
      <c r="G861" s="15">
        <v>6.28228E17</v>
      </c>
      <c r="H861" s="5" t="s">
        <v>150</v>
      </c>
      <c r="I861" s="5" t="s">
        <v>42</v>
      </c>
      <c r="J861" s="5" t="s">
        <v>43</v>
      </c>
      <c r="K861" s="5">
        <v>8.7733785699E10</v>
      </c>
      <c r="L861" s="4" t="s">
        <v>44</v>
      </c>
      <c r="M861" s="5" t="s">
        <v>42</v>
      </c>
      <c r="N861" s="4" t="s">
        <v>45</v>
      </c>
      <c r="O861" s="4" t="s">
        <v>46</v>
      </c>
      <c r="P861" s="4" t="s">
        <v>47</v>
      </c>
      <c r="Q861" s="4">
        <v>16451.0</v>
      </c>
      <c r="R861" s="5" t="s">
        <v>5088</v>
      </c>
      <c r="S861" s="8">
        <v>46189.0</v>
      </c>
      <c r="T861" s="9">
        <v>0.375</v>
      </c>
      <c r="U861" s="9">
        <v>0.9166666666666666</v>
      </c>
      <c r="V861" s="4" t="s">
        <v>49</v>
      </c>
      <c r="W861" s="5">
        <v>1.0</v>
      </c>
      <c r="X861" s="5" t="b">
        <v>1</v>
      </c>
      <c r="Y861" s="5" t="s">
        <v>50</v>
      </c>
      <c r="Z861" s="5" t="b">
        <v>0</v>
      </c>
      <c r="AA861" s="10"/>
      <c r="AB861" s="4">
        <v>1.0</v>
      </c>
      <c r="AC861" s="11" t="s">
        <v>5089</v>
      </c>
      <c r="AD861" s="5">
        <v>0.0</v>
      </c>
      <c r="AE861" s="5">
        <v>1.0</v>
      </c>
      <c r="AF861" s="8">
        <v>46189.0</v>
      </c>
      <c r="AG861" s="9">
        <v>0.375</v>
      </c>
      <c r="AH861" s="9">
        <v>0.9166666666666666</v>
      </c>
      <c r="AI861" s="4" t="s">
        <v>49</v>
      </c>
      <c r="AJ861" s="5" t="s">
        <v>5090</v>
      </c>
      <c r="AK861" s="12"/>
      <c r="AL861" s="12"/>
      <c r="AM861" s="12"/>
      <c r="AN861" s="12"/>
      <c r="AO861" s="12"/>
      <c r="AP861" s="12"/>
      <c r="AQ861" s="12"/>
    </row>
    <row r="862">
      <c r="A862" s="5" t="s">
        <v>5091</v>
      </c>
      <c r="B862" s="5">
        <v>1.1398423E7</v>
      </c>
      <c r="C862" s="5" t="s">
        <v>37</v>
      </c>
      <c r="D862" s="5" t="s">
        <v>4714</v>
      </c>
      <c r="E862" s="5" t="s">
        <v>39</v>
      </c>
      <c r="F862" s="5" t="s">
        <v>5092</v>
      </c>
      <c r="G862" s="15">
        <v>6.28226E17</v>
      </c>
      <c r="H862" s="5" t="s">
        <v>5093</v>
      </c>
      <c r="I862" s="5" t="s">
        <v>42</v>
      </c>
      <c r="J862" s="5" t="s">
        <v>43</v>
      </c>
      <c r="K862" s="5">
        <v>8.7733785699E10</v>
      </c>
      <c r="L862" s="4" t="s">
        <v>44</v>
      </c>
      <c r="M862" s="5" t="s">
        <v>42</v>
      </c>
      <c r="N862" s="4" t="s">
        <v>45</v>
      </c>
      <c r="O862" s="4" t="s">
        <v>46</v>
      </c>
      <c r="P862" s="4" t="s">
        <v>47</v>
      </c>
      <c r="Q862" s="4">
        <v>16451.0</v>
      </c>
      <c r="R862" s="5" t="s">
        <v>5094</v>
      </c>
      <c r="S862" s="8">
        <v>46189.0</v>
      </c>
      <c r="T862" s="9">
        <v>0.375</v>
      </c>
      <c r="U862" s="9">
        <v>0.9166666666666666</v>
      </c>
      <c r="V862" s="4" t="s">
        <v>49</v>
      </c>
      <c r="W862" s="5">
        <v>1.0</v>
      </c>
      <c r="X862" s="5" t="b">
        <v>1</v>
      </c>
      <c r="Y862" s="5" t="s">
        <v>50</v>
      </c>
      <c r="Z862" s="5" t="b">
        <v>0</v>
      </c>
      <c r="AA862" s="10"/>
      <c r="AB862" s="4">
        <v>1.0</v>
      </c>
      <c r="AC862" s="11" t="s">
        <v>5095</v>
      </c>
      <c r="AD862" s="5">
        <v>0.0</v>
      </c>
      <c r="AE862" s="5">
        <v>1.0</v>
      </c>
      <c r="AF862" s="8">
        <v>46189.0</v>
      </c>
      <c r="AG862" s="9">
        <v>0.375</v>
      </c>
      <c r="AH862" s="9">
        <v>0.9166666666666666</v>
      </c>
      <c r="AI862" s="4" t="s">
        <v>49</v>
      </c>
      <c r="AJ862" s="5" t="s">
        <v>5096</v>
      </c>
      <c r="AK862" s="12"/>
      <c r="AL862" s="12"/>
      <c r="AM862" s="12"/>
      <c r="AN862" s="12"/>
      <c r="AO862" s="12"/>
      <c r="AP862" s="12"/>
      <c r="AQ862" s="12"/>
    </row>
    <row r="863">
      <c r="A863" s="5" t="s">
        <v>5097</v>
      </c>
      <c r="B863" s="5">
        <v>1.1398423E7</v>
      </c>
      <c r="C863" s="5" t="s">
        <v>37</v>
      </c>
      <c r="D863" s="5" t="s">
        <v>4721</v>
      </c>
      <c r="E863" s="5" t="s">
        <v>39</v>
      </c>
      <c r="F863" s="5" t="s">
        <v>5098</v>
      </c>
      <c r="G863" s="15">
        <v>8.1318831683E10</v>
      </c>
      <c r="H863" s="5" t="s">
        <v>5099</v>
      </c>
      <c r="I863" s="5" t="s">
        <v>42</v>
      </c>
      <c r="J863" s="5" t="s">
        <v>43</v>
      </c>
      <c r="K863" s="5">
        <v>8.7733785699E10</v>
      </c>
      <c r="L863" s="4" t="s">
        <v>44</v>
      </c>
      <c r="M863" s="5" t="s">
        <v>42</v>
      </c>
      <c r="N863" s="4" t="s">
        <v>45</v>
      </c>
      <c r="O863" s="4" t="s">
        <v>46</v>
      </c>
      <c r="P863" s="4" t="s">
        <v>47</v>
      </c>
      <c r="Q863" s="4">
        <v>16451.0</v>
      </c>
      <c r="R863" s="5" t="s">
        <v>5100</v>
      </c>
      <c r="S863" s="8">
        <v>46189.0</v>
      </c>
      <c r="T863" s="9">
        <v>0.375</v>
      </c>
      <c r="U863" s="9">
        <v>0.9166666666666666</v>
      </c>
      <c r="V863" s="4" t="s">
        <v>49</v>
      </c>
      <c r="W863" s="5">
        <v>1.0</v>
      </c>
      <c r="X863" s="5" t="b">
        <v>1</v>
      </c>
      <c r="Y863" s="5" t="s">
        <v>50</v>
      </c>
      <c r="Z863" s="5" t="b">
        <v>0</v>
      </c>
      <c r="AA863" s="10"/>
      <c r="AB863" s="4">
        <v>1.0</v>
      </c>
      <c r="AC863" s="11" t="s">
        <v>5101</v>
      </c>
      <c r="AD863" s="5">
        <v>0.0</v>
      </c>
      <c r="AE863" s="5">
        <v>1.0</v>
      </c>
      <c r="AF863" s="8">
        <v>46189.0</v>
      </c>
      <c r="AG863" s="9">
        <v>0.375</v>
      </c>
      <c r="AH863" s="9">
        <v>0.9166666666666666</v>
      </c>
      <c r="AI863" s="4" t="s">
        <v>49</v>
      </c>
      <c r="AJ863" s="5" t="s">
        <v>5102</v>
      </c>
      <c r="AK863" s="12"/>
      <c r="AL863" s="12"/>
      <c r="AM863" s="12"/>
      <c r="AN863" s="12"/>
      <c r="AO863" s="12"/>
      <c r="AP863" s="12"/>
      <c r="AQ863" s="12"/>
    </row>
    <row r="864">
      <c r="A864" s="5" t="s">
        <v>5103</v>
      </c>
      <c r="B864" s="5">
        <v>1.1398423E7</v>
      </c>
      <c r="C864" s="5" t="s">
        <v>37</v>
      </c>
      <c r="D864" s="5" t="s">
        <v>4728</v>
      </c>
      <c r="E864" s="5" t="s">
        <v>39</v>
      </c>
      <c r="F864" s="5" t="s">
        <v>161</v>
      </c>
      <c r="G864" s="15">
        <v>6.28138E17</v>
      </c>
      <c r="H864" s="5" t="s">
        <v>162</v>
      </c>
      <c r="I864" s="5" t="s">
        <v>42</v>
      </c>
      <c r="J864" s="5" t="s">
        <v>43</v>
      </c>
      <c r="K864" s="5">
        <v>8.7733785699E10</v>
      </c>
      <c r="L864" s="4" t="s">
        <v>44</v>
      </c>
      <c r="M864" s="5" t="s">
        <v>42</v>
      </c>
      <c r="N864" s="4" t="s">
        <v>45</v>
      </c>
      <c r="O864" s="4" t="s">
        <v>46</v>
      </c>
      <c r="P864" s="4" t="s">
        <v>47</v>
      </c>
      <c r="Q864" s="4">
        <v>16451.0</v>
      </c>
      <c r="R864" s="5" t="s">
        <v>5104</v>
      </c>
      <c r="S864" s="8">
        <v>46189.0</v>
      </c>
      <c r="T864" s="9">
        <v>0.375</v>
      </c>
      <c r="U864" s="9">
        <v>0.9166666666666666</v>
      </c>
      <c r="V864" s="4" t="s">
        <v>49</v>
      </c>
      <c r="W864" s="5">
        <v>1.0</v>
      </c>
      <c r="X864" s="5" t="b">
        <v>1</v>
      </c>
      <c r="Y864" s="5" t="s">
        <v>50</v>
      </c>
      <c r="Z864" s="5" t="b">
        <v>0</v>
      </c>
      <c r="AA864" s="10"/>
      <c r="AB864" s="4">
        <v>1.0</v>
      </c>
      <c r="AC864" s="11" t="s">
        <v>5105</v>
      </c>
      <c r="AD864" s="5">
        <v>0.0</v>
      </c>
      <c r="AE864" s="5">
        <v>1.0</v>
      </c>
      <c r="AF864" s="8">
        <v>46189.0</v>
      </c>
      <c r="AG864" s="9">
        <v>0.375</v>
      </c>
      <c r="AH864" s="9">
        <v>0.9166666666666666</v>
      </c>
      <c r="AI864" s="4" t="s">
        <v>49</v>
      </c>
      <c r="AJ864" s="5" t="s">
        <v>5106</v>
      </c>
      <c r="AK864" s="12"/>
      <c r="AL864" s="12"/>
      <c r="AM864" s="12"/>
      <c r="AN864" s="12"/>
      <c r="AO864" s="12"/>
      <c r="AP864" s="12"/>
      <c r="AQ864" s="12"/>
    </row>
    <row r="865">
      <c r="A865" s="5" t="s">
        <v>5107</v>
      </c>
      <c r="B865" s="5">
        <v>1.1398423E7</v>
      </c>
      <c r="C865" s="5" t="s">
        <v>37</v>
      </c>
      <c r="D865" s="5" t="s">
        <v>5108</v>
      </c>
      <c r="E865" s="5" t="s">
        <v>39</v>
      </c>
      <c r="F865" s="5" t="s">
        <v>5109</v>
      </c>
      <c r="G865" s="15">
        <v>6.2858E16</v>
      </c>
      <c r="H865" s="5" t="s">
        <v>5110</v>
      </c>
      <c r="I865" s="5" t="s">
        <v>42</v>
      </c>
      <c r="J865" s="5" t="s">
        <v>43</v>
      </c>
      <c r="K865" s="5">
        <v>6.285143002578E12</v>
      </c>
      <c r="L865" s="4" t="s">
        <v>57</v>
      </c>
      <c r="M865" s="5" t="s">
        <v>42</v>
      </c>
      <c r="N865" s="4" t="s">
        <v>58</v>
      </c>
      <c r="O865" s="4" t="s">
        <v>59</v>
      </c>
      <c r="P865" s="4" t="s">
        <v>60</v>
      </c>
      <c r="Q865" s="4">
        <v>60291.0</v>
      </c>
      <c r="R865" s="5" t="s">
        <v>5111</v>
      </c>
      <c r="S865" s="8">
        <v>46191.0</v>
      </c>
      <c r="T865" s="9">
        <v>0.375</v>
      </c>
      <c r="U865" s="9">
        <v>0.9166666666666666</v>
      </c>
      <c r="V865" s="4" t="s">
        <v>49</v>
      </c>
      <c r="W865" s="5">
        <v>1.0</v>
      </c>
      <c r="X865" s="5" t="b">
        <v>1</v>
      </c>
      <c r="Y865" s="5" t="s">
        <v>50</v>
      </c>
      <c r="Z865" s="5" t="b">
        <v>0</v>
      </c>
      <c r="AA865" s="10"/>
      <c r="AB865" s="4">
        <v>1.0</v>
      </c>
      <c r="AC865" s="11" t="s">
        <v>5112</v>
      </c>
      <c r="AD865" s="5">
        <v>0.0</v>
      </c>
      <c r="AE865" s="5">
        <v>1.0</v>
      </c>
      <c r="AF865" s="8">
        <v>46191.0</v>
      </c>
      <c r="AG865" s="9">
        <v>0.375</v>
      </c>
      <c r="AH865" s="9">
        <v>0.9166666666666666</v>
      </c>
      <c r="AI865" s="4" t="s">
        <v>49</v>
      </c>
      <c r="AJ865" s="5" t="s">
        <v>5113</v>
      </c>
      <c r="AK865" s="12"/>
      <c r="AL865" s="12"/>
      <c r="AM865" s="12"/>
      <c r="AN865" s="12"/>
      <c r="AO865" s="12"/>
      <c r="AP865" s="12"/>
      <c r="AQ865" s="12"/>
    </row>
    <row r="866">
      <c r="A866" s="5" t="s">
        <v>5114</v>
      </c>
      <c r="B866" s="5">
        <v>1.1398423E7</v>
      </c>
      <c r="C866" s="5" t="s">
        <v>37</v>
      </c>
      <c r="D866" s="5" t="s">
        <v>5115</v>
      </c>
      <c r="E866" s="5" t="s">
        <v>39</v>
      </c>
      <c r="F866" s="5" t="s">
        <v>5116</v>
      </c>
      <c r="G866" s="15">
        <v>6.28579E17</v>
      </c>
      <c r="H866" s="5" t="s">
        <v>5117</v>
      </c>
      <c r="I866" s="5" t="s">
        <v>42</v>
      </c>
      <c r="J866" s="5" t="s">
        <v>43</v>
      </c>
      <c r="K866" s="5">
        <v>6.285143002578E12</v>
      </c>
      <c r="L866" s="4" t="s">
        <v>57</v>
      </c>
      <c r="M866" s="5" t="s">
        <v>42</v>
      </c>
      <c r="N866" s="4" t="s">
        <v>58</v>
      </c>
      <c r="O866" s="4" t="s">
        <v>59</v>
      </c>
      <c r="P866" s="4" t="s">
        <v>60</v>
      </c>
      <c r="Q866" s="4">
        <v>60291.0</v>
      </c>
      <c r="R866" s="5" t="s">
        <v>5118</v>
      </c>
      <c r="S866" s="8">
        <v>46191.0</v>
      </c>
      <c r="T866" s="9">
        <v>0.375</v>
      </c>
      <c r="U866" s="9">
        <v>0.9166666666666666</v>
      </c>
      <c r="V866" s="4" t="s">
        <v>49</v>
      </c>
      <c r="W866" s="5">
        <v>1.0</v>
      </c>
      <c r="X866" s="5" t="b">
        <v>1</v>
      </c>
      <c r="Y866" s="5" t="s">
        <v>50</v>
      </c>
      <c r="Z866" s="5" t="b">
        <v>0</v>
      </c>
      <c r="AA866" s="10"/>
      <c r="AB866" s="4">
        <v>1.0</v>
      </c>
      <c r="AC866" s="11" t="s">
        <v>5119</v>
      </c>
      <c r="AD866" s="5">
        <v>0.0</v>
      </c>
      <c r="AE866" s="5">
        <v>1.0</v>
      </c>
      <c r="AF866" s="8">
        <v>46191.0</v>
      </c>
      <c r="AG866" s="9">
        <v>0.375</v>
      </c>
      <c r="AH866" s="9">
        <v>0.9166666666666666</v>
      </c>
      <c r="AI866" s="4" t="s">
        <v>49</v>
      </c>
      <c r="AJ866" s="5" t="s">
        <v>5120</v>
      </c>
      <c r="AK866" s="12"/>
      <c r="AL866" s="12"/>
      <c r="AM866" s="12"/>
      <c r="AN866" s="12"/>
      <c r="AO866" s="12"/>
      <c r="AP866" s="12"/>
      <c r="AQ866" s="12"/>
    </row>
    <row r="867">
      <c r="A867" s="5" t="s">
        <v>5121</v>
      </c>
      <c r="B867" s="5">
        <v>1.1398423E7</v>
      </c>
      <c r="C867" s="5" t="s">
        <v>37</v>
      </c>
      <c r="D867" s="5" t="s">
        <v>5122</v>
      </c>
      <c r="E867" s="5" t="s">
        <v>39</v>
      </c>
      <c r="F867" s="5" t="s">
        <v>5123</v>
      </c>
      <c r="G867" s="15">
        <v>6.2823E16</v>
      </c>
      <c r="H867" s="5" t="s">
        <v>5124</v>
      </c>
      <c r="I867" s="5" t="s">
        <v>42</v>
      </c>
      <c r="J867" s="5" t="s">
        <v>43</v>
      </c>
      <c r="K867" s="5">
        <v>6.285143002578E12</v>
      </c>
      <c r="L867" s="4" t="s">
        <v>57</v>
      </c>
      <c r="M867" s="5" t="s">
        <v>42</v>
      </c>
      <c r="N867" s="4" t="s">
        <v>58</v>
      </c>
      <c r="O867" s="4" t="s">
        <v>59</v>
      </c>
      <c r="P867" s="4" t="s">
        <v>60</v>
      </c>
      <c r="Q867" s="4">
        <v>60291.0</v>
      </c>
      <c r="R867" s="5" t="s">
        <v>5125</v>
      </c>
      <c r="S867" s="8">
        <v>46191.0</v>
      </c>
      <c r="T867" s="9">
        <v>0.375</v>
      </c>
      <c r="U867" s="9">
        <v>0.9166666666666666</v>
      </c>
      <c r="V867" s="4" t="s">
        <v>49</v>
      </c>
      <c r="W867" s="5">
        <v>1.0</v>
      </c>
      <c r="X867" s="5" t="b">
        <v>1</v>
      </c>
      <c r="Y867" s="5" t="s">
        <v>50</v>
      </c>
      <c r="Z867" s="5" t="b">
        <v>0</v>
      </c>
      <c r="AA867" s="10"/>
      <c r="AB867" s="4">
        <v>1.0</v>
      </c>
      <c r="AC867" s="11" t="s">
        <v>5126</v>
      </c>
      <c r="AD867" s="5">
        <v>0.0</v>
      </c>
      <c r="AE867" s="5">
        <v>1.0</v>
      </c>
      <c r="AF867" s="8">
        <v>46191.0</v>
      </c>
      <c r="AG867" s="9">
        <v>0.375</v>
      </c>
      <c r="AH867" s="9">
        <v>0.9166666666666666</v>
      </c>
      <c r="AI867" s="4" t="s">
        <v>49</v>
      </c>
      <c r="AJ867" s="5" t="s">
        <v>5127</v>
      </c>
      <c r="AK867" s="12"/>
      <c r="AL867" s="12"/>
      <c r="AM867" s="12"/>
      <c r="AN867" s="12"/>
      <c r="AO867" s="12"/>
      <c r="AP867" s="12"/>
      <c r="AQ867" s="12"/>
    </row>
    <row r="868">
      <c r="A868" s="5" t="s">
        <v>5128</v>
      </c>
      <c r="B868" s="5">
        <v>1.1398423E7</v>
      </c>
      <c r="C868" s="5" t="s">
        <v>37</v>
      </c>
      <c r="D868" s="5" t="s">
        <v>5129</v>
      </c>
      <c r="E868" s="5" t="s">
        <v>39</v>
      </c>
      <c r="F868" s="5" t="s">
        <v>5130</v>
      </c>
      <c r="G868" s="15">
        <v>6.28214E17</v>
      </c>
      <c r="H868" s="5" t="s">
        <v>5131</v>
      </c>
      <c r="I868" s="5" t="s">
        <v>42</v>
      </c>
      <c r="J868" s="5" t="s">
        <v>43</v>
      </c>
      <c r="K868" s="5">
        <v>6.285143002578E12</v>
      </c>
      <c r="L868" s="4" t="s">
        <v>57</v>
      </c>
      <c r="M868" s="5" t="s">
        <v>42</v>
      </c>
      <c r="N868" s="4" t="s">
        <v>58</v>
      </c>
      <c r="O868" s="4" t="s">
        <v>59</v>
      </c>
      <c r="P868" s="4" t="s">
        <v>60</v>
      </c>
      <c r="Q868" s="4">
        <v>60291.0</v>
      </c>
      <c r="R868" s="5" t="s">
        <v>5132</v>
      </c>
      <c r="S868" s="8">
        <v>46191.0</v>
      </c>
      <c r="T868" s="9">
        <v>0.375</v>
      </c>
      <c r="U868" s="9">
        <v>0.9166666666666666</v>
      </c>
      <c r="V868" s="4" t="s">
        <v>49</v>
      </c>
      <c r="W868" s="5">
        <v>1.0</v>
      </c>
      <c r="X868" s="5" t="b">
        <v>1</v>
      </c>
      <c r="Y868" s="5" t="s">
        <v>50</v>
      </c>
      <c r="Z868" s="5" t="b">
        <v>0</v>
      </c>
      <c r="AA868" s="10"/>
      <c r="AB868" s="4">
        <v>1.0</v>
      </c>
      <c r="AC868" s="11" t="s">
        <v>5133</v>
      </c>
      <c r="AD868" s="5">
        <v>0.0</v>
      </c>
      <c r="AE868" s="5">
        <v>1.0</v>
      </c>
      <c r="AF868" s="8">
        <v>46191.0</v>
      </c>
      <c r="AG868" s="9">
        <v>0.375</v>
      </c>
      <c r="AH868" s="9">
        <v>0.9166666666666666</v>
      </c>
      <c r="AI868" s="4" t="s">
        <v>49</v>
      </c>
      <c r="AJ868" s="5" t="s">
        <v>5134</v>
      </c>
      <c r="AK868" s="12"/>
      <c r="AL868" s="12"/>
      <c r="AM868" s="12"/>
      <c r="AN868" s="12"/>
      <c r="AO868" s="12"/>
      <c r="AP868" s="12"/>
      <c r="AQ868" s="12"/>
    </row>
    <row r="869">
      <c r="A869" s="5" t="s">
        <v>5135</v>
      </c>
      <c r="B869" s="5">
        <v>1.1398423E7</v>
      </c>
      <c r="C869" s="5" t="s">
        <v>37</v>
      </c>
      <c r="D869" s="5" t="s">
        <v>5136</v>
      </c>
      <c r="E869" s="5" t="s">
        <v>39</v>
      </c>
      <c r="F869" s="5" t="s">
        <v>2646</v>
      </c>
      <c r="G869" s="15">
        <v>6.28775E17</v>
      </c>
      <c r="H869" s="5" t="s">
        <v>2647</v>
      </c>
      <c r="I869" s="5" t="s">
        <v>42</v>
      </c>
      <c r="J869" s="5" t="s">
        <v>43</v>
      </c>
      <c r="K869" s="5">
        <v>6.285143002578E12</v>
      </c>
      <c r="L869" s="4" t="s">
        <v>57</v>
      </c>
      <c r="M869" s="5" t="s">
        <v>42</v>
      </c>
      <c r="N869" s="4" t="s">
        <v>58</v>
      </c>
      <c r="O869" s="4" t="s">
        <v>59</v>
      </c>
      <c r="P869" s="4" t="s">
        <v>60</v>
      </c>
      <c r="Q869" s="4">
        <v>60291.0</v>
      </c>
      <c r="R869" s="5" t="s">
        <v>5137</v>
      </c>
      <c r="S869" s="8">
        <v>46191.0</v>
      </c>
      <c r="T869" s="9">
        <v>0.375</v>
      </c>
      <c r="U869" s="9">
        <v>0.9166666666666666</v>
      </c>
      <c r="V869" s="4" t="s">
        <v>49</v>
      </c>
      <c r="W869" s="5">
        <v>1.0</v>
      </c>
      <c r="X869" s="5" t="b">
        <v>1</v>
      </c>
      <c r="Y869" s="5" t="s">
        <v>50</v>
      </c>
      <c r="Z869" s="5" t="b">
        <v>0</v>
      </c>
      <c r="AA869" s="10"/>
      <c r="AB869" s="4">
        <v>1.0</v>
      </c>
      <c r="AC869" s="11" t="s">
        <v>5138</v>
      </c>
      <c r="AD869" s="5">
        <v>0.0</v>
      </c>
      <c r="AE869" s="5">
        <v>1.0</v>
      </c>
      <c r="AF869" s="8">
        <v>46191.0</v>
      </c>
      <c r="AG869" s="9">
        <v>0.375</v>
      </c>
      <c r="AH869" s="9">
        <v>0.9166666666666666</v>
      </c>
      <c r="AI869" s="4" t="s">
        <v>49</v>
      </c>
      <c r="AJ869" s="5" t="s">
        <v>5139</v>
      </c>
      <c r="AK869" s="12"/>
      <c r="AL869" s="12"/>
      <c r="AM869" s="12"/>
      <c r="AN869" s="12"/>
      <c r="AO869" s="12"/>
      <c r="AP869" s="12"/>
      <c r="AQ869" s="12"/>
    </row>
    <row r="870">
      <c r="A870" s="5" t="s">
        <v>5140</v>
      </c>
      <c r="B870" s="5">
        <v>1.1398423E7</v>
      </c>
      <c r="C870" s="5" t="s">
        <v>37</v>
      </c>
      <c r="D870" s="5" t="s">
        <v>5141</v>
      </c>
      <c r="E870" s="5" t="s">
        <v>39</v>
      </c>
      <c r="F870" s="5" t="s">
        <v>5142</v>
      </c>
      <c r="G870" s="15">
        <v>6.28133E17</v>
      </c>
      <c r="H870" s="5" t="s">
        <v>5143</v>
      </c>
      <c r="I870" s="5" t="s">
        <v>42</v>
      </c>
      <c r="J870" s="5" t="s">
        <v>43</v>
      </c>
      <c r="K870" s="5">
        <v>6.285143002578E12</v>
      </c>
      <c r="L870" s="4" t="s">
        <v>57</v>
      </c>
      <c r="M870" s="5" t="s">
        <v>42</v>
      </c>
      <c r="N870" s="4" t="s">
        <v>58</v>
      </c>
      <c r="O870" s="4" t="s">
        <v>59</v>
      </c>
      <c r="P870" s="4" t="s">
        <v>60</v>
      </c>
      <c r="Q870" s="4">
        <v>60291.0</v>
      </c>
      <c r="R870" s="5" t="s">
        <v>5144</v>
      </c>
      <c r="S870" s="8">
        <v>46191.0</v>
      </c>
      <c r="T870" s="9">
        <v>0.375</v>
      </c>
      <c r="U870" s="9">
        <v>0.9166666666666666</v>
      </c>
      <c r="V870" s="4" t="s">
        <v>49</v>
      </c>
      <c r="W870" s="5">
        <v>1.0</v>
      </c>
      <c r="X870" s="5" t="b">
        <v>1</v>
      </c>
      <c r="Y870" s="5" t="s">
        <v>50</v>
      </c>
      <c r="Z870" s="5" t="b">
        <v>0</v>
      </c>
      <c r="AA870" s="10"/>
      <c r="AB870" s="4">
        <v>1.0</v>
      </c>
      <c r="AC870" s="11" t="s">
        <v>5145</v>
      </c>
      <c r="AD870" s="5">
        <v>0.0</v>
      </c>
      <c r="AE870" s="5">
        <v>1.0</v>
      </c>
      <c r="AF870" s="8">
        <v>46191.0</v>
      </c>
      <c r="AG870" s="9">
        <v>0.375</v>
      </c>
      <c r="AH870" s="9">
        <v>0.9166666666666666</v>
      </c>
      <c r="AI870" s="4" t="s">
        <v>49</v>
      </c>
      <c r="AJ870" s="5" t="s">
        <v>5146</v>
      </c>
      <c r="AK870" s="12"/>
      <c r="AL870" s="12"/>
      <c r="AM870" s="12"/>
      <c r="AN870" s="12"/>
      <c r="AO870" s="12"/>
      <c r="AP870" s="12"/>
      <c r="AQ870" s="12"/>
    </row>
    <row r="871">
      <c r="A871" s="5" t="s">
        <v>5147</v>
      </c>
      <c r="B871" s="5">
        <v>1.1398423E7</v>
      </c>
      <c r="C871" s="5" t="s">
        <v>37</v>
      </c>
      <c r="D871" s="5" t="s">
        <v>5148</v>
      </c>
      <c r="E871" s="5" t="s">
        <v>39</v>
      </c>
      <c r="F871" s="5" t="s">
        <v>5149</v>
      </c>
      <c r="G871" s="15">
        <v>6.28223E17</v>
      </c>
      <c r="H871" s="5" t="s">
        <v>5150</v>
      </c>
      <c r="I871" s="5" t="s">
        <v>42</v>
      </c>
      <c r="J871" s="5" t="s">
        <v>43</v>
      </c>
      <c r="K871" s="5">
        <v>6.285143002578E12</v>
      </c>
      <c r="L871" s="4" t="s">
        <v>57</v>
      </c>
      <c r="M871" s="5" t="s">
        <v>42</v>
      </c>
      <c r="N871" s="4" t="s">
        <v>58</v>
      </c>
      <c r="O871" s="4" t="s">
        <v>59</v>
      </c>
      <c r="P871" s="4" t="s">
        <v>60</v>
      </c>
      <c r="Q871" s="4">
        <v>60291.0</v>
      </c>
      <c r="R871" s="5" t="s">
        <v>5151</v>
      </c>
      <c r="S871" s="8">
        <v>46191.0</v>
      </c>
      <c r="T871" s="9">
        <v>0.375</v>
      </c>
      <c r="U871" s="9">
        <v>0.9166666666666666</v>
      </c>
      <c r="V871" s="4" t="s">
        <v>49</v>
      </c>
      <c r="W871" s="5">
        <v>1.0</v>
      </c>
      <c r="X871" s="5" t="b">
        <v>1</v>
      </c>
      <c r="Y871" s="5" t="s">
        <v>50</v>
      </c>
      <c r="Z871" s="5" t="b">
        <v>0</v>
      </c>
      <c r="AA871" s="10"/>
      <c r="AB871" s="4">
        <v>1.0</v>
      </c>
      <c r="AC871" s="11" t="s">
        <v>5152</v>
      </c>
      <c r="AD871" s="5">
        <v>0.0</v>
      </c>
      <c r="AE871" s="5">
        <v>1.0</v>
      </c>
      <c r="AF871" s="8">
        <v>46191.0</v>
      </c>
      <c r="AG871" s="9">
        <v>0.375</v>
      </c>
      <c r="AH871" s="9">
        <v>0.9166666666666666</v>
      </c>
      <c r="AI871" s="4" t="s">
        <v>49</v>
      </c>
      <c r="AJ871" s="5" t="s">
        <v>5153</v>
      </c>
      <c r="AK871" s="12"/>
      <c r="AL871" s="12"/>
      <c r="AM871" s="12"/>
      <c r="AN871" s="12"/>
      <c r="AO871" s="12"/>
      <c r="AP871" s="12"/>
      <c r="AQ871" s="12"/>
    </row>
    <row r="872">
      <c r="A872" s="5" t="s">
        <v>5154</v>
      </c>
      <c r="B872" s="5">
        <v>1.1398423E7</v>
      </c>
      <c r="C872" s="5" t="s">
        <v>37</v>
      </c>
      <c r="D872" s="5" t="s">
        <v>5155</v>
      </c>
      <c r="E872" s="5" t="s">
        <v>39</v>
      </c>
      <c r="F872" s="5" t="s">
        <v>5156</v>
      </c>
      <c r="G872" s="15">
        <v>6.28133E17</v>
      </c>
      <c r="H872" s="5" t="s">
        <v>5157</v>
      </c>
      <c r="I872" s="5" t="s">
        <v>42</v>
      </c>
      <c r="J872" s="5" t="s">
        <v>43</v>
      </c>
      <c r="K872" s="5">
        <v>6.285143002578E12</v>
      </c>
      <c r="L872" s="4" t="s">
        <v>57</v>
      </c>
      <c r="M872" s="5" t="s">
        <v>42</v>
      </c>
      <c r="N872" s="4" t="s">
        <v>58</v>
      </c>
      <c r="O872" s="4" t="s">
        <v>59</v>
      </c>
      <c r="P872" s="4" t="s">
        <v>60</v>
      </c>
      <c r="Q872" s="4">
        <v>60291.0</v>
      </c>
      <c r="R872" s="5" t="s">
        <v>5158</v>
      </c>
      <c r="S872" s="8">
        <v>46191.0</v>
      </c>
      <c r="T872" s="9">
        <v>0.375</v>
      </c>
      <c r="U872" s="9">
        <v>0.9166666666666666</v>
      </c>
      <c r="V872" s="4" t="s">
        <v>49</v>
      </c>
      <c r="W872" s="5">
        <v>1.0</v>
      </c>
      <c r="X872" s="5" t="b">
        <v>1</v>
      </c>
      <c r="Y872" s="5" t="s">
        <v>50</v>
      </c>
      <c r="Z872" s="5" t="b">
        <v>0</v>
      </c>
      <c r="AA872" s="10"/>
      <c r="AB872" s="4">
        <v>1.0</v>
      </c>
      <c r="AC872" s="11" t="s">
        <v>5159</v>
      </c>
      <c r="AD872" s="5">
        <v>0.0</v>
      </c>
      <c r="AE872" s="5">
        <v>1.0</v>
      </c>
      <c r="AF872" s="8">
        <v>46191.0</v>
      </c>
      <c r="AG872" s="9">
        <v>0.375</v>
      </c>
      <c r="AH872" s="9">
        <v>0.9166666666666666</v>
      </c>
      <c r="AI872" s="4" t="s">
        <v>49</v>
      </c>
      <c r="AJ872" s="5" t="s">
        <v>5160</v>
      </c>
      <c r="AK872" s="12"/>
      <c r="AL872" s="12"/>
      <c r="AM872" s="12"/>
      <c r="AN872" s="12"/>
      <c r="AO872" s="12"/>
      <c r="AP872" s="12"/>
      <c r="AQ872" s="12"/>
    </row>
    <row r="873">
      <c r="A873" s="5" t="s">
        <v>5161</v>
      </c>
      <c r="B873" s="5">
        <v>1.1398423E7</v>
      </c>
      <c r="C873" s="5" t="s">
        <v>37</v>
      </c>
      <c r="D873" s="5" t="s">
        <v>5162</v>
      </c>
      <c r="E873" s="5" t="s">
        <v>39</v>
      </c>
      <c r="F873" s="5" t="s">
        <v>5163</v>
      </c>
      <c r="G873" s="15">
        <v>6.28573E17</v>
      </c>
      <c r="H873" s="5" t="s">
        <v>5164</v>
      </c>
      <c r="I873" s="5" t="s">
        <v>42</v>
      </c>
      <c r="J873" s="5" t="s">
        <v>43</v>
      </c>
      <c r="K873" s="5">
        <v>6.285143002578E12</v>
      </c>
      <c r="L873" s="4" t="s">
        <v>57</v>
      </c>
      <c r="M873" s="5" t="s">
        <v>42</v>
      </c>
      <c r="N873" s="4" t="s">
        <v>58</v>
      </c>
      <c r="O873" s="4" t="s">
        <v>59</v>
      </c>
      <c r="P873" s="4" t="s">
        <v>60</v>
      </c>
      <c r="Q873" s="4">
        <v>60291.0</v>
      </c>
      <c r="R873" s="5" t="s">
        <v>5165</v>
      </c>
      <c r="S873" s="8">
        <v>46191.0</v>
      </c>
      <c r="T873" s="9">
        <v>0.375</v>
      </c>
      <c r="U873" s="9">
        <v>0.9166666666666666</v>
      </c>
      <c r="V873" s="4" t="s">
        <v>49</v>
      </c>
      <c r="W873" s="5">
        <v>1.0</v>
      </c>
      <c r="X873" s="5" t="b">
        <v>1</v>
      </c>
      <c r="Y873" s="5" t="s">
        <v>50</v>
      </c>
      <c r="Z873" s="5" t="b">
        <v>0</v>
      </c>
      <c r="AA873" s="10"/>
      <c r="AB873" s="4">
        <v>1.0</v>
      </c>
      <c r="AC873" s="11" t="s">
        <v>5166</v>
      </c>
      <c r="AD873" s="5">
        <v>0.0</v>
      </c>
      <c r="AE873" s="5">
        <v>1.0</v>
      </c>
      <c r="AF873" s="8">
        <v>46191.0</v>
      </c>
      <c r="AG873" s="9">
        <v>0.375</v>
      </c>
      <c r="AH873" s="9">
        <v>0.9166666666666666</v>
      </c>
      <c r="AI873" s="4" t="s">
        <v>49</v>
      </c>
      <c r="AJ873" s="5" t="s">
        <v>5167</v>
      </c>
      <c r="AK873" s="12"/>
      <c r="AL873" s="12"/>
      <c r="AM873" s="12"/>
      <c r="AN873" s="12"/>
      <c r="AO873" s="12"/>
      <c r="AP873" s="12"/>
      <c r="AQ873" s="12"/>
    </row>
    <row r="874">
      <c r="A874" s="5" t="s">
        <v>5168</v>
      </c>
      <c r="B874" s="5">
        <v>1.1398423E7</v>
      </c>
      <c r="C874" s="5" t="s">
        <v>37</v>
      </c>
      <c r="D874" s="5" t="s">
        <v>5169</v>
      </c>
      <c r="E874" s="5" t="s">
        <v>39</v>
      </c>
      <c r="F874" s="5" t="s">
        <v>5170</v>
      </c>
      <c r="G874" s="15">
        <v>6.28575E17</v>
      </c>
      <c r="H874" s="5" t="s">
        <v>5171</v>
      </c>
      <c r="I874" s="5" t="s">
        <v>42</v>
      </c>
      <c r="J874" s="5" t="s">
        <v>43</v>
      </c>
      <c r="K874" s="5">
        <v>6.285143002578E12</v>
      </c>
      <c r="L874" s="4" t="s">
        <v>57</v>
      </c>
      <c r="M874" s="5" t="s">
        <v>42</v>
      </c>
      <c r="N874" s="4" t="s">
        <v>58</v>
      </c>
      <c r="O874" s="4" t="s">
        <v>59</v>
      </c>
      <c r="P874" s="4" t="s">
        <v>60</v>
      </c>
      <c r="Q874" s="4">
        <v>60291.0</v>
      </c>
      <c r="R874" s="5" t="s">
        <v>5172</v>
      </c>
      <c r="S874" s="8">
        <v>46191.0</v>
      </c>
      <c r="T874" s="9">
        <v>0.375</v>
      </c>
      <c r="U874" s="9">
        <v>0.9166666666666666</v>
      </c>
      <c r="V874" s="4" t="s">
        <v>49</v>
      </c>
      <c r="W874" s="5">
        <v>1.0</v>
      </c>
      <c r="X874" s="5" t="b">
        <v>1</v>
      </c>
      <c r="Y874" s="5" t="s">
        <v>50</v>
      </c>
      <c r="Z874" s="5" t="b">
        <v>0</v>
      </c>
      <c r="AA874" s="10"/>
      <c r="AB874" s="4">
        <v>1.0</v>
      </c>
      <c r="AC874" s="11" t="s">
        <v>5173</v>
      </c>
      <c r="AD874" s="5">
        <v>0.0</v>
      </c>
      <c r="AE874" s="5">
        <v>1.0</v>
      </c>
      <c r="AF874" s="8">
        <v>46191.0</v>
      </c>
      <c r="AG874" s="9">
        <v>0.375</v>
      </c>
      <c r="AH874" s="9">
        <v>0.9166666666666666</v>
      </c>
      <c r="AI874" s="4" t="s">
        <v>49</v>
      </c>
      <c r="AJ874" s="5" t="s">
        <v>5174</v>
      </c>
      <c r="AK874" s="12"/>
      <c r="AL874" s="12"/>
      <c r="AM874" s="12"/>
      <c r="AN874" s="12"/>
      <c r="AO874" s="12"/>
      <c r="AP874" s="12"/>
      <c r="AQ874" s="12"/>
    </row>
    <row r="875">
      <c r="A875" s="5" t="s">
        <v>5175</v>
      </c>
      <c r="B875" s="5">
        <v>1.1398423E7</v>
      </c>
      <c r="C875" s="5" t="s">
        <v>37</v>
      </c>
      <c r="D875" s="5" t="s">
        <v>5176</v>
      </c>
      <c r="E875" s="5" t="s">
        <v>39</v>
      </c>
      <c r="F875" s="5" t="s">
        <v>5177</v>
      </c>
      <c r="G875" s="15">
        <v>8.161388744E9</v>
      </c>
      <c r="H875" s="5" t="s">
        <v>5178</v>
      </c>
      <c r="I875" s="5" t="s">
        <v>42</v>
      </c>
      <c r="J875" s="5" t="s">
        <v>43</v>
      </c>
      <c r="K875" s="5">
        <v>8.7733785699E10</v>
      </c>
      <c r="L875" s="4" t="s">
        <v>44</v>
      </c>
      <c r="M875" s="5" t="s">
        <v>42</v>
      </c>
      <c r="N875" s="4" t="s">
        <v>45</v>
      </c>
      <c r="O875" s="4" t="s">
        <v>46</v>
      </c>
      <c r="P875" s="4" t="s">
        <v>47</v>
      </c>
      <c r="Q875" s="4">
        <v>16451.0</v>
      </c>
      <c r="R875" s="5" t="s">
        <v>5179</v>
      </c>
      <c r="S875" s="8">
        <v>46191.0</v>
      </c>
      <c r="T875" s="9">
        <v>0.375</v>
      </c>
      <c r="U875" s="9">
        <v>0.9166666666666666</v>
      </c>
      <c r="V875" s="4" t="s">
        <v>49</v>
      </c>
      <c r="W875" s="5">
        <v>1.0</v>
      </c>
      <c r="X875" s="5" t="b">
        <v>1</v>
      </c>
      <c r="Y875" s="5" t="s">
        <v>50</v>
      </c>
      <c r="Z875" s="5" t="b">
        <v>0</v>
      </c>
      <c r="AA875" s="10"/>
      <c r="AB875" s="4">
        <v>1.0</v>
      </c>
      <c r="AC875" s="11" t="s">
        <v>5180</v>
      </c>
      <c r="AD875" s="5">
        <v>0.0</v>
      </c>
      <c r="AE875" s="5">
        <v>1.0</v>
      </c>
      <c r="AF875" s="8">
        <v>46191.0</v>
      </c>
      <c r="AG875" s="9">
        <v>0.375</v>
      </c>
      <c r="AH875" s="9">
        <v>0.9166666666666666</v>
      </c>
      <c r="AI875" s="4" t="s">
        <v>49</v>
      </c>
      <c r="AJ875" s="5" t="s">
        <v>5181</v>
      </c>
      <c r="AK875" s="12"/>
      <c r="AL875" s="12"/>
      <c r="AM875" s="12"/>
      <c r="AN875" s="12"/>
      <c r="AO875" s="12"/>
      <c r="AP875" s="12"/>
      <c r="AQ875" s="12"/>
    </row>
    <row r="876">
      <c r="A876" s="5" t="s">
        <v>5182</v>
      </c>
      <c r="B876" s="5">
        <v>1.1398423E7</v>
      </c>
      <c r="C876" s="5" t="s">
        <v>37</v>
      </c>
      <c r="D876" s="5" t="s">
        <v>5183</v>
      </c>
      <c r="E876" s="5" t="s">
        <v>39</v>
      </c>
      <c r="F876" s="5" t="s">
        <v>5184</v>
      </c>
      <c r="G876" s="15">
        <v>8.17671E9</v>
      </c>
      <c r="H876" s="5" t="s">
        <v>5185</v>
      </c>
      <c r="I876" s="5" t="s">
        <v>42</v>
      </c>
      <c r="J876" s="5" t="s">
        <v>43</v>
      </c>
      <c r="K876" s="5">
        <v>8.7733785699E10</v>
      </c>
      <c r="L876" s="4" t="s">
        <v>44</v>
      </c>
      <c r="M876" s="5" t="s">
        <v>42</v>
      </c>
      <c r="N876" s="4" t="s">
        <v>45</v>
      </c>
      <c r="O876" s="4" t="s">
        <v>46</v>
      </c>
      <c r="P876" s="4" t="s">
        <v>47</v>
      </c>
      <c r="Q876" s="4">
        <v>16451.0</v>
      </c>
      <c r="R876" s="5" t="s">
        <v>5186</v>
      </c>
      <c r="S876" s="8">
        <v>46191.0</v>
      </c>
      <c r="T876" s="9">
        <v>0.375</v>
      </c>
      <c r="U876" s="9">
        <v>0.9166666666666666</v>
      </c>
      <c r="V876" s="4" t="s">
        <v>49</v>
      </c>
      <c r="W876" s="5">
        <v>1.0</v>
      </c>
      <c r="X876" s="5" t="b">
        <v>1</v>
      </c>
      <c r="Y876" s="5" t="s">
        <v>50</v>
      </c>
      <c r="Z876" s="5" t="b">
        <v>0</v>
      </c>
      <c r="AA876" s="10"/>
      <c r="AB876" s="4">
        <v>1.0</v>
      </c>
      <c r="AC876" s="11" t="s">
        <v>5187</v>
      </c>
      <c r="AD876" s="5">
        <v>0.0</v>
      </c>
      <c r="AE876" s="5">
        <v>1.0</v>
      </c>
      <c r="AF876" s="8">
        <v>46191.0</v>
      </c>
      <c r="AG876" s="9">
        <v>0.375</v>
      </c>
      <c r="AH876" s="9">
        <v>0.9166666666666666</v>
      </c>
      <c r="AI876" s="4" t="s">
        <v>49</v>
      </c>
      <c r="AJ876" s="5" t="s">
        <v>5188</v>
      </c>
      <c r="AK876" s="12"/>
      <c r="AL876" s="12"/>
      <c r="AM876" s="12"/>
      <c r="AN876" s="12"/>
      <c r="AO876" s="12"/>
      <c r="AP876" s="12"/>
      <c r="AQ876" s="12"/>
    </row>
    <row r="877">
      <c r="A877" s="5" t="s">
        <v>5189</v>
      </c>
      <c r="B877" s="5">
        <v>1.1398423E7</v>
      </c>
      <c r="C877" s="5" t="s">
        <v>37</v>
      </c>
      <c r="D877" s="5" t="s">
        <v>5176</v>
      </c>
      <c r="E877" s="5" t="s">
        <v>39</v>
      </c>
      <c r="F877" s="5" t="s">
        <v>5177</v>
      </c>
      <c r="G877" s="15">
        <v>8.161388744E9</v>
      </c>
      <c r="H877" s="5" t="s">
        <v>5178</v>
      </c>
      <c r="I877" s="5" t="s">
        <v>42</v>
      </c>
      <c r="J877" s="5" t="s">
        <v>43</v>
      </c>
      <c r="K877" s="5">
        <v>8.7733785699E10</v>
      </c>
      <c r="L877" s="4" t="s">
        <v>44</v>
      </c>
      <c r="M877" s="5" t="s">
        <v>42</v>
      </c>
      <c r="N877" s="4" t="s">
        <v>45</v>
      </c>
      <c r="O877" s="4" t="s">
        <v>46</v>
      </c>
      <c r="P877" s="4" t="s">
        <v>47</v>
      </c>
      <c r="Q877" s="4">
        <v>16451.0</v>
      </c>
      <c r="R877" s="5" t="s">
        <v>5179</v>
      </c>
      <c r="S877" s="8">
        <v>46191.0</v>
      </c>
      <c r="T877" s="9">
        <v>0.375</v>
      </c>
      <c r="U877" s="9">
        <v>0.9166666666666666</v>
      </c>
      <c r="V877" s="4" t="s">
        <v>49</v>
      </c>
      <c r="W877" s="5">
        <v>1.0</v>
      </c>
      <c r="X877" s="5" t="b">
        <v>1</v>
      </c>
      <c r="Y877" s="5" t="s">
        <v>50</v>
      </c>
      <c r="Z877" s="5" t="b">
        <v>0</v>
      </c>
      <c r="AA877" s="10"/>
      <c r="AB877" s="4">
        <v>1.0</v>
      </c>
      <c r="AC877" s="11" t="s">
        <v>5190</v>
      </c>
      <c r="AD877" s="5">
        <v>0.0</v>
      </c>
      <c r="AE877" s="5">
        <v>1.0</v>
      </c>
      <c r="AF877" s="8">
        <v>46191.0</v>
      </c>
      <c r="AG877" s="9">
        <v>0.375</v>
      </c>
      <c r="AH877" s="9">
        <v>0.9166666666666666</v>
      </c>
      <c r="AI877" s="4" t="s">
        <v>49</v>
      </c>
      <c r="AJ877" s="5" t="s">
        <v>5181</v>
      </c>
      <c r="AK877" s="12"/>
      <c r="AL877" s="12"/>
      <c r="AM877" s="12"/>
      <c r="AN877" s="12"/>
      <c r="AO877" s="12"/>
      <c r="AP877" s="12"/>
      <c r="AQ877" s="12"/>
    </row>
    <row r="878">
      <c r="A878" s="5" t="s">
        <v>5191</v>
      </c>
      <c r="B878" s="5">
        <v>1.1398423E7</v>
      </c>
      <c r="C878" s="5" t="s">
        <v>37</v>
      </c>
      <c r="D878" s="5" t="s">
        <v>5192</v>
      </c>
      <c r="E878" s="5" t="s">
        <v>39</v>
      </c>
      <c r="F878" s="5" t="s">
        <v>65</v>
      </c>
      <c r="G878" s="15">
        <v>6.28199E17</v>
      </c>
      <c r="H878" s="5" t="s">
        <v>66</v>
      </c>
      <c r="I878" s="5" t="s">
        <v>42</v>
      </c>
      <c r="J878" s="5" t="s">
        <v>43</v>
      </c>
      <c r="K878" s="5">
        <v>8.7733785699E10</v>
      </c>
      <c r="L878" s="4" t="s">
        <v>44</v>
      </c>
      <c r="M878" s="5" t="s">
        <v>42</v>
      </c>
      <c r="N878" s="4" t="s">
        <v>45</v>
      </c>
      <c r="O878" s="4" t="s">
        <v>46</v>
      </c>
      <c r="P878" s="4" t="s">
        <v>47</v>
      </c>
      <c r="Q878" s="4">
        <v>16451.0</v>
      </c>
      <c r="R878" s="5" t="s">
        <v>5193</v>
      </c>
      <c r="S878" s="8">
        <v>46191.0</v>
      </c>
      <c r="T878" s="9">
        <v>0.375</v>
      </c>
      <c r="U878" s="9">
        <v>0.9166666666666666</v>
      </c>
      <c r="V878" s="4" t="s">
        <v>49</v>
      </c>
      <c r="W878" s="5">
        <v>1.0</v>
      </c>
      <c r="X878" s="5" t="b">
        <v>1</v>
      </c>
      <c r="Y878" s="5" t="s">
        <v>50</v>
      </c>
      <c r="Z878" s="5" t="b">
        <v>0</v>
      </c>
      <c r="AA878" s="10"/>
      <c r="AB878" s="4">
        <v>1.0</v>
      </c>
      <c r="AC878" s="11" t="s">
        <v>5194</v>
      </c>
      <c r="AD878" s="5">
        <v>0.0</v>
      </c>
      <c r="AE878" s="5">
        <v>1.0</v>
      </c>
      <c r="AF878" s="8">
        <v>46191.0</v>
      </c>
      <c r="AG878" s="9">
        <v>0.375</v>
      </c>
      <c r="AH878" s="9">
        <v>0.9166666666666666</v>
      </c>
      <c r="AI878" s="4" t="s">
        <v>49</v>
      </c>
      <c r="AJ878" s="5" t="s">
        <v>5195</v>
      </c>
      <c r="AK878" s="12"/>
      <c r="AL878" s="12"/>
      <c r="AM878" s="12"/>
      <c r="AN878" s="12"/>
      <c r="AO878" s="12"/>
      <c r="AP878" s="12"/>
      <c r="AQ878" s="12"/>
    </row>
    <row r="879">
      <c r="A879" s="5" t="s">
        <v>5196</v>
      </c>
      <c r="B879" s="5">
        <v>1.1398423E7</v>
      </c>
      <c r="C879" s="5" t="s">
        <v>37</v>
      </c>
      <c r="D879" s="5" t="s">
        <v>5197</v>
      </c>
      <c r="E879" s="5" t="s">
        <v>39</v>
      </c>
      <c r="F879" s="5" t="s">
        <v>5081</v>
      </c>
      <c r="G879" s="15">
        <v>8.121962657E9</v>
      </c>
      <c r="H879" s="5" t="s">
        <v>5082</v>
      </c>
      <c r="I879" s="5" t="s">
        <v>42</v>
      </c>
      <c r="J879" s="5" t="s">
        <v>43</v>
      </c>
      <c r="K879" s="5">
        <v>8.7733785699E10</v>
      </c>
      <c r="L879" s="4" t="s">
        <v>44</v>
      </c>
      <c r="M879" s="5" t="s">
        <v>42</v>
      </c>
      <c r="N879" s="4" t="s">
        <v>45</v>
      </c>
      <c r="O879" s="4" t="s">
        <v>46</v>
      </c>
      <c r="P879" s="4" t="s">
        <v>47</v>
      </c>
      <c r="Q879" s="4">
        <v>16451.0</v>
      </c>
      <c r="R879" s="5" t="s">
        <v>5083</v>
      </c>
      <c r="S879" s="8">
        <v>46191.0</v>
      </c>
      <c r="T879" s="9">
        <v>0.375</v>
      </c>
      <c r="U879" s="9">
        <v>0.9166666666666666</v>
      </c>
      <c r="V879" s="4" t="s">
        <v>49</v>
      </c>
      <c r="W879" s="5">
        <v>1.0</v>
      </c>
      <c r="X879" s="5" t="b">
        <v>1</v>
      </c>
      <c r="Y879" s="5" t="s">
        <v>50</v>
      </c>
      <c r="Z879" s="5" t="b">
        <v>0</v>
      </c>
      <c r="AA879" s="10"/>
      <c r="AB879" s="4">
        <v>1.0</v>
      </c>
      <c r="AC879" s="11" t="s">
        <v>5198</v>
      </c>
      <c r="AD879" s="5">
        <v>0.0</v>
      </c>
      <c r="AE879" s="5">
        <v>1.0</v>
      </c>
      <c r="AF879" s="8">
        <v>46191.0</v>
      </c>
      <c r="AG879" s="9">
        <v>0.375</v>
      </c>
      <c r="AH879" s="9">
        <v>0.9166666666666666</v>
      </c>
      <c r="AI879" s="4" t="s">
        <v>49</v>
      </c>
      <c r="AJ879" s="5" t="s">
        <v>5085</v>
      </c>
      <c r="AK879" s="12"/>
      <c r="AL879" s="12"/>
      <c r="AM879" s="12"/>
      <c r="AN879" s="12"/>
      <c r="AO879" s="12"/>
      <c r="AP879" s="12"/>
      <c r="AQ879" s="12"/>
    </row>
    <row r="880">
      <c r="A880" s="5" t="s">
        <v>5199</v>
      </c>
      <c r="B880" s="5">
        <v>1.1398423E7</v>
      </c>
      <c r="C880" s="5" t="s">
        <v>37</v>
      </c>
      <c r="D880" s="5" t="s">
        <v>5200</v>
      </c>
      <c r="E880" s="5" t="s">
        <v>39</v>
      </c>
      <c r="F880" s="5" t="s">
        <v>5201</v>
      </c>
      <c r="G880" s="15">
        <v>6.28219E17</v>
      </c>
      <c r="H880" s="5" t="s">
        <v>5202</v>
      </c>
      <c r="I880" s="5" t="s">
        <v>42</v>
      </c>
      <c r="J880" s="5" t="s">
        <v>43</v>
      </c>
      <c r="K880" s="5">
        <v>8.7733785699E10</v>
      </c>
      <c r="L880" s="4" t="s">
        <v>44</v>
      </c>
      <c r="M880" s="5" t="s">
        <v>42</v>
      </c>
      <c r="N880" s="4" t="s">
        <v>45</v>
      </c>
      <c r="O880" s="4" t="s">
        <v>46</v>
      </c>
      <c r="P880" s="4" t="s">
        <v>47</v>
      </c>
      <c r="Q880" s="4">
        <v>16451.0</v>
      </c>
      <c r="R880" s="5" t="s">
        <v>5203</v>
      </c>
      <c r="S880" s="8">
        <v>46191.0</v>
      </c>
      <c r="T880" s="9">
        <v>0.375</v>
      </c>
      <c r="U880" s="9">
        <v>0.9166666666666666</v>
      </c>
      <c r="V880" s="4" t="s">
        <v>49</v>
      </c>
      <c r="W880" s="5">
        <v>1.0</v>
      </c>
      <c r="X880" s="5" t="b">
        <v>1</v>
      </c>
      <c r="Y880" s="5" t="s">
        <v>50</v>
      </c>
      <c r="Z880" s="5" t="b">
        <v>0</v>
      </c>
      <c r="AA880" s="10"/>
      <c r="AB880" s="4">
        <v>1.0</v>
      </c>
      <c r="AC880" s="11" t="s">
        <v>5204</v>
      </c>
      <c r="AD880" s="5">
        <v>0.0</v>
      </c>
      <c r="AE880" s="5">
        <v>1.0</v>
      </c>
      <c r="AF880" s="8">
        <v>46191.0</v>
      </c>
      <c r="AG880" s="9">
        <v>0.375</v>
      </c>
      <c r="AH880" s="9">
        <v>0.9166666666666666</v>
      </c>
      <c r="AI880" s="4" t="s">
        <v>49</v>
      </c>
      <c r="AJ880" s="5" t="s">
        <v>5205</v>
      </c>
      <c r="AK880" s="12"/>
      <c r="AL880" s="12"/>
      <c r="AM880" s="12"/>
      <c r="AN880" s="12"/>
      <c r="AO880" s="12"/>
      <c r="AP880" s="12"/>
      <c r="AQ880" s="12"/>
    </row>
    <row r="881">
      <c r="A881" s="5" t="s">
        <v>5206</v>
      </c>
      <c r="B881" s="5">
        <v>1.1398423E7</v>
      </c>
      <c r="C881" s="5" t="s">
        <v>37</v>
      </c>
      <c r="D881" s="5" t="s">
        <v>5207</v>
      </c>
      <c r="E881" s="5" t="s">
        <v>39</v>
      </c>
      <c r="F881" s="5" t="s">
        <v>5208</v>
      </c>
      <c r="G881" s="15">
        <v>8.1260326214E10</v>
      </c>
      <c r="H881" s="5" t="s">
        <v>5209</v>
      </c>
      <c r="I881" s="5" t="s">
        <v>42</v>
      </c>
      <c r="J881" s="5" t="s">
        <v>43</v>
      </c>
      <c r="K881" s="5">
        <v>8.7733785699E10</v>
      </c>
      <c r="L881" s="4" t="s">
        <v>44</v>
      </c>
      <c r="M881" s="5" t="s">
        <v>42</v>
      </c>
      <c r="N881" s="4" t="s">
        <v>45</v>
      </c>
      <c r="O881" s="4" t="s">
        <v>46</v>
      </c>
      <c r="P881" s="4" t="s">
        <v>47</v>
      </c>
      <c r="Q881" s="4">
        <v>16451.0</v>
      </c>
      <c r="R881" s="5" t="s">
        <v>5210</v>
      </c>
      <c r="S881" s="8">
        <v>46191.0</v>
      </c>
      <c r="T881" s="9">
        <v>0.375</v>
      </c>
      <c r="U881" s="9">
        <v>0.9166666666666666</v>
      </c>
      <c r="V881" s="4" t="s">
        <v>49</v>
      </c>
      <c r="W881" s="5">
        <v>1.0</v>
      </c>
      <c r="X881" s="5" t="b">
        <v>1</v>
      </c>
      <c r="Y881" s="5" t="s">
        <v>50</v>
      </c>
      <c r="Z881" s="5" t="b">
        <v>0</v>
      </c>
      <c r="AA881" s="10"/>
      <c r="AB881" s="4">
        <v>1.0</v>
      </c>
      <c r="AC881" s="11" t="s">
        <v>5211</v>
      </c>
      <c r="AD881" s="5">
        <v>0.0</v>
      </c>
      <c r="AE881" s="5">
        <v>1.0</v>
      </c>
      <c r="AF881" s="8">
        <v>46191.0</v>
      </c>
      <c r="AG881" s="9">
        <v>0.375</v>
      </c>
      <c r="AH881" s="9">
        <v>0.9166666666666666</v>
      </c>
      <c r="AI881" s="4" t="s">
        <v>49</v>
      </c>
      <c r="AJ881" s="5" t="s">
        <v>5212</v>
      </c>
      <c r="AK881" s="12"/>
      <c r="AL881" s="12"/>
      <c r="AM881" s="12"/>
      <c r="AN881" s="12"/>
      <c r="AO881" s="12"/>
      <c r="AP881" s="12"/>
      <c r="AQ881" s="12"/>
    </row>
    <row r="882">
      <c r="A882" s="5" t="s">
        <v>5213</v>
      </c>
      <c r="B882" s="5">
        <v>1.1398423E7</v>
      </c>
      <c r="C882" s="5" t="s">
        <v>37</v>
      </c>
      <c r="D882" s="5" t="s">
        <v>5214</v>
      </c>
      <c r="E882" s="5" t="s">
        <v>39</v>
      </c>
      <c r="F882" s="5" t="s">
        <v>306</v>
      </c>
      <c r="G882" s="15">
        <v>6.28198E16</v>
      </c>
      <c r="H882" s="5" t="s">
        <v>307</v>
      </c>
      <c r="I882" s="5" t="s">
        <v>42</v>
      </c>
      <c r="J882" s="5" t="s">
        <v>43</v>
      </c>
      <c r="K882" s="5">
        <v>8.7733785699E10</v>
      </c>
      <c r="L882" s="4" t="s">
        <v>44</v>
      </c>
      <c r="M882" s="5" t="s">
        <v>42</v>
      </c>
      <c r="N882" s="4" t="s">
        <v>45</v>
      </c>
      <c r="O882" s="4" t="s">
        <v>46</v>
      </c>
      <c r="P882" s="4" t="s">
        <v>47</v>
      </c>
      <c r="Q882" s="4">
        <v>16451.0</v>
      </c>
      <c r="R882" s="5" t="s">
        <v>5215</v>
      </c>
      <c r="S882" s="8">
        <v>46191.0</v>
      </c>
      <c r="T882" s="9">
        <v>0.375</v>
      </c>
      <c r="U882" s="9">
        <v>0.9166666666666666</v>
      </c>
      <c r="V882" s="4" t="s">
        <v>49</v>
      </c>
      <c r="W882" s="5">
        <v>1.0</v>
      </c>
      <c r="X882" s="5" t="b">
        <v>1</v>
      </c>
      <c r="Y882" s="5" t="s">
        <v>50</v>
      </c>
      <c r="Z882" s="5" t="b">
        <v>0</v>
      </c>
      <c r="AA882" s="10"/>
      <c r="AB882" s="4">
        <v>1.0</v>
      </c>
      <c r="AC882" s="11" t="s">
        <v>5216</v>
      </c>
      <c r="AD882" s="5">
        <v>0.0</v>
      </c>
      <c r="AE882" s="5">
        <v>1.0</v>
      </c>
      <c r="AF882" s="8">
        <v>46191.0</v>
      </c>
      <c r="AG882" s="9">
        <v>0.375</v>
      </c>
      <c r="AH882" s="9">
        <v>0.9166666666666666</v>
      </c>
      <c r="AI882" s="4" t="s">
        <v>49</v>
      </c>
      <c r="AJ882" s="5" t="s">
        <v>5217</v>
      </c>
      <c r="AK882" s="12"/>
      <c r="AL882" s="12"/>
      <c r="AM882" s="12"/>
      <c r="AN882" s="12"/>
      <c r="AO882" s="12"/>
      <c r="AP882" s="12"/>
      <c r="AQ882" s="12"/>
    </row>
    <row r="883">
      <c r="A883" s="5" t="s">
        <v>5218</v>
      </c>
      <c r="B883" s="5">
        <v>1.1398423E7</v>
      </c>
      <c r="C883" s="5" t="s">
        <v>37</v>
      </c>
      <c r="D883" s="5" t="s">
        <v>5219</v>
      </c>
      <c r="E883" s="5" t="s">
        <v>39</v>
      </c>
      <c r="F883" s="5" t="s">
        <v>1715</v>
      </c>
      <c r="G883" s="15">
        <v>6.2813E16</v>
      </c>
      <c r="H883" s="5" t="s">
        <v>1716</v>
      </c>
      <c r="I883" s="5" t="s">
        <v>42</v>
      </c>
      <c r="J883" s="5" t="s">
        <v>43</v>
      </c>
      <c r="K883" s="5">
        <v>8.7733785699E10</v>
      </c>
      <c r="L883" s="4" t="s">
        <v>44</v>
      </c>
      <c r="M883" s="5" t="s">
        <v>42</v>
      </c>
      <c r="N883" s="4" t="s">
        <v>45</v>
      </c>
      <c r="O883" s="4" t="s">
        <v>46</v>
      </c>
      <c r="P883" s="4" t="s">
        <v>47</v>
      </c>
      <c r="Q883" s="4">
        <v>16451.0</v>
      </c>
      <c r="R883" s="5" t="s">
        <v>5220</v>
      </c>
      <c r="S883" s="8">
        <v>46191.0</v>
      </c>
      <c r="T883" s="9">
        <v>0.375</v>
      </c>
      <c r="U883" s="9">
        <v>0.9166666666666666</v>
      </c>
      <c r="V883" s="4" t="s">
        <v>49</v>
      </c>
      <c r="W883" s="5">
        <v>1.0</v>
      </c>
      <c r="X883" s="5" t="b">
        <v>1</v>
      </c>
      <c r="Y883" s="5" t="s">
        <v>50</v>
      </c>
      <c r="Z883" s="5" t="b">
        <v>0</v>
      </c>
      <c r="AA883" s="10"/>
      <c r="AB883" s="4">
        <v>1.0</v>
      </c>
      <c r="AC883" s="11" t="s">
        <v>5221</v>
      </c>
      <c r="AD883" s="5">
        <v>0.0</v>
      </c>
      <c r="AE883" s="5">
        <v>1.0</v>
      </c>
      <c r="AF883" s="8">
        <v>46191.0</v>
      </c>
      <c r="AG883" s="9">
        <v>0.375</v>
      </c>
      <c r="AH883" s="9">
        <v>0.9166666666666666</v>
      </c>
      <c r="AI883" s="4" t="s">
        <v>49</v>
      </c>
      <c r="AJ883" s="5" t="s">
        <v>5222</v>
      </c>
      <c r="AK883" s="12"/>
      <c r="AL883" s="12"/>
      <c r="AM883" s="12"/>
      <c r="AN883" s="12"/>
      <c r="AO883" s="12"/>
      <c r="AP883" s="12"/>
      <c r="AQ883" s="12"/>
    </row>
    <row r="884">
      <c r="A884" s="5" t="s">
        <v>5223</v>
      </c>
      <c r="B884" s="5">
        <v>1.1398423E7</v>
      </c>
      <c r="C884" s="5" t="s">
        <v>37</v>
      </c>
      <c r="D884" s="5" t="s">
        <v>5224</v>
      </c>
      <c r="E884" s="5" t="s">
        <v>39</v>
      </c>
      <c r="F884" s="5" t="s">
        <v>193</v>
      </c>
      <c r="G884" s="15">
        <v>8.5374101944E10</v>
      </c>
      <c r="H884" s="5" t="s">
        <v>194</v>
      </c>
      <c r="I884" s="5" t="s">
        <v>42</v>
      </c>
      <c r="J884" s="5" t="s">
        <v>43</v>
      </c>
      <c r="K884" s="5">
        <v>8.7733785699E10</v>
      </c>
      <c r="L884" s="4" t="s">
        <v>44</v>
      </c>
      <c r="M884" s="5" t="s">
        <v>42</v>
      </c>
      <c r="N884" s="4" t="s">
        <v>45</v>
      </c>
      <c r="O884" s="4" t="s">
        <v>46</v>
      </c>
      <c r="P884" s="4" t="s">
        <v>47</v>
      </c>
      <c r="Q884" s="4">
        <v>16451.0</v>
      </c>
      <c r="R884" s="5" t="s">
        <v>5225</v>
      </c>
      <c r="S884" s="8">
        <v>46191.0</v>
      </c>
      <c r="T884" s="9">
        <v>0.375</v>
      </c>
      <c r="U884" s="9">
        <v>0.9166666666666666</v>
      </c>
      <c r="V884" s="4" t="s">
        <v>49</v>
      </c>
      <c r="W884" s="5">
        <v>1.0</v>
      </c>
      <c r="X884" s="5" t="b">
        <v>1</v>
      </c>
      <c r="Y884" s="5" t="s">
        <v>50</v>
      </c>
      <c r="Z884" s="5" t="b">
        <v>0</v>
      </c>
      <c r="AA884" s="10"/>
      <c r="AB884" s="4">
        <v>1.0</v>
      </c>
      <c r="AC884" s="11" t="s">
        <v>5226</v>
      </c>
      <c r="AD884" s="5">
        <v>0.0</v>
      </c>
      <c r="AE884" s="5">
        <v>1.0</v>
      </c>
      <c r="AF884" s="8">
        <v>46191.0</v>
      </c>
      <c r="AG884" s="9">
        <v>0.375</v>
      </c>
      <c r="AH884" s="9">
        <v>0.9166666666666666</v>
      </c>
      <c r="AI884" s="4" t="s">
        <v>49</v>
      </c>
      <c r="AJ884" s="5" t="s">
        <v>5227</v>
      </c>
      <c r="AK884" s="12"/>
      <c r="AL884" s="12"/>
      <c r="AM884" s="12"/>
      <c r="AN884" s="12"/>
      <c r="AO884" s="12"/>
      <c r="AP884" s="12"/>
      <c r="AQ884" s="12"/>
    </row>
    <row r="885">
      <c r="A885" s="5" t="s">
        <v>5228</v>
      </c>
      <c r="B885" s="5">
        <v>1.1398423E7</v>
      </c>
      <c r="C885" s="5" t="s">
        <v>37</v>
      </c>
      <c r="D885" s="5" t="s">
        <v>5229</v>
      </c>
      <c r="E885" s="5" t="s">
        <v>39</v>
      </c>
      <c r="F885" s="5" t="s">
        <v>5230</v>
      </c>
      <c r="G885" s="15">
        <v>6.28132E17</v>
      </c>
      <c r="H885" s="5" t="s">
        <v>5231</v>
      </c>
      <c r="I885" s="5" t="s">
        <v>42</v>
      </c>
      <c r="J885" s="5" t="s">
        <v>43</v>
      </c>
      <c r="K885" s="5">
        <v>8.7733785699E10</v>
      </c>
      <c r="L885" s="4" t="s">
        <v>44</v>
      </c>
      <c r="M885" s="5" t="s">
        <v>42</v>
      </c>
      <c r="N885" s="4" t="s">
        <v>45</v>
      </c>
      <c r="O885" s="4" t="s">
        <v>46</v>
      </c>
      <c r="P885" s="4" t="s">
        <v>47</v>
      </c>
      <c r="Q885" s="4">
        <v>16451.0</v>
      </c>
      <c r="R885" s="5" t="s">
        <v>5232</v>
      </c>
      <c r="S885" s="8">
        <v>46191.0</v>
      </c>
      <c r="T885" s="9">
        <v>0.375</v>
      </c>
      <c r="U885" s="9">
        <v>0.9166666666666666</v>
      </c>
      <c r="V885" s="4" t="s">
        <v>49</v>
      </c>
      <c r="W885" s="5">
        <v>1.0</v>
      </c>
      <c r="X885" s="5" t="b">
        <v>1</v>
      </c>
      <c r="Y885" s="5" t="s">
        <v>50</v>
      </c>
      <c r="Z885" s="5" t="b">
        <v>0</v>
      </c>
      <c r="AA885" s="10"/>
      <c r="AB885" s="4">
        <v>1.0</v>
      </c>
      <c r="AC885" s="11" t="s">
        <v>5233</v>
      </c>
      <c r="AD885" s="5">
        <v>0.0</v>
      </c>
      <c r="AE885" s="5">
        <v>1.0</v>
      </c>
      <c r="AF885" s="8">
        <v>46191.0</v>
      </c>
      <c r="AG885" s="9">
        <v>0.375</v>
      </c>
      <c r="AH885" s="9">
        <v>0.9166666666666666</v>
      </c>
      <c r="AI885" s="4" t="s">
        <v>49</v>
      </c>
      <c r="AJ885" s="5" t="s">
        <v>5234</v>
      </c>
      <c r="AK885" s="12"/>
      <c r="AL885" s="12"/>
      <c r="AM885" s="12"/>
      <c r="AN885" s="12"/>
      <c r="AO885" s="12"/>
      <c r="AP885" s="12"/>
      <c r="AQ885" s="12"/>
    </row>
    <row r="886">
      <c r="A886" s="5" t="s">
        <v>5235</v>
      </c>
      <c r="B886" s="5">
        <v>1.1398423E7</v>
      </c>
      <c r="C886" s="5" t="s">
        <v>37</v>
      </c>
      <c r="D886" s="5" t="s">
        <v>5236</v>
      </c>
      <c r="E886" s="5" t="s">
        <v>39</v>
      </c>
      <c r="F886" s="5" t="s">
        <v>240</v>
      </c>
      <c r="G886" s="15">
        <v>8.131705404E10</v>
      </c>
      <c r="H886" s="5" t="s">
        <v>241</v>
      </c>
      <c r="I886" s="5" t="s">
        <v>42</v>
      </c>
      <c r="J886" s="5" t="s">
        <v>43</v>
      </c>
      <c r="K886" s="5">
        <v>8.7733785699E10</v>
      </c>
      <c r="L886" s="4" t="s">
        <v>44</v>
      </c>
      <c r="M886" s="5" t="s">
        <v>42</v>
      </c>
      <c r="N886" s="4" t="s">
        <v>45</v>
      </c>
      <c r="O886" s="4" t="s">
        <v>46</v>
      </c>
      <c r="P886" s="4" t="s">
        <v>47</v>
      </c>
      <c r="Q886" s="4">
        <v>16451.0</v>
      </c>
      <c r="R886" s="5" t="s">
        <v>5237</v>
      </c>
      <c r="S886" s="8">
        <v>46191.0</v>
      </c>
      <c r="T886" s="9">
        <v>0.375</v>
      </c>
      <c r="U886" s="9">
        <v>0.9166666666666666</v>
      </c>
      <c r="V886" s="4" t="s">
        <v>49</v>
      </c>
      <c r="W886" s="5">
        <v>1.0</v>
      </c>
      <c r="X886" s="5" t="b">
        <v>1</v>
      </c>
      <c r="Y886" s="5" t="s">
        <v>50</v>
      </c>
      <c r="Z886" s="5" t="b">
        <v>0</v>
      </c>
      <c r="AA886" s="10"/>
      <c r="AB886" s="4">
        <v>1.0</v>
      </c>
      <c r="AC886" s="11" t="s">
        <v>5238</v>
      </c>
      <c r="AD886" s="5">
        <v>0.0</v>
      </c>
      <c r="AE886" s="5">
        <v>1.0</v>
      </c>
      <c r="AF886" s="8">
        <v>46191.0</v>
      </c>
      <c r="AG886" s="9">
        <v>0.375</v>
      </c>
      <c r="AH886" s="9">
        <v>0.9166666666666666</v>
      </c>
      <c r="AI886" s="4" t="s">
        <v>49</v>
      </c>
      <c r="AJ886" s="5" t="s">
        <v>5239</v>
      </c>
      <c r="AK886" s="12"/>
      <c r="AL886" s="12"/>
      <c r="AM886" s="12"/>
      <c r="AN886" s="12"/>
      <c r="AO886" s="12"/>
      <c r="AP886" s="12"/>
      <c r="AQ886" s="12"/>
    </row>
    <row r="887">
      <c r="A887" s="5" t="s">
        <v>5240</v>
      </c>
      <c r="B887" s="5">
        <v>1.1398423E7</v>
      </c>
      <c r="C887" s="5" t="s">
        <v>37</v>
      </c>
      <c r="D887" s="5" t="s">
        <v>5241</v>
      </c>
      <c r="E887" s="5" t="s">
        <v>39</v>
      </c>
      <c r="F887" s="5" t="s">
        <v>5242</v>
      </c>
      <c r="G887" s="15">
        <v>6.28592E17</v>
      </c>
      <c r="H887" s="5" t="s">
        <v>5243</v>
      </c>
      <c r="I887" s="5" t="s">
        <v>42</v>
      </c>
      <c r="J887" s="5" t="s">
        <v>43</v>
      </c>
      <c r="K887" s="5">
        <v>8.7733785699E10</v>
      </c>
      <c r="L887" s="4" t="s">
        <v>44</v>
      </c>
      <c r="M887" s="5" t="s">
        <v>42</v>
      </c>
      <c r="N887" s="4" t="s">
        <v>45</v>
      </c>
      <c r="O887" s="4" t="s">
        <v>46</v>
      </c>
      <c r="P887" s="4" t="s">
        <v>47</v>
      </c>
      <c r="Q887" s="4">
        <v>16451.0</v>
      </c>
      <c r="R887" s="5" t="s">
        <v>5244</v>
      </c>
      <c r="S887" s="8">
        <v>46191.0</v>
      </c>
      <c r="T887" s="9">
        <v>0.375</v>
      </c>
      <c r="U887" s="9">
        <v>0.9166666666666666</v>
      </c>
      <c r="V887" s="4" t="s">
        <v>49</v>
      </c>
      <c r="W887" s="5">
        <v>1.0</v>
      </c>
      <c r="X887" s="5" t="b">
        <v>1</v>
      </c>
      <c r="Y887" s="5" t="s">
        <v>50</v>
      </c>
      <c r="Z887" s="5" t="b">
        <v>0</v>
      </c>
      <c r="AA887" s="10"/>
      <c r="AB887" s="4">
        <v>1.0</v>
      </c>
      <c r="AC887" s="11" t="s">
        <v>5245</v>
      </c>
      <c r="AD887" s="5">
        <v>0.0</v>
      </c>
      <c r="AE887" s="5">
        <v>1.0</v>
      </c>
      <c r="AF887" s="8">
        <v>46191.0</v>
      </c>
      <c r="AG887" s="9">
        <v>0.375</v>
      </c>
      <c r="AH887" s="9">
        <v>0.9166666666666666</v>
      </c>
      <c r="AI887" s="4" t="s">
        <v>49</v>
      </c>
      <c r="AJ887" s="5" t="s">
        <v>5246</v>
      </c>
      <c r="AK887" s="12"/>
      <c r="AL887" s="12"/>
      <c r="AM887" s="12"/>
      <c r="AN887" s="12"/>
      <c r="AO887" s="12"/>
      <c r="AP887" s="12"/>
      <c r="AQ887" s="12"/>
    </row>
    <row r="888">
      <c r="A888" s="5" t="s">
        <v>5247</v>
      </c>
      <c r="B888" s="5">
        <v>1.1398423E7</v>
      </c>
      <c r="C888" s="5" t="s">
        <v>37</v>
      </c>
      <c r="D888" s="5" t="s">
        <v>5248</v>
      </c>
      <c r="E888" s="5" t="s">
        <v>39</v>
      </c>
      <c r="F888" s="5" t="s">
        <v>4579</v>
      </c>
      <c r="G888" s="15">
        <v>6.28512E17</v>
      </c>
      <c r="H888" s="5" t="s">
        <v>4580</v>
      </c>
      <c r="I888" s="5" t="s">
        <v>42</v>
      </c>
      <c r="J888" s="5" t="s">
        <v>43</v>
      </c>
      <c r="K888" s="5">
        <v>8.7733785699E10</v>
      </c>
      <c r="L888" s="4" t="s">
        <v>44</v>
      </c>
      <c r="M888" s="5" t="s">
        <v>42</v>
      </c>
      <c r="N888" s="4" t="s">
        <v>45</v>
      </c>
      <c r="O888" s="4" t="s">
        <v>46</v>
      </c>
      <c r="P888" s="4" t="s">
        <v>47</v>
      </c>
      <c r="Q888" s="4">
        <v>16451.0</v>
      </c>
      <c r="R888" s="5" t="s">
        <v>5249</v>
      </c>
      <c r="S888" s="8">
        <v>46191.0</v>
      </c>
      <c r="T888" s="9">
        <v>0.375</v>
      </c>
      <c r="U888" s="9">
        <v>0.9166666666666666</v>
      </c>
      <c r="V888" s="4" t="s">
        <v>49</v>
      </c>
      <c r="W888" s="5">
        <v>1.0</v>
      </c>
      <c r="X888" s="5" t="b">
        <v>1</v>
      </c>
      <c r="Y888" s="5" t="s">
        <v>50</v>
      </c>
      <c r="Z888" s="5" t="b">
        <v>0</v>
      </c>
      <c r="AA888" s="10"/>
      <c r="AB888" s="4">
        <v>1.0</v>
      </c>
      <c r="AC888" s="11" t="s">
        <v>5250</v>
      </c>
      <c r="AD888" s="5">
        <v>0.0</v>
      </c>
      <c r="AE888" s="5">
        <v>1.0</v>
      </c>
      <c r="AF888" s="8">
        <v>46191.0</v>
      </c>
      <c r="AG888" s="9">
        <v>0.375</v>
      </c>
      <c r="AH888" s="9">
        <v>0.9166666666666666</v>
      </c>
      <c r="AI888" s="4" t="s">
        <v>49</v>
      </c>
      <c r="AJ888" s="5" t="s">
        <v>5251</v>
      </c>
      <c r="AK888" s="12"/>
      <c r="AL888" s="12"/>
      <c r="AM888" s="12"/>
      <c r="AN888" s="12"/>
      <c r="AO888" s="12"/>
      <c r="AP888" s="12"/>
      <c r="AQ888" s="12"/>
    </row>
    <row r="889">
      <c r="A889" s="5" t="s">
        <v>5252</v>
      </c>
      <c r="B889" s="5">
        <v>1.1398423E7</v>
      </c>
      <c r="C889" s="5" t="s">
        <v>37</v>
      </c>
      <c r="D889" s="5" t="s">
        <v>5253</v>
      </c>
      <c r="E889" s="5" t="s">
        <v>39</v>
      </c>
      <c r="F889" s="5" t="s">
        <v>2886</v>
      </c>
      <c r="G889" s="15">
        <v>6.28789E17</v>
      </c>
      <c r="H889" s="5" t="s">
        <v>2887</v>
      </c>
      <c r="I889" s="5" t="s">
        <v>42</v>
      </c>
      <c r="J889" s="5" t="s">
        <v>43</v>
      </c>
      <c r="K889" s="5">
        <v>8.7733785699E10</v>
      </c>
      <c r="L889" s="4" t="s">
        <v>44</v>
      </c>
      <c r="M889" s="5" t="s">
        <v>42</v>
      </c>
      <c r="N889" s="4" t="s">
        <v>45</v>
      </c>
      <c r="O889" s="4" t="s">
        <v>46</v>
      </c>
      <c r="P889" s="4" t="s">
        <v>47</v>
      </c>
      <c r="Q889" s="4">
        <v>16451.0</v>
      </c>
      <c r="R889" s="5" t="s">
        <v>5254</v>
      </c>
      <c r="S889" s="8">
        <v>46191.0</v>
      </c>
      <c r="T889" s="9">
        <v>0.375</v>
      </c>
      <c r="U889" s="9">
        <v>0.9166666666666666</v>
      </c>
      <c r="V889" s="4" t="s">
        <v>49</v>
      </c>
      <c r="W889" s="5">
        <v>1.0</v>
      </c>
      <c r="X889" s="5" t="b">
        <v>1</v>
      </c>
      <c r="Y889" s="5" t="s">
        <v>50</v>
      </c>
      <c r="Z889" s="5" t="b">
        <v>0</v>
      </c>
      <c r="AA889" s="10"/>
      <c r="AB889" s="4">
        <v>1.0</v>
      </c>
      <c r="AC889" s="11" t="s">
        <v>5255</v>
      </c>
      <c r="AD889" s="5">
        <v>0.0</v>
      </c>
      <c r="AE889" s="5">
        <v>1.0</v>
      </c>
      <c r="AF889" s="8">
        <v>46191.0</v>
      </c>
      <c r="AG889" s="9">
        <v>0.375</v>
      </c>
      <c r="AH889" s="9">
        <v>0.9166666666666666</v>
      </c>
      <c r="AI889" s="4" t="s">
        <v>49</v>
      </c>
      <c r="AJ889" s="5" t="s">
        <v>5256</v>
      </c>
      <c r="AK889" s="12"/>
      <c r="AL889" s="12"/>
      <c r="AM889" s="12"/>
      <c r="AN889" s="12"/>
      <c r="AO889" s="12"/>
      <c r="AP889" s="12"/>
      <c r="AQ889" s="12"/>
    </row>
    <row r="890">
      <c r="A890" s="5" t="s">
        <v>5257</v>
      </c>
      <c r="B890" s="5">
        <v>1.1398423E7</v>
      </c>
      <c r="C890" s="5" t="s">
        <v>37</v>
      </c>
      <c r="D890" s="5" t="s">
        <v>5258</v>
      </c>
      <c r="E890" s="5" t="s">
        <v>39</v>
      </c>
      <c r="F890" s="5" t="s">
        <v>1640</v>
      </c>
      <c r="G890" s="15">
        <v>6.28598E17</v>
      </c>
      <c r="H890" s="5" t="s">
        <v>1641</v>
      </c>
      <c r="I890" s="5" t="s">
        <v>42</v>
      </c>
      <c r="J890" s="5" t="s">
        <v>43</v>
      </c>
      <c r="K890" s="5">
        <v>8.7733785699E10</v>
      </c>
      <c r="L890" s="4" t="s">
        <v>44</v>
      </c>
      <c r="M890" s="5" t="s">
        <v>42</v>
      </c>
      <c r="N890" s="4" t="s">
        <v>45</v>
      </c>
      <c r="O890" s="4" t="s">
        <v>46</v>
      </c>
      <c r="P890" s="4" t="s">
        <v>47</v>
      </c>
      <c r="Q890" s="4">
        <v>16451.0</v>
      </c>
      <c r="R890" s="5" t="s">
        <v>5259</v>
      </c>
      <c r="S890" s="8">
        <v>46191.0</v>
      </c>
      <c r="T890" s="9">
        <v>0.375</v>
      </c>
      <c r="U890" s="9">
        <v>0.9166666666666666</v>
      </c>
      <c r="V890" s="4" t="s">
        <v>49</v>
      </c>
      <c r="W890" s="5">
        <v>1.0</v>
      </c>
      <c r="X890" s="5" t="b">
        <v>1</v>
      </c>
      <c r="Y890" s="5" t="s">
        <v>50</v>
      </c>
      <c r="Z890" s="5" t="b">
        <v>0</v>
      </c>
      <c r="AA890" s="10"/>
      <c r="AB890" s="4">
        <v>1.0</v>
      </c>
      <c r="AC890" s="11" t="s">
        <v>5260</v>
      </c>
      <c r="AD890" s="5">
        <v>0.0</v>
      </c>
      <c r="AE890" s="5">
        <v>1.0</v>
      </c>
      <c r="AF890" s="8">
        <v>46191.0</v>
      </c>
      <c r="AG890" s="9">
        <v>0.375</v>
      </c>
      <c r="AH890" s="9">
        <v>0.9166666666666666</v>
      </c>
      <c r="AI890" s="4" t="s">
        <v>49</v>
      </c>
      <c r="AJ890" s="5" t="s">
        <v>5261</v>
      </c>
      <c r="AK890" s="12"/>
      <c r="AL890" s="12"/>
      <c r="AM890" s="12"/>
      <c r="AN890" s="12"/>
      <c r="AO890" s="12"/>
      <c r="AP890" s="12"/>
      <c r="AQ890" s="12"/>
    </row>
    <row r="891">
      <c r="A891" s="5" t="s">
        <v>5262</v>
      </c>
      <c r="B891" s="5">
        <v>1.1398423E7</v>
      </c>
      <c r="C891" s="5" t="s">
        <v>37</v>
      </c>
      <c r="D891" s="5" t="s">
        <v>5263</v>
      </c>
      <c r="E891" s="5" t="s">
        <v>39</v>
      </c>
      <c r="F891" s="5" t="s">
        <v>1484</v>
      </c>
      <c r="G891" s="15">
        <v>6.28132E17</v>
      </c>
      <c r="H891" s="5" t="s">
        <v>1485</v>
      </c>
      <c r="I891" s="5" t="s">
        <v>42</v>
      </c>
      <c r="J891" s="5" t="s">
        <v>43</v>
      </c>
      <c r="K891" s="5">
        <v>8.7733785699E10</v>
      </c>
      <c r="L891" s="4" t="s">
        <v>44</v>
      </c>
      <c r="M891" s="5" t="s">
        <v>42</v>
      </c>
      <c r="N891" s="4" t="s">
        <v>45</v>
      </c>
      <c r="O891" s="4" t="s">
        <v>46</v>
      </c>
      <c r="P891" s="4" t="s">
        <v>47</v>
      </c>
      <c r="Q891" s="4">
        <v>16451.0</v>
      </c>
      <c r="R891" s="5" t="s">
        <v>5264</v>
      </c>
      <c r="S891" s="8">
        <v>46191.0</v>
      </c>
      <c r="T891" s="9">
        <v>0.375</v>
      </c>
      <c r="U891" s="9">
        <v>0.9166666666666666</v>
      </c>
      <c r="V891" s="4" t="s">
        <v>49</v>
      </c>
      <c r="W891" s="5">
        <v>1.0</v>
      </c>
      <c r="X891" s="5" t="b">
        <v>1</v>
      </c>
      <c r="Y891" s="5" t="s">
        <v>50</v>
      </c>
      <c r="Z891" s="5" t="b">
        <v>0</v>
      </c>
      <c r="AA891" s="10"/>
      <c r="AB891" s="4">
        <v>1.0</v>
      </c>
      <c r="AC891" s="11" t="s">
        <v>5265</v>
      </c>
      <c r="AD891" s="5">
        <v>0.0</v>
      </c>
      <c r="AE891" s="5">
        <v>1.0</v>
      </c>
      <c r="AF891" s="8">
        <v>46191.0</v>
      </c>
      <c r="AG891" s="9">
        <v>0.375</v>
      </c>
      <c r="AH891" s="9">
        <v>0.9166666666666666</v>
      </c>
      <c r="AI891" s="4" t="s">
        <v>49</v>
      </c>
      <c r="AJ891" s="5" t="s">
        <v>5266</v>
      </c>
      <c r="AK891" s="12"/>
      <c r="AL891" s="12"/>
      <c r="AM891" s="12"/>
      <c r="AN891" s="12"/>
      <c r="AO891" s="12"/>
      <c r="AP891" s="12"/>
      <c r="AQ891" s="12"/>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row>
  </sheetData>
  <hyperlinks>
    <hyperlink r:id="rId1" ref="F1"/>
    <hyperlink r:id="rId2" ref="J1"/>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47.38"/>
    <col customWidth="1" min="3" max="3" width="14.0"/>
    <col customWidth="1" min="4" max="4" width="109.38"/>
    <col customWidth="1" min="5" max="5" width="23.0"/>
    <col customWidth="1" min="6" max="6" width="226.88"/>
    <col customWidth="1" min="7" max="7" width="13.75"/>
    <col customWidth="1" min="8" max="8" width="13.0"/>
    <col customWidth="1" min="9" max="9" width="14.63"/>
    <col customWidth="1" min="10" max="10" width="17.0"/>
    <col customWidth="1" min="11" max="13" width="14.75"/>
    <col customWidth="1" min="14" max="14" width="21.63"/>
    <col customWidth="1" min="15" max="15" width="14.75"/>
    <col customWidth="1" min="19" max="19" width="23.38"/>
    <col customWidth="1" min="20" max="20" width="16.25"/>
  </cols>
  <sheetData>
    <row r="1">
      <c r="A1" s="18" t="s">
        <v>5267</v>
      </c>
      <c r="B1" s="18" t="s">
        <v>5268</v>
      </c>
      <c r="C1" s="18" t="s">
        <v>5269</v>
      </c>
      <c r="D1" s="18" t="s">
        <v>5270</v>
      </c>
      <c r="E1" s="18" t="s">
        <v>5271</v>
      </c>
      <c r="F1" s="18" t="s">
        <v>5272</v>
      </c>
      <c r="G1" s="18" t="s">
        <v>5273</v>
      </c>
      <c r="H1" s="18" t="s">
        <v>5274</v>
      </c>
      <c r="I1" s="18" t="s">
        <v>5275</v>
      </c>
      <c r="J1" s="18" t="s">
        <v>5276</v>
      </c>
      <c r="K1" s="19" t="s">
        <v>5277</v>
      </c>
      <c r="L1" s="19"/>
      <c r="M1" s="19" t="s">
        <v>5278</v>
      </c>
      <c r="N1" s="19" t="s">
        <v>5279</v>
      </c>
      <c r="O1" s="19" t="s">
        <v>5280</v>
      </c>
      <c r="P1" s="20"/>
      <c r="Q1" s="20"/>
      <c r="R1" s="20"/>
      <c r="S1" s="20" t="s">
        <v>5281</v>
      </c>
      <c r="T1" s="20" t="s">
        <v>5273</v>
      </c>
      <c r="U1" s="20"/>
      <c r="V1" s="20"/>
      <c r="W1" s="20"/>
      <c r="X1" s="20"/>
      <c r="Y1" s="20"/>
      <c r="Z1" s="20"/>
      <c r="AA1" s="20"/>
      <c r="AB1" s="20"/>
      <c r="AC1" s="20"/>
    </row>
    <row r="2">
      <c r="A2" s="21" t="s">
        <v>5282</v>
      </c>
      <c r="B2" s="21" t="s">
        <v>5283</v>
      </c>
      <c r="C2" s="21">
        <f>+6282281904329</f>
        <v>6282281904329</v>
      </c>
      <c r="D2" s="21" t="s">
        <v>5284</v>
      </c>
      <c r="E2" s="21" t="s">
        <v>5285</v>
      </c>
      <c r="F2" s="21" t="s">
        <v>5286</v>
      </c>
      <c r="G2" s="22">
        <v>46138.0</v>
      </c>
      <c r="H2" s="23"/>
      <c r="I2" s="23"/>
      <c r="J2" s="23" t="s">
        <v>5287</v>
      </c>
      <c r="K2" s="24"/>
      <c r="L2" s="25"/>
      <c r="M2" s="25" t="str">
        <f>GET_LOCATION(D2,"city")</f>
        <v>Kota Bandar Lampung</v>
      </c>
      <c r="N2" s="25" t="str">
        <f>GET_LOCATION(D2,"province")</f>
        <v>Lampung</v>
      </c>
      <c r="O2" s="25" t="str">
        <f>VLOOKUP(M2,'Mapping Area'!A:C,3,0)</f>
        <v>#N/A</v>
      </c>
      <c r="P2" s="25"/>
      <c r="Q2" s="25"/>
      <c r="R2" s="25"/>
      <c r="S2" s="25" t="s">
        <v>5276</v>
      </c>
      <c r="T2" s="26">
        <v>46180.0</v>
      </c>
      <c r="U2" s="26">
        <v>46182.0</v>
      </c>
      <c r="V2" s="26">
        <v>46183.0</v>
      </c>
      <c r="W2" s="26">
        <v>46184.0</v>
      </c>
      <c r="X2" s="26">
        <v>46185.0</v>
      </c>
      <c r="Y2" s="26">
        <v>46186.0</v>
      </c>
      <c r="Z2" s="26">
        <v>46188.0</v>
      </c>
      <c r="AA2" s="25" t="s">
        <v>5288</v>
      </c>
      <c r="AB2" s="25"/>
      <c r="AC2" s="25"/>
    </row>
    <row r="3">
      <c r="A3" s="21" t="s">
        <v>5289</v>
      </c>
      <c r="B3" s="21" t="s">
        <v>5290</v>
      </c>
      <c r="C3" s="21">
        <f>+6285881133907</f>
        <v>6285881133907</v>
      </c>
      <c r="D3" s="21" t="s">
        <v>5291</v>
      </c>
      <c r="E3" s="21" t="s">
        <v>5292</v>
      </c>
      <c r="F3" s="21" t="s">
        <v>5293</v>
      </c>
      <c r="G3" s="22">
        <v>46140.0</v>
      </c>
      <c r="H3" s="27">
        <v>46163.0</v>
      </c>
      <c r="I3" s="27">
        <v>46165.0</v>
      </c>
      <c r="J3" s="23" t="s">
        <v>5294</v>
      </c>
      <c r="K3" s="24"/>
      <c r="L3" s="25"/>
      <c r="M3" s="25"/>
      <c r="N3" s="25"/>
      <c r="O3" s="25"/>
      <c r="P3" s="25"/>
      <c r="Q3" s="25"/>
      <c r="R3" s="25"/>
      <c r="S3" s="25" t="s">
        <v>5295</v>
      </c>
      <c r="T3" s="25"/>
      <c r="U3" s="25"/>
      <c r="V3" s="25">
        <v>3.0</v>
      </c>
      <c r="W3" s="25"/>
      <c r="X3" s="25">
        <v>1.0</v>
      </c>
      <c r="Y3" s="25">
        <v>2.0</v>
      </c>
      <c r="Z3" s="25">
        <v>1.0</v>
      </c>
      <c r="AA3" s="25">
        <v>7.0</v>
      </c>
      <c r="AB3" s="25"/>
      <c r="AC3" s="25"/>
    </row>
    <row r="4">
      <c r="A4" s="21" t="s">
        <v>5296</v>
      </c>
      <c r="B4" s="21" t="s">
        <v>939</v>
      </c>
      <c r="C4" s="21">
        <f>+6285888841288</f>
        <v>6285888841288</v>
      </c>
      <c r="D4" s="21" t="s">
        <v>940</v>
      </c>
      <c r="E4" s="21" t="s">
        <v>5297</v>
      </c>
      <c r="F4" s="21" t="s">
        <v>5298</v>
      </c>
      <c r="G4" s="22">
        <v>46140.0</v>
      </c>
      <c r="H4" s="27">
        <v>46166.0</v>
      </c>
      <c r="I4" s="27">
        <v>46166.0</v>
      </c>
      <c r="J4" s="23" t="s">
        <v>5294</v>
      </c>
      <c r="K4" s="24"/>
      <c r="L4" s="25"/>
      <c r="M4" s="25"/>
      <c r="N4" s="25"/>
      <c r="O4" s="25"/>
      <c r="P4" s="25"/>
      <c r="Q4" s="25"/>
      <c r="R4" s="25"/>
      <c r="S4" s="25" t="s">
        <v>5287</v>
      </c>
      <c r="T4" s="25"/>
      <c r="U4" s="25"/>
      <c r="V4" s="25">
        <v>7.0</v>
      </c>
      <c r="W4" s="25">
        <v>1.0</v>
      </c>
      <c r="X4" s="25"/>
      <c r="Y4" s="25"/>
      <c r="Z4" s="25"/>
      <c r="AA4" s="25">
        <v>8.0</v>
      </c>
      <c r="AB4" s="25"/>
      <c r="AC4" s="25"/>
    </row>
    <row r="5">
      <c r="A5" s="21" t="s">
        <v>5299</v>
      </c>
      <c r="B5" s="21" t="s">
        <v>5300</v>
      </c>
      <c r="C5" s="21">
        <f>+6282266622264</f>
        <v>6282266622264</v>
      </c>
      <c r="D5" s="21" t="s">
        <v>5301</v>
      </c>
      <c r="E5" s="21" t="s">
        <v>5302</v>
      </c>
      <c r="F5" s="21" t="s">
        <v>5303</v>
      </c>
      <c r="G5" s="22">
        <v>46140.0</v>
      </c>
      <c r="H5" s="27">
        <v>46180.0</v>
      </c>
      <c r="I5" s="27">
        <v>46182.0</v>
      </c>
      <c r="J5" s="23" t="s">
        <v>5294</v>
      </c>
      <c r="K5" s="24"/>
      <c r="L5" s="25"/>
      <c r="M5" s="25"/>
      <c r="N5" s="25"/>
      <c r="O5" s="25"/>
      <c r="P5" s="25"/>
      <c r="Q5" s="25"/>
      <c r="R5" s="25"/>
      <c r="S5" s="25" t="s">
        <v>5294</v>
      </c>
      <c r="T5" s="25">
        <v>14.0</v>
      </c>
      <c r="U5" s="25">
        <v>18.0</v>
      </c>
      <c r="V5" s="25">
        <v>227.0</v>
      </c>
      <c r="W5" s="25">
        <v>74.0</v>
      </c>
      <c r="X5" s="25">
        <v>58.0</v>
      </c>
      <c r="Y5" s="25">
        <v>33.0</v>
      </c>
      <c r="Z5" s="25">
        <v>16.0</v>
      </c>
      <c r="AA5" s="25">
        <v>440.0</v>
      </c>
      <c r="AB5" s="25"/>
      <c r="AC5" s="25"/>
    </row>
    <row r="6">
      <c r="A6" s="21" t="s">
        <v>5304</v>
      </c>
      <c r="B6" s="21" t="s">
        <v>744</v>
      </c>
      <c r="C6" s="21">
        <f t="shared" ref="C6:C7" si="1">+6281222221342</f>
        <v>6281222221342</v>
      </c>
      <c r="D6" s="21" t="s">
        <v>745</v>
      </c>
      <c r="E6" s="21" t="s">
        <v>5305</v>
      </c>
      <c r="F6" s="21" t="s">
        <v>5306</v>
      </c>
      <c r="G6" s="22">
        <v>46140.0</v>
      </c>
      <c r="H6" s="27">
        <v>46179.0</v>
      </c>
      <c r="I6" s="27">
        <v>46180.0</v>
      </c>
      <c r="J6" s="23" t="s">
        <v>5294</v>
      </c>
      <c r="K6" s="24"/>
      <c r="L6" s="25"/>
      <c r="M6" s="25"/>
      <c r="N6" s="25"/>
      <c r="O6" s="25"/>
      <c r="P6" s="25"/>
      <c r="Q6" s="25"/>
      <c r="R6" s="25"/>
      <c r="S6" s="25" t="s">
        <v>5307</v>
      </c>
      <c r="T6" s="25"/>
      <c r="U6" s="25"/>
      <c r="V6" s="25">
        <v>4.0</v>
      </c>
      <c r="W6" s="25"/>
      <c r="X6" s="25">
        <v>1.0</v>
      </c>
      <c r="Y6" s="25"/>
      <c r="Z6" s="25"/>
      <c r="AA6" s="25">
        <v>5.0</v>
      </c>
      <c r="AB6" s="25"/>
      <c r="AC6" s="25"/>
    </row>
    <row r="7">
      <c r="A7" s="21" t="s">
        <v>5308</v>
      </c>
      <c r="B7" s="21" t="s">
        <v>744</v>
      </c>
      <c r="C7" s="21">
        <f t="shared" si="1"/>
        <v>6281222221342</v>
      </c>
      <c r="D7" s="21" t="s">
        <v>745</v>
      </c>
      <c r="E7" s="21" t="s">
        <v>5309</v>
      </c>
      <c r="F7" s="21" t="s">
        <v>5310</v>
      </c>
      <c r="G7" s="22">
        <v>46141.0</v>
      </c>
      <c r="H7" s="27">
        <v>46179.0</v>
      </c>
      <c r="I7" s="27">
        <v>46180.0</v>
      </c>
      <c r="J7" s="23" t="s">
        <v>5294</v>
      </c>
      <c r="K7" s="24"/>
      <c r="L7" s="25"/>
      <c r="M7" s="25"/>
      <c r="N7" s="25"/>
      <c r="O7" s="25"/>
      <c r="P7" s="25"/>
      <c r="Q7" s="25"/>
      <c r="R7" s="25"/>
      <c r="S7" s="25" t="s">
        <v>5288</v>
      </c>
      <c r="T7" s="25">
        <v>14.0</v>
      </c>
      <c r="U7" s="25">
        <v>18.0</v>
      </c>
      <c r="V7" s="25">
        <v>241.0</v>
      </c>
      <c r="W7" s="25">
        <v>75.0</v>
      </c>
      <c r="X7" s="25">
        <v>60.0</v>
      </c>
      <c r="Y7" s="25">
        <v>35.0</v>
      </c>
      <c r="Z7" s="25">
        <v>17.0</v>
      </c>
      <c r="AA7" s="25">
        <v>460.0</v>
      </c>
      <c r="AB7" s="25"/>
      <c r="AC7" s="25"/>
    </row>
    <row r="8">
      <c r="A8" s="21" t="s">
        <v>5311</v>
      </c>
      <c r="B8" s="21" t="s">
        <v>5312</v>
      </c>
      <c r="C8" s="21">
        <f>+6285265442622</f>
        <v>6285265442622</v>
      </c>
      <c r="D8" s="21" t="s">
        <v>5313</v>
      </c>
      <c r="E8" s="21" t="s">
        <v>5314</v>
      </c>
      <c r="F8" s="21" t="s">
        <v>5315</v>
      </c>
      <c r="G8" s="22">
        <v>46141.0</v>
      </c>
      <c r="H8" s="27">
        <v>46180.0</v>
      </c>
      <c r="I8" s="27">
        <v>46182.0</v>
      </c>
      <c r="J8" s="23" t="s">
        <v>5294</v>
      </c>
      <c r="K8" s="24"/>
      <c r="L8" s="25"/>
      <c r="M8" s="25"/>
      <c r="N8" s="25"/>
      <c r="O8" s="25"/>
      <c r="P8" s="25"/>
      <c r="Q8" s="25"/>
      <c r="R8" s="25"/>
      <c r="S8" s="25"/>
      <c r="T8" s="25"/>
      <c r="U8" s="25"/>
      <c r="V8" s="25"/>
      <c r="W8" s="25"/>
      <c r="X8" s="25"/>
      <c r="Y8" s="25"/>
      <c r="Z8" s="25"/>
      <c r="AA8" s="25"/>
      <c r="AB8" s="25"/>
      <c r="AC8" s="25"/>
    </row>
    <row r="9">
      <c r="A9" s="21" t="s">
        <v>5316</v>
      </c>
      <c r="B9" s="21" t="s">
        <v>77</v>
      </c>
      <c r="C9" s="21">
        <f>+6281776481573</f>
        <v>6281776481573</v>
      </c>
      <c r="D9" s="21" t="s">
        <v>78</v>
      </c>
      <c r="E9" s="21" t="s">
        <v>5317</v>
      </c>
      <c r="F9" s="21" t="s">
        <v>5318</v>
      </c>
      <c r="G9" s="22">
        <v>46141.0</v>
      </c>
      <c r="H9" s="27">
        <v>46179.0</v>
      </c>
      <c r="I9" s="27">
        <v>46180.0</v>
      </c>
      <c r="J9" s="23" t="s">
        <v>5294</v>
      </c>
      <c r="K9" s="24"/>
      <c r="L9" s="25"/>
      <c r="M9" s="25"/>
      <c r="N9" s="25"/>
      <c r="O9" s="25"/>
      <c r="P9" s="25"/>
      <c r="Q9" s="25"/>
      <c r="R9" s="25"/>
      <c r="S9" s="25"/>
      <c r="T9" s="25"/>
      <c r="U9" s="25"/>
      <c r="V9" s="25"/>
      <c r="W9" s="25"/>
      <c r="X9" s="25"/>
      <c r="Y9" s="25"/>
      <c r="Z9" s="25"/>
      <c r="AA9" s="25"/>
      <c r="AB9" s="25"/>
      <c r="AC9" s="25"/>
    </row>
    <row r="10">
      <c r="A10" s="21" t="s">
        <v>5319</v>
      </c>
      <c r="B10" s="21" t="s">
        <v>5320</v>
      </c>
      <c r="C10" s="21">
        <f>+6283173217844</f>
        <v>6283173217844</v>
      </c>
      <c r="D10" s="21" t="s">
        <v>5321</v>
      </c>
      <c r="E10" s="21" t="s">
        <v>5322</v>
      </c>
      <c r="F10" s="21" t="s">
        <v>5323</v>
      </c>
      <c r="G10" s="22">
        <v>46141.0</v>
      </c>
      <c r="H10" s="27">
        <v>46180.0</v>
      </c>
      <c r="I10" s="27">
        <v>46181.0</v>
      </c>
      <c r="J10" s="23" t="s">
        <v>5294</v>
      </c>
      <c r="K10" s="24"/>
      <c r="L10" s="25"/>
      <c r="M10" s="25"/>
      <c r="N10" s="25"/>
      <c r="O10" s="25"/>
      <c r="P10" s="25"/>
      <c r="Q10" s="25"/>
      <c r="R10" s="25"/>
      <c r="S10" s="25"/>
      <c r="T10" s="25"/>
      <c r="U10" s="25"/>
      <c r="V10" s="25"/>
      <c r="W10" s="25"/>
      <c r="X10" s="25"/>
      <c r="Y10" s="25"/>
      <c r="Z10" s="25"/>
      <c r="AA10" s="25"/>
      <c r="AB10" s="25"/>
      <c r="AC10" s="25"/>
    </row>
    <row r="11">
      <c r="A11" s="21" t="s">
        <v>5324</v>
      </c>
      <c r="B11" s="21" t="s">
        <v>923</v>
      </c>
      <c r="C11" s="21">
        <f>+6285842895083</f>
        <v>6285842895083</v>
      </c>
      <c r="D11" s="21" t="s">
        <v>924</v>
      </c>
      <c r="E11" s="21" t="s">
        <v>5325</v>
      </c>
      <c r="F11" s="21" t="s">
        <v>5326</v>
      </c>
      <c r="G11" s="22">
        <v>46146.0</v>
      </c>
      <c r="H11" s="27">
        <v>46166.0</v>
      </c>
      <c r="I11" s="27">
        <v>46166.0</v>
      </c>
      <c r="J11" s="23" t="s">
        <v>5294</v>
      </c>
      <c r="K11" s="24"/>
      <c r="L11" s="25"/>
      <c r="M11" s="25"/>
      <c r="N11" s="25"/>
      <c r="O11" s="25"/>
      <c r="P11" s="25"/>
      <c r="Q11" s="25"/>
      <c r="R11" s="25"/>
      <c r="S11" s="25"/>
      <c r="T11" s="25"/>
      <c r="U11" s="25"/>
      <c r="V11" s="25"/>
      <c r="W11" s="25"/>
      <c r="X11" s="25"/>
      <c r="Y11" s="25"/>
      <c r="Z11" s="25"/>
      <c r="AA11" s="25"/>
      <c r="AB11" s="25"/>
      <c r="AC11" s="25"/>
    </row>
    <row r="12">
      <c r="A12" s="21" t="s">
        <v>5327</v>
      </c>
      <c r="B12" s="21" t="s">
        <v>1585</v>
      </c>
      <c r="C12" s="21">
        <f>+6285374101944</f>
        <v>6285374101944</v>
      </c>
      <c r="D12" s="21" t="s">
        <v>1586</v>
      </c>
      <c r="E12" s="21" t="s">
        <v>5328</v>
      </c>
      <c r="F12" s="21" t="s">
        <v>5329</v>
      </c>
      <c r="G12" s="22">
        <v>46146.0</v>
      </c>
      <c r="H12" s="27">
        <v>46163.0</v>
      </c>
      <c r="I12" s="27">
        <v>46164.0</v>
      </c>
      <c r="J12" s="23" t="s">
        <v>5294</v>
      </c>
      <c r="K12" s="24"/>
      <c r="L12" s="25"/>
      <c r="M12" s="25"/>
      <c r="N12" s="25"/>
      <c r="O12" s="25"/>
      <c r="P12" s="25"/>
      <c r="Q12" s="25"/>
      <c r="R12" s="25"/>
      <c r="S12" s="25"/>
      <c r="T12" s="25"/>
      <c r="U12" s="25"/>
      <c r="V12" s="25"/>
      <c r="W12" s="25"/>
      <c r="X12" s="25"/>
      <c r="Y12" s="25"/>
      <c r="Z12" s="25"/>
      <c r="AA12" s="25"/>
      <c r="AB12" s="25"/>
      <c r="AC12" s="25"/>
    </row>
    <row r="13">
      <c r="A13" s="21" t="s">
        <v>5330</v>
      </c>
      <c r="B13" s="21" t="s">
        <v>370</v>
      </c>
      <c r="C13" s="21">
        <v>2.177833109E9</v>
      </c>
      <c r="D13" s="21" t="s">
        <v>371</v>
      </c>
      <c r="E13" s="21" t="s">
        <v>5331</v>
      </c>
      <c r="F13" s="21" t="s">
        <v>5332</v>
      </c>
      <c r="G13" s="22">
        <v>46146.0</v>
      </c>
      <c r="H13" s="27">
        <v>46170.0</v>
      </c>
      <c r="I13" s="27">
        <v>46171.0</v>
      </c>
      <c r="J13" s="23" t="s">
        <v>5294</v>
      </c>
      <c r="K13" s="24"/>
      <c r="L13" s="25"/>
      <c r="M13" s="25"/>
      <c r="N13" s="25"/>
      <c r="O13" s="25"/>
      <c r="P13" s="25"/>
      <c r="Q13" s="25"/>
      <c r="R13" s="25"/>
      <c r="S13" s="25" t="s">
        <v>5280</v>
      </c>
      <c r="T13" s="25" t="s">
        <v>5281</v>
      </c>
      <c r="U13" s="25"/>
      <c r="V13" s="25"/>
      <c r="W13" s="25"/>
      <c r="X13" s="25"/>
      <c r="Y13" s="25"/>
      <c r="Z13" s="25"/>
      <c r="AA13" s="25"/>
      <c r="AB13" s="25"/>
      <c r="AC13" s="25"/>
    </row>
    <row r="14">
      <c r="A14" s="21" t="s">
        <v>5333</v>
      </c>
      <c r="B14" s="21" t="s">
        <v>5334</v>
      </c>
      <c r="C14" s="21">
        <f>+6285710003495</f>
        <v>6285710003495</v>
      </c>
      <c r="D14" s="21" t="s">
        <v>5335</v>
      </c>
      <c r="E14" s="21" t="s">
        <v>5336</v>
      </c>
      <c r="F14" s="21" t="s">
        <v>5337</v>
      </c>
      <c r="G14" s="22">
        <v>46146.0</v>
      </c>
      <c r="H14" s="27">
        <v>46179.0</v>
      </c>
      <c r="I14" s="27">
        <v>46179.0</v>
      </c>
      <c r="J14" s="23" t="s">
        <v>5294</v>
      </c>
      <c r="K14" s="24"/>
      <c r="L14" s="25"/>
      <c r="M14" s="25"/>
      <c r="N14" s="25"/>
      <c r="O14" s="25"/>
      <c r="P14" s="25"/>
      <c r="Q14" s="25"/>
      <c r="R14" s="25"/>
      <c r="S14" s="25" t="s">
        <v>5338</v>
      </c>
      <c r="T14" s="25">
        <v>1.0</v>
      </c>
      <c r="U14" s="25"/>
      <c r="V14" s="25"/>
      <c r="W14" s="25"/>
      <c r="X14" s="25"/>
      <c r="Y14" s="25"/>
      <c r="Z14" s="25"/>
      <c r="AA14" s="25"/>
      <c r="AB14" s="25"/>
      <c r="AC14" s="25"/>
    </row>
    <row r="15">
      <c r="A15" s="21" t="s">
        <v>5339</v>
      </c>
      <c r="B15" s="21" t="s">
        <v>1907</v>
      </c>
      <c r="C15" s="21">
        <f>+6281252592024</f>
        <v>6281252592024</v>
      </c>
      <c r="D15" s="21" t="s">
        <v>1908</v>
      </c>
      <c r="E15" s="21" t="s">
        <v>1913</v>
      </c>
      <c r="F15" s="21" t="s">
        <v>5340</v>
      </c>
      <c r="G15" s="22">
        <v>46146.0</v>
      </c>
      <c r="H15" s="27">
        <v>46180.0</v>
      </c>
      <c r="I15" s="27">
        <v>46182.0</v>
      </c>
      <c r="J15" s="23" t="s">
        <v>5294</v>
      </c>
      <c r="K15" s="24"/>
      <c r="L15" s="25"/>
      <c r="M15" s="25"/>
      <c r="N15" s="25"/>
      <c r="O15" s="25"/>
      <c r="P15" s="25"/>
      <c r="Q15" s="25"/>
      <c r="R15" s="25"/>
      <c r="S15" s="25" t="s">
        <v>5288</v>
      </c>
      <c r="T15" s="25">
        <v>1.0</v>
      </c>
      <c r="U15" s="25"/>
      <c r="V15" s="25"/>
      <c r="W15" s="25"/>
      <c r="X15" s="25"/>
      <c r="Y15" s="25"/>
      <c r="Z15" s="25"/>
      <c r="AA15" s="25"/>
      <c r="AB15" s="25"/>
      <c r="AC15" s="25"/>
    </row>
    <row r="16">
      <c r="A16" s="21" t="s">
        <v>5341</v>
      </c>
      <c r="B16" s="21" t="s">
        <v>167</v>
      </c>
      <c r="C16" s="21">
        <f>+6282260047002</f>
        <v>6282260047002</v>
      </c>
      <c r="D16" s="21" t="s">
        <v>168</v>
      </c>
      <c r="E16" s="21" t="s">
        <v>5342</v>
      </c>
      <c r="F16" s="21" t="s">
        <v>5343</v>
      </c>
      <c r="G16" s="22">
        <v>46146.0</v>
      </c>
      <c r="H16" s="27">
        <v>46180.0</v>
      </c>
      <c r="I16" s="27">
        <v>46182.0</v>
      </c>
      <c r="J16" s="23" t="s">
        <v>5294</v>
      </c>
      <c r="K16" s="24"/>
      <c r="L16" s="25"/>
      <c r="M16" s="25"/>
      <c r="N16" s="25"/>
      <c r="O16" s="25"/>
      <c r="P16" s="25"/>
      <c r="Q16" s="25"/>
      <c r="R16" s="25"/>
      <c r="S16" s="25"/>
      <c r="T16" s="25"/>
      <c r="U16" s="25"/>
      <c r="V16" s="25"/>
      <c r="W16" s="25"/>
      <c r="X16" s="25"/>
      <c r="Y16" s="25"/>
      <c r="Z16" s="25"/>
      <c r="AA16" s="25"/>
      <c r="AB16" s="25"/>
      <c r="AC16" s="25"/>
    </row>
    <row r="17">
      <c r="A17" s="21" t="s">
        <v>5344</v>
      </c>
      <c r="B17" s="21" t="s">
        <v>5345</v>
      </c>
      <c r="C17" s="21">
        <f>+6285882293179</f>
        <v>6285882293179</v>
      </c>
      <c r="D17" s="21" t="s">
        <v>5346</v>
      </c>
      <c r="E17" s="21" t="s">
        <v>5347</v>
      </c>
      <c r="F17" s="21" t="s">
        <v>5348</v>
      </c>
      <c r="G17" s="22">
        <v>46147.0</v>
      </c>
      <c r="H17" s="27">
        <v>46182.0</v>
      </c>
      <c r="I17" s="27">
        <v>46183.0</v>
      </c>
      <c r="J17" s="23" t="s">
        <v>5294</v>
      </c>
      <c r="K17" s="24"/>
      <c r="L17" s="25"/>
      <c r="M17" s="25"/>
      <c r="N17" s="25"/>
      <c r="O17" s="25"/>
      <c r="P17" s="25"/>
      <c r="Q17" s="25"/>
      <c r="R17" s="25"/>
      <c r="S17" s="25"/>
      <c r="T17" s="25"/>
      <c r="U17" s="25"/>
      <c r="V17" s="25"/>
      <c r="W17" s="25"/>
      <c r="X17" s="25"/>
      <c r="Y17" s="25"/>
      <c r="Z17" s="25"/>
      <c r="AA17" s="25"/>
      <c r="AB17" s="25"/>
      <c r="AC17" s="25"/>
    </row>
    <row r="18">
      <c r="A18" s="28" t="s">
        <v>5349</v>
      </c>
      <c r="B18" s="28" t="s">
        <v>1035</v>
      </c>
      <c r="C18" s="28">
        <f>+6289620265220</f>
        <v>6289620265220</v>
      </c>
      <c r="D18" s="28" t="s">
        <v>1036</v>
      </c>
      <c r="E18" s="28" t="s">
        <v>5350</v>
      </c>
      <c r="F18" s="28" t="s">
        <v>5351</v>
      </c>
      <c r="G18" s="29">
        <v>46147.0</v>
      </c>
      <c r="H18" s="30">
        <v>46153.0</v>
      </c>
      <c r="I18" s="30">
        <v>46154.0</v>
      </c>
      <c r="J18" s="31" t="s">
        <v>5294</v>
      </c>
      <c r="K18" s="28" t="s">
        <v>4807</v>
      </c>
      <c r="L18" s="25"/>
      <c r="M18" s="25"/>
      <c r="N18" s="25"/>
      <c r="O18" s="25"/>
      <c r="P18" s="25"/>
      <c r="Q18" s="25"/>
      <c r="R18" s="25"/>
      <c r="S18" s="25"/>
      <c r="T18" s="25"/>
      <c r="U18" s="25"/>
      <c r="V18" s="25"/>
      <c r="W18" s="25"/>
      <c r="X18" s="25"/>
      <c r="Y18" s="25"/>
      <c r="Z18" s="25"/>
      <c r="AA18" s="25"/>
      <c r="AB18" s="25"/>
      <c r="AC18" s="25"/>
    </row>
    <row r="19">
      <c r="A19" s="21" t="s">
        <v>5352</v>
      </c>
      <c r="B19" s="21" t="s">
        <v>1907</v>
      </c>
      <c r="C19" s="21">
        <f>+6281252592024</f>
        <v>6281252592024</v>
      </c>
      <c r="D19" s="21" t="s">
        <v>1908</v>
      </c>
      <c r="E19" s="21" t="s">
        <v>1906</v>
      </c>
      <c r="F19" s="21" t="s">
        <v>5353</v>
      </c>
      <c r="G19" s="22">
        <v>46147.0</v>
      </c>
      <c r="H19" s="27">
        <v>46180.0</v>
      </c>
      <c r="I19" s="27">
        <v>46182.0</v>
      </c>
      <c r="J19" s="23" t="s">
        <v>5294</v>
      </c>
      <c r="K19" s="24"/>
      <c r="L19" s="25"/>
      <c r="M19" s="25"/>
      <c r="N19" s="25"/>
      <c r="O19" s="25"/>
      <c r="P19" s="25"/>
      <c r="Q19" s="25"/>
      <c r="R19" s="25"/>
      <c r="S19" s="25"/>
      <c r="T19" s="25"/>
      <c r="U19" s="25"/>
      <c r="V19" s="25"/>
      <c r="W19" s="25"/>
      <c r="X19" s="25"/>
      <c r="Y19" s="25"/>
      <c r="Z19" s="25"/>
      <c r="AA19" s="25"/>
      <c r="AB19" s="25"/>
      <c r="AC19" s="25"/>
    </row>
    <row r="20">
      <c r="A20" s="21" t="s">
        <v>5354</v>
      </c>
      <c r="B20" s="21" t="s">
        <v>1193</v>
      </c>
      <c r="C20" s="21">
        <f>+6281281385101</f>
        <v>6281281385101</v>
      </c>
      <c r="D20" s="21" t="s">
        <v>1194</v>
      </c>
      <c r="E20" s="21" t="s">
        <v>5355</v>
      </c>
      <c r="F20" s="21" t="s">
        <v>5356</v>
      </c>
      <c r="G20" s="22">
        <v>46147.0</v>
      </c>
      <c r="H20" s="27">
        <v>46163.0</v>
      </c>
      <c r="I20" s="27">
        <v>46164.0</v>
      </c>
      <c r="J20" s="23" t="s">
        <v>5294</v>
      </c>
      <c r="K20" s="24"/>
      <c r="L20" s="25"/>
      <c r="M20" s="25"/>
      <c r="N20" s="25"/>
      <c r="O20" s="25"/>
      <c r="P20" s="25"/>
      <c r="Q20" s="25"/>
      <c r="R20" s="25"/>
      <c r="S20" s="25"/>
      <c r="T20" s="25"/>
      <c r="U20" s="25"/>
      <c r="V20" s="25"/>
      <c r="W20" s="25"/>
      <c r="X20" s="25"/>
      <c r="Y20" s="25"/>
      <c r="Z20" s="25"/>
      <c r="AA20" s="25"/>
      <c r="AB20" s="25"/>
      <c r="AC20" s="25"/>
    </row>
    <row r="21">
      <c r="A21" s="28" t="s">
        <v>5357</v>
      </c>
      <c r="B21" s="28" t="s">
        <v>5358</v>
      </c>
      <c r="C21" s="28">
        <f>+6282341638251</f>
        <v>6282341638251</v>
      </c>
      <c r="D21" s="28" t="s">
        <v>5359</v>
      </c>
      <c r="E21" s="28" t="s">
        <v>5360</v>
      </c>
      <c r="F21" s="28" t="s">
        <v>5361</v>
      </c>
      <c r="G21" s="29">
        <v>46147.0</v>
      </c>
      <c r="H21" s="30">
        <v>46157.0</v>
      </c>
      <c r="I21" s="30">
        <v>46158.0</v>
      </c>
      <c r="J21" s="31" t="s">
        <v>5294</v>
      </c>
      <c r="K21" s="28" t="s">
        <v>4807</v>
      </c>
      <c r="L21" s="25"/>
      <c r="M21" s="25"/>
      <c r="N21" s="25"/>
      <c r="O21" s="25"/>
      <c r="P21" s="25"/>
      <c r="Q21" s="25"/>
      <c r="R21" s="25"/>
      <c r="S21" s="25"/>
      <c r="T21" s="25"/>
      <c r="U21" s="25"/>
      <c r="V21" s="25"/>
      <c r="W21" s="25"/>
      <c r="X21" s="25"/>
      <c r="Y21" s="25"/>
      <c r="Z21" s="25"/>
      <c r="AA21" s="25"/>
      <c r="AB21" s="25"/>
      <c r="AC21" s="25"/>
    </row>
    <row r="22">
      <c r="A22" s="21" t="s">
        <v>5362</v>
      </c>
      <c r="B22" s="21" t="s">
        <v>690</v>
      </c>
      <c r="C22" s="21">
        <f>+6285819228710</f>
        <v>6285819228710</v>
      </c>
      <c r="D22" s="21" t="s">
        <v>691</v>
      </c>
      <c r="E22" s="21" t="s">
        <v>5363</v>
      </c>
      <c r="F22" s="21" t="s">
        <v>5364</v>
      </c>
      <c r="G22" s="22">
        <v>46147.0</v>
      </c>
      <c r="H22" s="27">
        <v>46179.0</v>
      </c>
      <c r="I22" s="27">
        <v>46180.0</v>
      </c>
      <c r="J22" s="23" t="s">
        <v>5294</v>
      </c>
      <c r="K22" s="24"/>
      <c r="L22" s="25"/>
      <c r="M22" s="25"/>
      <c r="N22" s="25"/>
      <c r="O22" s="25"/>
      <c r="P22" s="25"/>
      <c r="Q22" s="25"/>
      <c r="R22" s="25"/>
      <c r="S22" s="25"/>
      <c r="T22" s="25"/>
      <c r="U22" s="25"/>
      <c r="V22" s="25"/>
      <c r="W22" s="25"/>
      <c r="X22" s="25"/>
      <c r="Y22" s="25"/>
      <c r="Z22" s="25"/>
      <c r="AA22" s="25"/>
      <c r="AB22" s="25"/>
      <c r="AC22" s="25"/>
    </row>
    <row r="23">
      <c r="A23" s="21" t="s">
        <v>5365</v>
      </c>
      <c r="B23" s="21" t="s">
        <v>71</v>
      </c>
      <c r="C23" s="21">
        <f>+6281250004669</f>
        <v>6281250004669</v>
      </c>
      <c r="D23" s="21" t="s">
        <v>72</v>
      </c>
      <c r="E23" s="21" t="s">
        <v>5366</v>
      </c>
      <c r="F23" s="21" t="s">
        <v>5367</v>
      </c>
      <c r="G23" s="22">
        <v>46147.0</v>
      </c>
      <c r="H23" s="27">
        <v>46179.0</v>
      </c>
      <c r="I23" s="27">
        <v>46179.0</v>
      </c>
      <c r="J23" s="23" t="s">
        <v>5294</v>
      </c>
      <c r="K23" s="24"/>
      <c r="L23" s="25"/>
      <c r="M23" s="25"/>
      <c r="N23" s="25"/>
      <c r="O23" s="25"/>
      <c r="P23" s="25"/>
      <c r="Q23" s="25"/>
      <c r="R23" s="25"/>
      <c r="S23" s="25"/>
      <c r="T23" s="25"/>
      <c r="U23" s="25"/>
      <c r="V23" s="25"/>
      <c r="W23" s="25"/>
      <c r="X23" s="25"/>
      <c r="Y23" s="25"/>
      <c r="Z23" s="25"/>
      <c r="AA23" s="25"/>
      <c r="AB23" s="25"/>
      <c r="AC23" s="25"/>
    </row>
    <row r="24">
      <c r="A24" s="28" t="s">
        <v>5368</v>
      </c>
      <c r="B24" s="28" t="s">
        <v>5369</v>
      </c>
      <c r="C24" s="28">
        <f>+6287808713439</f>
        <v>6287808713439</v>
      </c>
      <c r="D24" s="28" t="s">
        <v>805</v>
      </c>
      <c r="E24" s="28" t="s">
        <v>803</v>
      </c>
      <c r="F24" s="28" t="s">
        <v>5370</v>
      </c>
      <c r="G24" s="29">
        <v>46150.0</v>
      </c>
      <c r="H24" s="30">
        <v>46153.0</v>
      </c>
      <c r="I24" s="30">
        <v>46155.0</v>
      </c>
      <c r="J24" s="31" t="s">
        <v>5294</v>
      </c>
      <c r="K24" s="28" t="s">
        <v>4807</v>
      </c>
      <c r="L24" s="25"/>
      <c r="M24" s="25"/>
      <c r="N24" s="25"/>
      <c r="O24" s="25"/>
      <c r="P24" s="25"/>
      <c r="Q24" s="25"/>
      <c r="R24" s="25"/>
      <c r="S24" s="25"/>
      <c r="T24" s="25"/>
      <c r="U24" s="25"/>
      <c r="V24" s="25"/>
      <c r="W24" s="25"/>
      <c r="X24" s="25"/>
      <c r="Y24" s="25"/>
      <c r="Z24" s="25"/>
      <c r="AA24" s="25"/>
      <c r="AB24" s="25"/>
      <c r="AC24" s="25"/>
    </row>
    <row r="25">
      <c r="A25" s="32" t="str">
        <f>'DE ( Tarik barang retur )'!AC2</f>
        <v>AWBR-10859-2026-4-17-01</v>
      </c>
      <c r="B25" s="32" t="str">
        <f>'DE ( Tarik barang retur )'!F2</f>
        <v>Apotek Citayam Farma Bojong Pondok Terong Cipayung</v>
      </c>
      <c r="C25" s="33">
        <f>'DE ( Tarik barang retur )'!G2</f>
        <v>6.28517E+17</v>
      </c>
      <c r="D25" s="32" t="str">
        <f>'DE ( Tarik barang retur )'!H2</f>
        <v>Jl. Raya Cipayung No.1, RT.03/RW10, Desa/Kel. Bojong Pondok Terong, Kec. Cipayung, Kota Depok 16436</v>
      </c>
      <c r="E25" s="32" t="str">
        <f>'DE ( Tarik barang retur )'!D2</f>
        <v>26033013582985PgyfIVBK</v>
      </c>
      <c r="F25" s="32" t="str">
        <f>'DE ( Tarik barang retur )'!R2</f>
        <v>TMP-INV-2026/03/31/ 2586421SGM EKSPLOR GAIN OPTIGROW Sarihusada DUS, ALUMUNIUM FOIL @ 400 GTarik Barang Retur &amp; Wajib bawa BA retur</v>
      </c>
      <c r="G25" s="34">
        <f>'DE ( Tarik barang retur )'!AF2</f>
        <v>46153</v>
      </c>
      <c r="H25" s="30">
        <v>46153.0</v>
      </c>
      <c r="I25" s="30">
        <v>46154.0</v>
      </c>
      <c r="J25" s="31" t="s">
        <v>5294</v>
      </c>
      <c r="K25" s="28" t="s">
        <v>4807</v>
      </c>
      <c r="L25" s="25"/>
      <c r="M25" s="25"/>
      <c r="N25" s="25"/>
      <c r="O25" s="25"/>
      <c r="P25" s="25"/>
      <c r="Q25" s="25"/>
      <c r="R25" s="25"/>
      <c r="S25" s="25"/>
      <c r="T25" s="25"/>
      <c r="U25" s="25"/>
      <c r="V25" s="25"/>
      <c r="W25" s="25"/>
      <c r="X25" s="25"/>
      <c r="Y25" s="25"/>
      <c r="Z25" s="25"/>
      <c r="AA25" s="25"/>
      <c r="AB25" s="25"/>
      <c r="AC25" s="25"/>
    </row>
    <row r="26">
      <c r="A26" s="32" t="str">
        <f>'DE ( Tarik barang retur )'!AC3</f>
        <v>AWBR-4606-2026-5-11-1-01</v>
      </c>
      <c r="B26" s="32" t="str">
        <f>'DE ( Tarik barang retur )'!F3</f>
        <v>Apotek Singojuruh</v>
      </c>
      <c r="C26" s="33">
        <f>'DE ( Tarik barang retur )'!G3</f>
        <v>6.2853E+16</v>
      </c>
      <c r="D26" s="32" t="str">
        <f>'DE ( Tarik barang retur )'!H3</f>
        <v>Jl Aruji Kartawinata 02/02 Kel.Singojuruh Kec.Singojuruh Kab.Banyuwangi Jawa Timur 68464</v>
      </c>
      <c r="E26" s="32" t="str">
        <f>'DE ( Tarik barang retur )'!D3</f>
        <v>25012410200620NHRbykaYKC</v>
      </c>
      <c r="F26" s="32" t="str">
        <f>'DE ( Tarik barang retur )'!R3</f>
        <v>TMP-INV-2025/01/25/ 1305668 - CURVIT Soho SIRUP - Tarik Barang Retur</v>
      </c>
      <c r="G26" s="34">
        <f>'DE ( Tarik barang retur )'!AF3</f>
        <v>46155</v>
      </c>
      <c r="H26" s="29">
        <v>46157.0</v>
      </c>
      <c r="I26" s="29">
        <v>46157.0</v>
      </c>
      <c r="J26" s="28" t="s">
        <v>5294</v>
      </c>
      <c r="K26" s="28" t="s">
        <v>4807</v>
      </c>
      <c r="L26" s="25"/>
      <c r="M26" s="25"/>
      <c r="N26" s="25"/>
      <c r="O26" s="25"/>
      <c r="P26" s="25"/>
      <c r="Q26" s="25"/>
      <c r="R26" s="25"/>
      <c r="S26" s="25"/>
      <c r="T26" s="25"/>
      <c r="U26" s="25"/>
      <c r="V26" s="25"/>
      <c r="W26" s="25"/>
      <c r="X26" s="25"/>
      <c r="Y26" s="25"/>
      <c r="Z26" s="25"/>
      <c r="AA26" s="25"/>
      <c r="AB26" s="25"/>
      <c r="AC26" s="25"/>
    </row>
    <row r="27">
      <c r="A27" s="24" t="str">
        <f>'DE ( Tarik barang retur )'!AC4</f>
        <v>AWBR-12411-2026-5-16-01</v>
      </c>
      <c r="B27" s="24" t="str">
        <f>'DE ( Tarik barang retur )'!F4</f>
        <v>Apotek Bintang Sehat 1 Jayamulya Serang Baru</v>
      </c>
      <c r="C27" s="35">
        <f>'DE ( Tarik barang retur )'!G4</f>
        <v>6.28199E+17</v>
      </c>
      <c r="D27" s="24" t="str">
        <f>'DE ( Tarik barang retur )'!H4</f>
        <v>Perum Grand Vista Blok D1 RT 003 RW 009 Desa Jayamulya Kec. Serang Baru Kab. Bekasi</v>
      </c>
      <c r="E27" s="24" t="str">
        <f>'DE ( Tarik barang retur )'!D4</f>
        <v>26042802052677jEINi46Brs</v>
      </c>
      <c r="F27" s="24" t="str">
        <f>'DE ( Tarik barang retur )'!R4</f>
        <v>TMP-INV-2026/04/28/ 2685534HERBORIST MINYAK ZAITUN Victoria Care BOTOL @ 75 MLTarik Barang Retur</v>
      </c>
      <c r="G27" s="36">
        <f>'DE ( Tarik barang retur )'!AF4</f>
        <v>46158</v>
      </c>
      <c r="H27" s="22">
        <v>46182.0</v>
      </c>
      <c r="I27" s="22">
        <v>46183.0</v>
      </c>
      <c r="J27" s="21" t="s">
        <v>5294</v>
      </c>
      <c r="K27" s="24"/>
      <c r="L27" s="25"/>
      <c r="M27" s="25"/>
      <c r="N27" s="25"/>
      <c r="O27" s="25"/>
      <c r="P27" s="25"/>
      <c r="Q27" s="25"/>
      <c r="R27" s="25"/>
      <c r="S27" s="25"/>
      <c r="T27" s="25"/>
      <c r="U27" s="25"/>
      <c r="V27" s="25"/>
      <c r="W27" s="25"/>
      <c r="X27" s="25"/>
      <c r="Y27" s="25"/>
      <c r="Z27" s="25"/>
      <c r="AA27" s="25"/>
      <c r="AB27" s="25"/>
      <c r="AC27" s="25"/>
    </row>
    <row r="28">
      <c r="A28" s="24" t="str">
        <f>'DE ( Tarik barang retur )'!AC5</f>
        <v>AWBR-12377-2026-5-16-01</v>
      </c>
      <c r="B28" s="24" t="str">
        <f>'DE ( Tarik barang retur )'!F5</f>
        <v>Apotek Bintang Sehat Sukaragam Serang Baru</v>
      </c>
      <c r="C28" s="35">
        <f>'DE ( Tarik barang retur )'!G5</f>
        <v>6.28125E+17</v>
      </c>
      <c r="D28" s="24" t="str">
        <f>'DE ( Tarik barang retur )'!H5</f>
        <v>Perum Mega Regency Blok H1 No. 30 Desa Sukaragam Kec. Serang Baru Kab. Bekasi</v>
      </c>
      <c r="E28" s="24" t="str">
        <f>'DE ( Tarik barang retur )'!D5</f>
        <v>26042002141604sR64H1lq</v>
      </c>
      <c r="F28" s="24" t="str">
        <f>'DE ( Tarik barang retur )'!R5</f>
        <v>TMP-INV-2026/04/20/ 2655815Tarik Barang Retur</v>
      </c>
      <c r="G28" s="36">
        <f>'DE ( Tarik barang retur )'!AF5</f>
        <v>46158</v>
      </c>
      <c r="H28" s="22">
        <v>46179.0</v>
      </c>
      <c r="I28" s="22">
        <v>46179.0</v>
      </c>
      <c r="J28" s="21" t="s">
        <v>5294</v>
      </c>
      <c r="K28" s="24"/>
      <c r="L28" s="25"/>
      <c r="M28" s="25"/>
      <c r="N28" s="25"/>
      <c r="O28" s="25"/>
      <c r="P28" s="25"/>
      <c r="Q28" s="25"/>
      <c r="R28" s="25"/>
      <c r="S28" s="25"/>
      <c r="T28" s="25"/>
      <c r="U28" s="25"/>
      <c r="V28" s="25"/>
      <c r="W28" s="25"/>
      <c r="X28" s="25"/>
      <c r="Y28" s="25"/>
      <c r="Z28" s="25"/>
      <c r="AA28" s="25"/>
      <c r="AB28" s="25"/>
      <c r="AC28" s="25"/>
    </row>
    <row r="29">
      <c r="A29" s="24" t="str">
        <f>'DE ( Tarik barang retur )'!AC6</f>
        <v>AWBR-10720-2026-5-16-01</v>
      </c>
      <c r="B29" s="24" t="str">
        <f>'DE ( Tarik barang retur )'!F6</f>
        <v>Apotek K24 Sukasari Sukasari Serang Baru</v>
      </c>
      <c r="C29" s="24">
        <f>'DE ( Tarik barang retur )'!G6</f>
        <v>81776481573</v>
      </c>
      <c r="D29" s="24" t="str">
        <f>'DE ( Tarik barang retur )'!H6</f>
        <v>Ruko Serang-Cibarusah No. 3 Jl. Raya Serang Cibarusah Kp. Pasar Randu, Kel. Sukasari Kec. Serang Baru Kab. Bekasi 17330</v>
      </c>
      <c r="E29" s="24" t="str">
        <f>'DE ( Tarik barang retur )'!D6</f>
        <v>26040605461503nMH7TsTY9j</v>
      </c>
      <c r="F29" s="24" t="str">
        <f>'DE ( Tarik barang retur )'!R6</f>
        <v>TMP-INV-2026/04/07/ 2610048INTERLAC Interbat DROPS DUS, BOTOL KACA 5 MLTarik Barang Retur</v>
      </c>
      <c r="G29" s="36">
        <f>'DE ( Tarik barang retur )'!AF6</f>
        <v>46158</v>
      </c>
      <c r="H29" s="22">
        <v>46166.0</v>
      </c>
      <c r="I29" s="22">
        <v>46166.0</v>
      </c>
      <c r="J29" s="21" t="s">
        <v>5294</v>
      </c>
      <c r="K29" s="24"/>
      <c r="L29" s="25"/>
      <c r="M29" s="25"/>
      <c r="N29" s="25"/>
      <c r="O29" s="25"/>
      <c r="P29" s="25"/>
      <c r="Q29" s="25"/>
      <c r="R29" s="25"/>
      <c r="S29" s="25"/>
      <c r="T29" s="25"/>
      <c r="U29" s="25"/>
      <c r="V29" s="25"/>
      <c r="W29" s="25"/>
      <c r="X29" s="25"/>
      <c r="Y29" s="25"/>
      <c r="Z29" s="25"/>
      <c r="AA29" s="25"/>
      <c r="AB29" s="25"/>
      <c r="AC29" s="25"/>
    </row>
    <row r="30">
      <c r="A30" s="32" t="str">
        <f>'DE ( Tarik barang retur )'!AC7</f>
        <v>AWBR-16863-2026-5-16-01</v>
      </c>
      <c r="B30" s="32" t="str">
        <f>'DE ( Tarik barang retur )'!F7</f>
        <v>Apotek Enggal Waras Tiga Bojongpicung Bojongpicung</v>
      </c>
      <c r="C30" s="33">
        <f>'DE ( Tarik barang retur )'!G7</f>
        <v>6.28213E+17</v>
      </c>
      <c r="D30" s="32" t="str">
        <f>'DE ( Tarik barang retur )'!H7</f>
        <v>Kp. Bojongpicung RT. 001 RW. 003 Desa. Bojongpicung Kecamatan. Bojongpicung Kabupaten Cianjur</v>
      </c>
      <c r="E30" s="32" t="str">
        <f>'DE ( Tarik barang retur )'!D7</f>
        <v>26042707183212wZ262nubF</v>
      </c>
      <c r="F30" s="32" t="str">
        <f>'DE ( Tarik barang retur )'!R7</f>
        <v>TMP-INV-2026/04/28/ 2687857SGM LLM+ DUS, KARTON 400 GTarik Barang Retur</v>
      </c>
      <c r="G30" s="34">
        <f>'DE ( Tarik barang retur )'!AF7</f>
        <v>46158</v>
      </c>
      <c r="H30" s="29">
        <v>46160.0</v>
      </c>
      <c r="I30" s="29">
        <v>46161.0</v>
      </c>
      <c r="J30" s="28" t="s">
        <v>5294</v>
      </c>
      <c r="K30" s="28" t="s">
        <v>4807</v>
      </c>
      <c r="L30" s="25"/>
      <c r="M30" s="25"/>
      <c r="N30" s="25"/>
      <c r="O30" s="25"/>
      <c r="P30" s="25"/>
      <c r="Q30" s="25"/>
      <c r="R30" s="25"/>
      <c r="S30" s="25"/>
      <c r="T30" s="25"/>
      <c r="U30" s="25"/>
      <c r="V30" s="25"/>
      <c r="W30" s="25"/>
      <c r="X30" s="25"/>
      <c r="Y30" s="25"/>
      <c r="Z30" s="25"/>
      <c r="AA30" s="25"/>
      <c r="AB30" s="25"/>
      <c r="AC30" s="25"/>
    </row>
    <row r="31">
      <c r="A31" s="32" t="str">
        <f>'DE ( Tarik barang retur )'!AC8</f>
        <v>AWBR-8604-2026-5-16-01</v>
      </c>
      <c r="B31" s="32" t="str">
        <f>'DE ( Tarik barang retur )'!F8</f>
        <v>Apotek Rahayu Farma Cinangka Bungursari</v>
      </c>
      <c r="C31" s="32">
        <f>'DE ( Tarik barang retur )'!G8</f>
        <v>82216766044</v>
      </c>
      <c r="D31" s="32" t="str">
        <f>'DE ( Tarik barang retur )'!H8</f>
        <v>Jl. Cinangka No.23 RT.05 RW.03, Kel. Cinangka, Kec. Bungursari, Kab. Purwakarta, 41181</v>
      </c>
      <c r="E31" s="32" t="str">
        <f>'DE ( Tarik barang retur )'!D8</f>
        <v>26042314484910WriHfjQo</v>
      </c>
      <c r="F31" s="32" t="str">
        <f>'DE ( Tarik barang retur )'!R8</f>
        <v>TMP-INV-2026/04/24/ 2674250Semua Barang di Faktur TMP-INV-2026/04/24/ 2674250Tarik Barang Damaged</v>
      </c>
      <c r="G31" s="34">
        <f>'DE ( Tarik barang retur )'!AF8</f>
        <v>46158</v>
      </c>
      <c r="H31" s="29">
        <v>46159.0</v>
      </c>
      <c r="I31" s="29">
        <v>46161.0</v>
      </c>
      <c r="J31" s="28" t="s">
        <v>5294</v>
      </c>
      <c r="K31" s="28" t="s">
        <v>4807</v>
      </c>
      <c r="L31" s="25"/>
      <c r="M31" s="25"/>
      <c r="N31" s="25"/>
      <c r="O31" s="25"/>
      <c r="P31" s="25"/>
      <c r="Q31" s="25"/>
      <c r="R31" s="25"/>
      <c r="S31" s="25"/>
      <c r="T31" s="25"/>
      <c r="U31" s="25"/>
      <c r="V31" s="25"/>
      <c r="W31" s="25"/>
      <c r="X31" s="25"/>
      <c r="Y31" s="25"/>
      <c r="Z31" s="25"/>
      <c r="AA31" s="25"/>
      <c r="AB31" s="25"/>
      <c r="AC31" s="25"/>
    </row>
    <row r="32">
      <c r="A32" s="32" t="str">
        <f>'DE ( Tarik barang retur )'!AC9</f>
        <v>AWBR-10615-2026-5-16-01</v>
      </c>
      <c r="B32" s="32" t="str">
        <f>'DE ( Tarik barang retur )'!F9</f>
        <v>Apotek Cahaya Pratama Nagrak Gunung Putri</v>
      </c>
      <c r="C32" s="33">
        <f>'DE ( Tarik barang retur )'!G9</f>
        <v>6.28121E+16</v>
      </c>
      <c r="D32" s="32" t="str">
        <f>'DE ( Tarik barang retur )'!H9</f>
        <v>Perumahan Legenda Wisata Cibubur Blok U12 No. 12 Desa Nagrak Kecamatan Gunung Putri Kabupaten Bogor</v>
      </c>
      <c r="E32" s="32" t="str">
        <f>'DE ( Tarik barang retur )'!D9</f>
        <v>26042003281955evVhe58S</v>
      </c>
      <c r="F32" s="32" t="str">
        <f>'DE ( Tarik barang retur )'!R9</f>
        <v>TMP-INV-2026/04/20/ 2657865 &amp; ALERZIN 10 Sampharindo TABLET 10 MG DUS, 10 AMPLOP @ 1 STRIP @ 10 TABLET SALUT SELAPUT &amp; ZITANID Novell TABLET 2 MG DUS, 3 STRIP @ 10 TABLETTarik Barang Retur</v>
      </c>
      <c r="G32" s="34">
        <f>'DE ( Tarik barang retur )'!AF9</f>
        <v>46158</v>
      </c>
      <c r="H32" s="29">
        <v>46158.0</v>
      </c>
      <c r="I32" s="29">
        <v>46159.0</v>
      </c>
      <c r="J32" s="28" t="s">
        <v>5294</v>
      </c>
      <c r="K32" s="28" t="s">
        <v>4807</v>
      </c>
      <c r="L32" s="25"/>
      <c r="M32" s="25"/>
      <c r="N32" s="25"/>
      <c r="O32" s="25"/>
      <c r="P32" s="25"/>
      <c r="Q32" s="25"/>
      <c r="R32" s="25"/>
      <c r="S32" s="25"/>
      <c r="T32" s="25"/>
      <c r="U32" s="25"/>
      <c r="V32" s="25"/>
      <c r="W32" s="25"/>
      <c r="X32" s="25"/>
      <c r="Y32" s="25"/>
      <c r="Z32" s="25"/>
      <c r="AA32" s="25"/>
      <c r="AB32" s="25"/>
      <c r="AC32" s="25"/>
    </row>
    <row r="33">
      <c r="A33" s="32" t="str">
        <f>'DE ( Tarik barang retur )'!AC10</f>
        <v>AWBR-16765-2026-5-16-01</v>
      </c>
      <c r="B33" s="32" t="str">
        <f>'DE ( Tarik barang retur )'!F10</f>
        <v>Apotek Madison Sehat Ciangsana Gunung Putri</v>
      </c>
      <c r="C33" s="33">
        <f>'DE ( Tarik barang retur )'!G10</f>
        <v>6.28121E+17</v>
      </c>
      <c r="D33" s="32" t="str">
        <f>'DE ( Tarik barang retur )'!H10</f>
        <v>Ruko Downtown Madison Blok SHC 8/2, Desa/Kelurahan Ciangsana, Kec. Gunung Putri, Kab. Bogor</v>
      </c>
      <c r="E33" s="32" t="str">
        <f>'DE ( Tarik barang retur )'!D10</f>
        <v>26042812441924lNfuzKSQr</v>
      </c>
      <c r="F33" s="32" t="str">
        <f>'DE ( Tarik barang retur )'!R10</f>
        <v>TMP-INV-2026/04/29/ 2689820ROSUVASTATIN CALCIUM Novell TABLET 20 MG DUS, 2 STRIP @ 10 TABLET SALUT SELAPUTTarik Barang Retur</v>
      </c>
      <c r="G33" s="34">
        <f>'DE ( Tarik barang retur )'!AF10</f>
        <v>46158</v>
      </c>
      <c r="H33" s="29">
        <v>46158.0</v>
      </c>
      <c r="I33" s="29">
        <v>46159.0</v>
      </c>
      <c r="J33" s="28" t="s">
        <v>5294</v>
      </c>
      <c r="K33" s="28" t="s">
        <v>4807</v>
      </c>
      <c r="L33" s="25"/>
      <c r="M33" s="25"/>
      <c r="N33" s="25"/>
      <c r="O33" s="25"/>
      <c r="P33" s="25"/>
      <c r="Q33" s="25"/>
      <c r="R33" s="25"/>
      <c r="S33" s="25"/>
      <c r="T33" s="25"/>
      <c r="U33" s="25"/>
      <c r="V33" s="25"/>
      <c r="W33" s="25"/>
      <c r="X33" s="25"/>
      <c r="Y33" s="25"/>
      <c r="Z33" s="25"/>
      <c r="AA33" s="25"/>
      <c r="AB33" s="25"/>
      <c r="AC33" s="25"/>
    </row>
    <row r="34">
      <c r="A34" s="32" t="str">
        <f>'DE ( Tarik barang retur )'!AC11</f>
        <v>AWBR-1288-2026-5-16-01</v>
      </c>
      <c r="B34" s="32" t="str">
        <f>'DE ( Tarik barang retur )'!F11</f>
        <v>Apotek Sehat Utama</v>
      </c>
      <c r="C34" s="32">
        <f>'DE ( Tarik barang retur )'!G11</f>
        <v>8128011014</v>
      </c>
      <c r="D34" s="32" t="str">
        <f>'DE ( Tarik barang retur )'!H11</f>
        <v>Jalan Raya Narogong KM. 22 No. 62 RT 007 RW 005 Desa Cileungsi Kecamatan Cileungsi Kabupaten Bogor 16820</v>
      </c>
      <c r="E34" s="32" t="str">
        <f>'DE ( Tarik barang retur )'!D11</f>
        <v>26050410225303b1fZxbejo</v>
      </c>
      <c r="F34" s="32" t="str">
        <f>'DE ( Tarik barang retur )'!R11</f>
        <v>TMP-INV-2026/05/05/ 2711278GABAPENTIN Hexpharm KAPSUL 100 MG DUS, 10 STRIP @ 10 KAPSULTarik Barang Retur</v>
      </c>
      <c r="G34" s="34">
        <f>'DE ( Tarik barang retur )'!AF11</f>
        <v>46158</v>
      </c>
      <c r="H34" s="29">
        <v>46158.0</v>
      </c>
      <c r="I34" s="29">
        <v>46159.0</v>
      </c>
      <c r="J34" s="28" t="s">
        <v>5294</v>
      </c>
      <c r="K34" s="28" t="s">
        <v>4807</v>
      </c>
      <c r="L34" s="25"/>
      <c r="M34" s="25"/>
      <c r="N34" s="25"/>
      <c r="O34" s="25"/>
      <c r="P34" s="25"/>
      <c r="Q34" s="25"/>
      <c r="R34" s="25"/>
      <c r="S34" s="25"/>
      <c r="T34" s="25"/>
      <c r="U34" s="25"/>
      <c r="V34" s="25"/>
      <c r="W34" s="25"/>
      <c r="X34" s="25"/>
      <c r="Y34" s="25"/>
      <c r="Z34" s="25"/>
      <c r="AA34" s="25"/>
      <c r="AB34" s="25"/>
      <c r="AC34" s="25"/>
    </row>
    <row r="35">
      <c r="A35" s="32" t="str">
        <f>'DE ( Tarik barang retur )'!AC12</f>
        <v>AWBR-3040-2026-5-16-01</v>
      </c>
      <c r="B35" s="32" t="str">
        <f>'DE ( Tarik barang retur )'!F12</f>
        <v>Apotek Tasha Sehat</v>
      </c>
      <c r="C35" s="32">
        <f>'DE ( Tarik barang retur )'!G12</f>
        <v>87808789981</v>
      </c>
      <c r="D35" s="32" t="str">
        <f>'DE ( Tarik barang retur )'!H12</f>
        <v>Ruko Sentra Eropa Blok D No. 16 Desa Ciangsana Kecamatan Gunung Putri Kabupaten Bogor Provinsi Jawa Barat</v>
      </c>
      <c r="E35" s="32" t="str">
        <f>'DE ( Tarik barang retur )'!D12</f>
        <v>260501001157611qk7q9kxV</v>
      </c>
      <c r="F35" s="32" t="str">
        <f>'DE ( Tarik barang retur )'!R12</f>
        <v>TMP-INV-2026/05/01/ 2697754 &amp; TMP-INV-2026/05/01/ 2697911 HANSAPLAST FUN KAIN ELASTIS Beiersdorf DUS, 100 LEMBAR &amp; L-BIO CAP Lapi KAPSUL DUS, 2 BOTOL PLASTIK @ 15 KAPSULTarik Barang Retur</v>
      </c>
      <c r="G35" s="34">
        <f>'DE ( Tarik barang retur )'!AF12</f>
        <v>46158</v>
      </c>
      <c r="H35" s="29">
        <v>46158.0</v>
      </c>
      <c r="I35" s="29">
        <v>46159.0</v>
      </c>
      <c r="J35" s="28" t="s">
        <v>5294</v>
      </c>
      <c r="K35" s="28" t="s">
        <v>4807</v>
      </c>
      <c r="L35" s="25"/>
      <c r="M35" s="25"/>
      <c r="N35" s="25"/>
      <c r="O35" s="25"/>
      <c r="P35" s="25"/>
      <c r="Q35" s="25"/>
      <c r="R35" s="25"/>
      <c r="S35" s="25"/>
      <c r="T35" s="25"/>
      <c r="U35" s="25"/>
      <c r="V35" s="25"/>
      <c r="W35" s="25"/>
      <c r="X35" s="25"/>
      <c r="Y35" s="25"/>
      <c r="Z35" s="25"/>
      <c r="AA35" s="25"/>
      <c r="AB35" s="25"/>
      <c r="AC35" s="25"/>
    </row>
    <row r="36">
      <c r="A36" s="24" t="str">
        <f>'DE ( Tarik barang retur )'!AC13</f>
        <v>AWBR-11570-2026-5-16-01</v>
      </c>
      <c r="B36" s="24" t="str">
        <f>'DE ( Tarik barang retur )'!F13</f>
        <v>Apotek Arjuna Pondok Benda Pamulang</v>
      </c>
      <c r="C36" s="35">
        <f>'DE ( Tarik barang retur )'!G13</f>
        <v>6.28777E+17</v>
      </c>
      <c r="D36" s="24" t="str">
        <f>'DE ( Tarik barang retur )'!H13</f>
        <v>Jl. Arjuna RT/RW 002/008 NO. 20, Desa/Kelurahan Pondok Benda, Kec. Pamulang, Kota Tangerang Selatan, Provinsi Banten</v>
      </c>
      <c r="E36" s="24" t="str">
        <f>'DE ( Tarik barang retur )'!D13</f>
        <v>260411030107043MpJcBo2H</v>
      </c>
      <c r="F36" s="24" t="str">
        <f>'DE ( Tarik barang retur )'!R13</f>
        <v>TMP-INV-2026/04/11/ 2626726Semua Barang di Faktur TMP-INV-2026/04/11/ 2626726Tarik Barang Retur</v>
      </c>
      <c r="G36" s="36">
        <f>'DE ( Tarik barang retur )'!AF13</f>
        <v>46158</v>
      </c>
      <c r="H36" s="22">
        <v>46161.0</v>
      </c>
      <c r="I36" s="22">
        <v>46162.0</v>
      </c>
      <c r="J36" s="21" t="s">
        <v>5294</v>
      </c>
      <c r="K36" s="24"/>
      <c r="L36" s="25"/>
      <c r="M36" s="25"/>
      <c r="N36" s="25"/>
      <c r="O36" s="25"/>
      <c r="P36" s="25"/>
      <c r="Q36" s="25"/>
      <c r="R36" s="25"/>
      <c r="S36" s="25"/>
      <c r="T36" s="25"/>
      <c r="U36" s="25"/>
      <c r="V36" s="25"/>
      <c r="W36" s="25"/>
      <c r="X36" s="25"/>
      <c r="Y36" s="25"/>
      <c r="Z36" s="25"/>
      <c r="AA36" s="25"/>
      <c r="AB36" s="25"/>
      <c r="AC36" s="25"/>
    </row>
    <row r="37">
      <c r="A37" s="32" t="str">
        <f>'DE ( Tarik barang retur )'!AC14</f>
        <v>AWBR-10909-2026-5-16-01</v>
      </c>
      <c r="B37" s="32" t="str">
        <f>'DE ( Tarik barang retur )'!F14</f>
        <v>Apotek Mili Sudimara Jaya Ciledug</v>
      </c>
      <c r="C37" s="33">
        <f>'DE ( Tarik barang retur )'!G14</f>
        <v>6.28595E+17</v>
      </c>
      <c r="D37" s="32" t="str">
        <f>'DE ( Tarik barang retur )'!H14</f>
        <v>Jalan Tanah Seratus No. 32 RT 005 RW 001, Desa/Kel. Sudimara Jaya, Kec. Ciledug, Kota Tangerang 15152</v>
      </c>
      <c r="E37" s="32" t="str">
        <f>'DE ( Tarik barang retur )'!D14</f>
        <v>26050402003612Mjr72olp</v>
      </c>
      <c r="F37" s="32" t="str">
        <f>'DE ( Tarik barang retur )'!R14</f>
        <v>TMP-INV-2026/05/04/ 2706484AMOXSAN Capri KAPSUL 250 MG DUS, 10 STRIP @ 10 KAPSULTarik Barang Retur</v>
      </c>
      <c r="G37" s="34">
        <f>'DE ( Tarik barang retur )'!AF14</f>
        <v>46158</v>
      </c>
      <c r="H37" s="29">
        <v>46158.0</v>
      </c>
      <c r="I37" s="29">
        <v>46159.0</v>
      </c>
      <c r="J37" s="28" t="s">
        <v>5294</v>
      </c>
      <c r="K37" s="28" t="s">
        <v>4807</v>
      </c>
      <c r="L37" s="25"/>
      <c r="M37" s="25"/>
      <c r="N37" s="25"/>
      <c r="O37" s="25"/>
      <c r="P37" s="25"/>
      <c r="Q37" s="25"/>
      <c r="R37" s="25"/>
      <c r="S37" s="25"/>
      <c r="T37" s="25"/>
      <c r="U37" s="25"/>
      <c r="V37" s="25"/>
      <c r="W37" s="25"/>
      <c r="X37" s="25"/>
      <c r="Y37" s="25"/>
      <c r="Z37" s="25"/>
      <c r="AA37" s="25"/>
      <c r="AB37" s="25"/>
      <c r="AC37" s="25"/>
    </row>
    <row r="38">
      <c r="A38" s="37" t="str">
        <f>'DE ( Tarik barang retur )'!AC15</f>
        <v>AWBR-1240-2026-5-16-01</v>
      </c>
      <c r="B38" s="37" t="str">
        <f>'DE ( Tarik barang retur )'!F15</f>
        <v>Apotek Satrio Intermoda BSD</v>
      </c>
      <c r="C38" s="37">
        <f>'DE ( Tarik barang retur )'!G15</f>
        <v>87879355780</v>
      </c>
      <c r="D38" s="37" t="str">
        <f>'DE ( Tarik barang retur )'!H15</f>
        <v>Ruko Pasar Modern Blok A No.6 Kelurahan Sampora Kecamatan Cisauk Kabupaten Tangerang 15345</v>
      </c>
      <c r="E38" s="37" t="str">
        <f>'DE ( Tarik barang retur )'!D15</f>
        <v>26042811223320GPDCXVdGT</v>
      </c>
      <c r="F38" s="37" t="str">
        <f>'DE ( Tarik barang retur )'!R15</f>
        <v>TMP-INV-2026/04/29/ 2688234SANBE-HAIR CAIRAN DUS, 1 BOTOL @ 60 MLTarik Barang Retur</v>
      </c>
      <c r="G38" s="38">
        <f>'DE ( Tarik barang retur )'!AF15</f>
        <v>46158</v>
      </c>
      <c r="H38" s="39">
        <v>46160.0</v>
      </c>
      <c r="I38" s="39">
        <v>46162.0</v>
      </c>
      <c r="J38" s="40" t="s">
        <v>5294</v>
      </c>
      <c r="K38" s="37"/>
      <c r="L38" s="25"/>
      <c r="M38" s="25"/>
      <c r="N38" s="25"/>
      <c r="O38" s="25"/>
      <c r="P38" s="25"/>
      <c r="Q38" s="25"/>
      <c r="R38" s="25"/>
      <c r="S38" s="25"/>
      <c r="T38" s="25"/>
      <c r="U38" s="25"/>
      <c r="V38" s="25"/>
      <c r="W38" s="25"/>
      <c r="X38" s="25"/>
      <c r="Y38" s="25"/>
      <c r="Z38" s="25"/>
      <c r="AA38" s="25"/>
      <c r="AB38" s="25"/>
      <c r="AC38" s="25"/>
    </row>
    <row r="39">
      <c r="A39" s="32" t="str">
        <f>'DE ( Tarik barang retur )'!AC16</f>
        <v>AWBR-16186-2026-5-16-01</v>
      </c>
      <c r="B39" s="32" t="str">
        <f>'DE ( Tarik barang retur )'!F16</f>
        <v>Apotek Ghaniy 2 Grogol Limo</v>
      </c>
      <c r="C39" s="32">
        <f>'DE ( Tarik barang retur )'!G16</f>
        <v>6281806739539</v>
      </c>
      <c r="D39" s="32" t="str">
        <f>'DE ( Tarik barang retur )'!H16</f>
        <v>Jalan Pramuka Raya RT.003 RW.007, Desa/Kelurahan Grogol, Kec. Limo, Kota Depok</v>
      </c>
      <c r="E39" s="32" t="str">
        <f>'DE ( Tarik barang retur )'!D16</f>
        <v>26050105082751dszzgrZkHt</v>
      </c>
      <c r="F39" s="32" t="str">
        <f>'DE ( Tarik barang retur )'!R16</f>
        <v>TMP-INV-2026/05/02/ 2701193TROLIP 100 Dexa Medica KAPSUL DUS, 3 BLISTER @ 10 KAPSULTarik Barang Retur</v>
      </c>
      <c r="G39" s="34">
        <f>'DE ( Tarik barang retur )'!AF16</f>
        <v>46158</v>
      </c>
      <c r="H39" s="29">
        <v>46158.0</v>
      </c>
      <c r="I39" s="29">
        <v>46159.0</v>
      </c>
      <c r="J39" s="28" t="s">
        <v>5294</v>
      </c>
      <c r="K39" s="28" t="s">
        <v>4807</v>
      </c>
      <c r="L39" s="25"/>
      <c r="M39" s="25"/>
      <c r="N39" s="25"/>
      <c r="O39" s="25"/>
      <c r="P39" s="25"/>
      <c r="Q39" s="25"/>
      <c r="R39" s="25"/>
      <c r="S39" s="25"/>
      <c r="T39" s="25"/>
      <c r="U39" s="25"/>
      <c r="V39" s="25"/>
      <c r="W39" s="25"/>
      <c r="X39" s="25"/>
      <c r="Y39" s="25"/>
      <c r="Z39" s="25"/>
      <c r="AA39" s="25"/>
      <c r="AB39" s="25"/>
      <c r="AC39" s="25"/>
    </row>
    <row r="40">
      <c r="A40" s="32" t="str">
        <f>'DE ( Tarik barang retur )'!AC17</f>
        <v>AWBR-12487-2026-5-16-01</v>
      </c>
      <c r="B40" s="32" t="str">
        <f>'DE ( Tarik barang retur )'!F17</f>
        <v>Apotek Heka Mekarsari Cimanggis</v>
      </c>
      <c r="C40" s="33">
        <f>'DE ( Tarik barang retur )'!G17</f>
        <v>6.28954E+18</v>
      </c>
      <c r="D40" s="32" t="str">
        <f>'DE ( Tarik barang retur )'!H17</f>
        <v>Jalan Raya Jakarta Bogor no 10, Desa/Kel. Mekarsari, Kec. Cimanggis, Kota Depok</v>
      </c>
      <c r="E40" s="32" t="str">
        <f>'DE ( Tarik barang retur )'!D17</f>
        <v>26042503482941amcsOuUHt</v>
      </c>
      <c r="F40" s="32" t="str">
        <f>'DE ( Tarik barang retur )'!R17</f>
        <v>TMP-INV-2026/04/25/ 2677505LECOZINC FORTE Ifars SIRUP DUS, 1 BOTOL @ 60 MLTarik Barang Retur</v>
      </c>
      <c r="G40" s="34">
        <f>'DE ( Tarik barang retur )'!AF17</f>
        <v>46158</v>
      </c>
      <c r="H40" s="29">
        <v>46158.0</v>
      </c>
      <c r="I40" s="29">
        <v>46159.0</v>
      </c>
      <c r="J40" s="28" t="s">
        <v>5294</v>
      </c>
      <c r="K40" s="28" t="s">
        <v>4807</v>
      </c>
      <c r="L40" s="25"/>
      <c r="M40" s="25"/>
      <c r="N40" s="25"/>
      <c r="O40" s="25"/>
      <c r="P40" s="25"/>
      <c r="Q40" s="25"/>
      <c r="R40" s="25"/>
      <c r="S40" s="25"/>
      <c r="T40" s="25"/>
      <c r="U40" s="25"/>
      <c r="V40" s="25"/>
      <c r="W40" s="25"/>
      <c r="X40" s="25"/>
      <c r="Y40" s="25"/>
      <c r="Z40" s="25"/>
      <c r="AA40" s="25"/>
      <c r="AB40" s="25"/>
      <c r="AC40" s="25"/>
    </row>
    <row r="41">
      <c r="A41" s="32" t="str">
        <f>'DE ( Tarik barang retur )'!AC18</f>
        <v>AWBR-13059-2026-5-16-01</v>
      </c>
      <c r="B41" s="32" t="str">
        <f>'DE ( Tarik barang retur )'!F18</f>
        <v>Apotek K24 Jatirahayu Jatirahayu Pondok Melati</v>
      </c>
      <c r="C41" s="33">
        <f>'DE ( Tarik barang retur )'!G18</f>
        <v>6.28228E+17</v>
      </c>
      <c r="D41" s="32" t="str">
        <f>'DE ( Tarik barang retur )'!H18</f>
        <v>Jl Raya Hankam No. 114 Kel. Jatirahayu Kec. Pondok Melati Kota Bekasi</v>
      </c>
      <c r="E41" s="32" t="str">
        <f>'DE ( Tarik barang retur )'!D18</f>
        <v>26050403041926cDZnpO1L0</v>
      </c>
      <c r="F41" s="32" t="str">
        <f>'DE ( Tarik barang retur )'!R18</f>
        <v>TMP-INV-2026/05/04/ 2707482HANSAPLAST SENSITIVE STERIL Beiersdorf 3XL KOTAK, 5 LEMBAR ( 10 x 15 cm )Tarik Barang Retur</v>
      </c>
      <c r="G41" s="34">
        <f>'DE ( Tarik barang retur )'!AF18</f>
        <v>46158</v>
      </c>
      <c r="H41" s="29">
        <v>46158.0</v>
      </c>
      <c r="I41" s="29">
        <v>46159.0</v>
      </c>
      <c r="J41" s="28" t="s">
        <v>5294</v>
      </c>
      <c r="K41" s="28" t="s">
        <v>4807</v>
      </c>
      <c r="L41" s="25"/>
      <c r="M41" s="25"/>
      <c r="N41" s="25"/>
      <c r="O41" s="25"/>
      <c r="P41" s="25"/>
      <c r="Q41" s="25"/>
      <c r="R41" s="25"/>
      <c r="S41" s="25"/>
      <c r="T41" s="25"/>
      <c r="U41" s="25"/>
      <c r="V41" s="25"/>
      <c r="W41" s="25"/>
      <c r="X41" s="25"/>
      <c r="Y41" s="25"/>
      <c r="Z41" s="25"/>
      <c r="AA41" s="25"/>
      <c r="AB41" s="25"/>
      <c r="AC41" s="25"/>
    </row>
    <row r="42">
      <c r="A42" s="32" t="str">
        <f>'DE ( Tarik barang retur )'!AC19</f>
        <v>AWBR-13426-2026-5-16-01</v>
      </c>
      <c r="B42" s="32" t="str">
        <f>'DE ( Tarik barang retur )'!F19</f>
        <v>Apotek Kalimulya Kalimulya Cilodong</v>
      </c>
      <c r="C42" s="33">
        <f>'DE ( Tarik barang retur )'!G19</f>
        <v>6.28526E+17</v>
      </c>
      <c r="D42" s="32" t="str">
        <f>'DE ( Tarik barang retur )'!H19</f>
        <v>Jl. Raya Kalimulya RT. 005 RW. 002, Desa/Kel. Kalimulya, Kec. Cilodong, Kota Depok</v>
      </c>
      <c r="E42" s="32" t="str">
        <f>'DE ( Tarik barang retur )'!D19</f>
        <v>26021902034241LHwCPEV2sp</v>
      </c>
      <c r="F42" s="32" t="str">
        <f>'DE ( Tarik barang retur )'!R19</f>
        <v>TMP-INV-2026/02/19/ 2450242BACTODERM Ika KRIM DUS, TUBE @ 5 GTarik Barang Retur</v>
      </c>
      <c r="G42" s="34">
        <f>'DE ( Tarik barang retur )'!AF19</f>
        <v>46158</v>
      </c>
      <c r="H42" s="29">
        <v>46158.0</v>
      </c>
      <c r="I42" s="29">
        <v>46159.0</v>
      </c>
      <c r="J42" s="28" t="s">
        <v>5294</v>
      </c>
      <c r="K42" s="28" t="s">
        <v>4807</v>
      </c>
      <c r="L42" s="25"/>
      <c r="M42" s="25"/>
      <c r="N42" s="25"/>
      <c r="O42" s="25"/>
      <c r="P42" s="25"/>
      <c r="Q42" s="25"/>
      <c r="R42" s="25"/>
      <c r="S42" s="25"/>
      <c r="T42" s="25"/>
      <c r="U42" s="25"/>
      <c r="V42" s="25"/>
      <c r="W42" s="25"/>
      <c r="X42" s="25"/>
      <c r="Y42" s="25"/>
      <c r="Z42" s="25"/>
      <c r="AA42" s="25"/>
      <c r="AB42" s="25"/>
      <c r="AC42" s="25"/>
    </row>
    <row r="43">
      <c r="A43" s="32" t="str">
        <f>'DE ( Tarik barang retur )'!AC20</f>
        <v>AWBR-10650-2026-5-16-01</v>
      </c>
      <c r="B43" s="32" t="str">
        <f>'DE ( Tarik barang retur )'!F20</f>
        <v>Apotek Medpharm GDC Tirtajaya Sukmajaya</v>
      </c>
      <c r="C43" s="33">
        <f>'DE ( Tarik barang retur )'!G20</f>
        <v>6.28138E+17</v>
      </c>
      <c r="D43" s="32" t="str">
        <f>'DE ( Tarik barang retur )'!H20</f>
        <v>Ruko Gardenia, Grand Depok City, Grand Depok City, Jalan KSU Parung Serab, Kelurahan Tirtajaya, Kecamatan Sukmajaya, Kota Depok, Jawa Barat 16412</v>
      </c>
      <c r="E43" s="32" t="str">
        <f>'DE ( Tarik barang retur )'!D20</f>
        <v>26032502174258n3vetaq2lL</v>
      </c>
      <c r="F43" s="32" t="str">
        <f>'DE ( Tarik barang retur )'!R20</f>
        <v>TMP-INV-2026/03/25/ 2564429BACTODERM Ika KRIM DUS, TUBE @ 5 GTarik Barang Retur</v>
      </c>
      <c r="G43" s="34">
        <f>'DE ( Tarik barang retur )'!AF20</f>
        <v>46158</v>
      </c>
      <c r="H43" s="29">
        <v>46158.0</v>
      </c>
      <c r="I43" s="29">
        <v>46159.0</v>
      </c>
      <c r="J43" s="28" t="s">
        <v>5294</v>
      </c>
      <c r="K43" s="28" t="s">
        <v>4807</v>
      </c>
      <c r="L43" s="25"/>
      <c r="M43" s="25"/>
      <c r="N43" s="25"/>
      <c r="O43" s="25"/>
      <c r="P43" s="25"/>
      <c r="Q43" s="25"/>
      <c r="R43" s="25"/>
      <c r="S43" s="25"/>
      <c r="T43" s="25"/>
      <c r="U43" s="25"/>
      <c r="V43" s="25"/>
      <c r="W43" s="25"/>
      <c r="X43" s="25"/>
      <c r="Y43" s="25"/>
      <c r="Z43" s="25"/>
      <c r="AA43" s="25"/>
      <c r="AB43" s="25"/>
      <c r="AC43" s="25"/>
    </row>
    <row r="44">
      <c r="A44" s="24" t="str">
        <f>'DE ( Tarik barang retur )'!AC21</f>
        <v>AWBR-12159-2026-5-16-01</v>
      </c>
      <c r="B44" s="24" t="str">
        <f>'DE ( Tarik barang retur )'!F21</f>
        <v>Apotek Pharmasena Cinere Cinere</v>
      </c>
      <c r="C44" s="35">
        <f>'DE ( Tarik barang retur )'!G21</f>
        <v>6.28226E+17</v>
      </c>
      <c r="D44" s="24" t="str">
        <f>'DE ( Tarik barang retur )'!H21</f>
        <v>Jl. Bukit Cinere No.5E RT/RW.001/008, Desa/Kel. Cinere, Kec. Cinere, Kota Depok</v>
      </c>
      <c r="E44" s="24" t="str">
        <f>'DE ( Tarik barang retur )'!D21</f>
        <v>26043013072795Fk4HKbMaC</v>
      </c>
      <c r="F44" s="24" t="str">
        <f>'DE ( Tarik barang retur )'!R21</f>
        <v>TMP-INV-2026/05/01/ 2698112ATORVASTATIN CALCIUM Hexpharm TABLET 20 MG DUS, 5 BLISTER @ 10 TABLET SALUT SELAPUTTarik Barang Retur</v>
      </c>
      <c r="G44" s="36">
        <f>'DE ( Tarik barang retur )'!AF21</f>
        <v>46158</v>
      </c>
      <c r="H44" s="22">
        <v>46180.0</v>
      </c>
      <c r="I44" s="22">
        <v>46182.0</v>
      </c>
      <c r="J44" s="21" t="s">
        <v>5294</v>
      </c>
      <c r="K44" s="24"/>
      <c r="L44" s="25"/>
      <c r="M44" s="25"/>
      <c r="N44" s="25"/>
      <c r="O44" s="25"/>
      <c r="P44" s="25"/>
      <c r="Q44" s="25"/>
      <c r="R44" s="25"/>
      <c r="S44" s="25"/>
      <c r="T44" s="25"/>
      <c r="U44" s="25"/>
      <c r="V44" s="25"/>
      <c r="W44" s="25"/>
      <c r="X44" s="25"/>
      <c r="Y44" s="25"/>
      <c r="Z44" s="25"/>
      <c r="AA44" s="25"/>
      <c r="AB44" s="25"/>
      <c r="AC44" s="25"/>
    </row>
    <row r="45">
      <c r="A45" s="37" t="str">
        <f>'DE ( Tarik barang retur )'!AC22</f>
        <v>AWBR-47-2026-5-16-01</v>
      </c>
      <c r="B45" s="37" t="str">
        <f>'DE ( Tarik barang retur )'!F22</f>
        <v>Apotek Raudha Farma</v>
      </c>
      <c r="C45" s="37">
        <f>'DE ( Tarik barang retur )'!G22</f>
        <v>81299422172</v>
      </c>
      <c r="D45" s="37" t="str">
        <f>'DE ( Tarik barang retur )'!H22</f>
        <v>Jl. Raya Ceger No. 99, Ceger, Cipayung</v>
      </c>
      <c r="E45" s="37" t="str">
        <f>'DE ( Tarik barang retur )'!D22</f>
        <v>26042703081781u8IO2ONwOj</v>
      </c>
      <c r="F45" s="37" t="str">
        <f>'DE ( Tarik barang retur )'!R22</f>
        <v>TMP-INV-2026/04/27/ 2682932SAFE CARE REFRESHING OIL DUS, BOTOL KACA ROLL ON @ 30 MLTarik Barang Retur</v>
      </c>
      <c r="G45" s="38">
        <f>'DE ( Tarik barang retur )'!AF22</f>
        <v>46158</v>
      </c>
      <c r="H45" s="39">
        <v>46160.0</v>
      </c>
      <c r="I45" s="39">
        <v>46164.0</v>
      </c>
      <c r="J45" s="40" t="s">
        <v>5294</v>
      </c>
      <c r="K45" s="40" t="s">
        <v>4807</v>
      </c>
      <c r="L45" s="25"/>
      <c r="M45" s="25"/>
      <c r="N45" s="25"/>
      <c r="O45" s="25"/>
      <c r="P45" s="25"/>
      <c r="Q45" s="25"/>
      <c r="R45" s="25"/>
      <c r="S45" s="25"/>
      <c r="T45" s="25"/>
      <c r="U45" s="25"/>
      <c r="V45" s="25"/>
      <c r="W45" s="25"/>
      <c r="X45" s="25"/>
      <c r="Y45" s="25"/>
      <c r="Z45" s="25"/>
      <c r="AA45" s="25"/>
      <c r="AB45" s="25"/>
      <c r="AC45" s="25"/>
    </row>
    <row r="46">
      <c r="A46" s="32" t="str">
        <f>'DE ( Tarik barang retur )'!AC23</f>
        <v>AWBR-15096-2026-5-16-01</v>
      </c>
      <c r="B46" s="32" t="str">
        <f>'DE ( Tarik barang retur )'!F23</f>
        <v>Apotek Thara Jatibening Baru Pondok Gede</v>
      </c>
      <c r="C46" s="33">
        <f>'DE ( Tarik barang retur )'!G23</f>
        <v>6.28222E+17</v>
      </c>
      <c r="D46" s="32" t="str">
        <f>'DE ( Tarik barang retur )'!H23</f>
        <v>Jalan Lampiri Raya, Rt.004 Rw.002 no. 12C, Desa/Kelurahan Jatibening Baru, Kec. Pondokgede, Kota Bekasi</v>
      </c>
      <c r="E46" s="32" t="str">
        <f>'DE ( Tarik barang retur )'!D23</f>
        <v>26042701421278xNKUengCqf</v>
      </c>
      <c r="F46" s="32" t="str">
        <f>'DE ( Tarik barang retur )'!R23</f>
        <v>TMP-INV-2026/04/27/ 2683024DECOLGEN PE Darya-Varia TABLET DUS, 25 CATCH COVER @ 1 STRIP @ 4 TABLETTarik Barang Retur</v>
      </c>
      <c r="G46" s="34">
        <f>'DE ( Tarik barang retur )'!AF23</f>
        <v>46158</v>
      </c>
      <c r="H46" s="29">
        <v>46158.0</v>
      </c>
      <c r="I46" s="29">
        <v>46159.0</v>
      </c>
      <c r="J46" s="28" t="s">
        <v>5294</v>
      </c>
      <c r="K46" s="28" t="s">
        <v>4807</v>
      </c>
      <c r="L46" s="25"/>
      <c r="M46" s="25"/>
      <c r="N46" s="25"/>
      <c r="O46" s="25"/>
      <c r="P46" s="25"/>
      <c r="Q46" s="25"/>
      <c r="R46" s="25"/>
      <c r="S46" s="25"/>
      <c r="T46" s="25"/>
      <c r="U46" s="25"/>
      <c r="V46" s="25"/>
      <c r="W46" s="25"/>
      <c r="X46" s="25"/>
      <c r="Y46" s="25"/>
      <c r="Z46" s="25"/>
      <c r="AA46" s="25"/>
      <c r="AB46" s="25"/>
      <c r="AC46" s="25"/>
    </row>
    <row r="47">
      <c r="A47" s="24" t="str">
        <f>'DE ( Tarik barang retur )'!AC24</f>
        <v>AWBR-1139-2026-5-19-01</v>
      </c>
      <c r="B47" s="24" t="str">
        <f>'DE ( Tarik barang retur )'!F24</f>
        <v>Apotek Via</v>
      </c>
      <c r="C47" s="24">
        <f>'DE ( Tarik barang retur )'!G24</f>
        <v>8119988989</v>
      </c>
      <c r="D47" s="24" t="str">
        <f>'DE ( Tarik barang retur )'!H24</f>
        <v>Jalan Krukut Raya RT 006 RW 001 Kelurahan Krukut Kecamatan Limo Kota Depok 16512</v>
      </c>
      <c r="E47" s="24" t="str">
        <f>'DE ( Tarik barang retur )'!D24</f>
        <v>260413020323907FRyJhbHX0</v>
      </c>
      <c r="F47" s="24" t="str">
        <f>'DE ( Tarik barang retur )'!R24</f>
        <v>TMP-INV-2026/04/13/ 2632836 / SANGOBION VITA-TONIK Merck CAIRAN ORAL DUS, BOTOL PLASTIK @ 250 ML- Tarik barang retur &amp; wajib bawa BA retur</v>
      </c>
      <c r="G47" s="36">
        <f>'DE ( Tarik barang retur )'!AF24</f>
        <v>46161</v>
      </c>
      <c r="H47" s="22">
        <v>46165.0</v>
      </c>
      <c r="I47" s="22">
        <v>46166.0</v>
      </c>
      <c r="J47" s="21" t="s">
        <v>5294</v>
      </c>
      <c r="K47" s="24"/>
      <c r="L47" s="25"/>
      <c r="M47" s="25"/>
      <c r="N47" s="25"/>
      <c r="O47" s="25"/>
      <c r="P47" s="25"/>
      <c r="Q47" s="25"/>
      <c r="R47" s="25"/>
      <c r="S47" s="25"/>
      <c r="T47" s="25"/>
      <c r="U47" s="25"/>
      <c r="V47" s="25"/>
      <c r="W47" s="25"/>
      <c r="X47" s="25"/>
      <c r="Y47" s="25"/>
      <c r="Z47" s="25"/>
      <c r="AA47" s="25"/>
      <c r="AB47" s="25"/>
      <c r="AC47" s="25"/>
    </row>
    <row r="48">
      <c r="A48" s="41" t="str">
        <f>'DE ( Tarik barang retur )'!AC25</f>
        <v>AWBR-667-15-05-26-C01</v>
      </c>
      <c r="B48" s="37" t="str">
        <f>'DE ( Tarik barang retur )'!F25</f>
        <v>Apotek Berlian Farma</v>
      </c>
      <c r="C48" s="42">
        <f>'DE ( Tarik barang retur )'!G25</f>
        <v>85374101944</v>
      </c>
      <c r="D48" s="37" t="str">
        <f>'DE ( Tarik barang retur )'!H25</f>
        <v>Komplek Permata Jasindo Lestari Blok A6/14 RT.007 RW.004 Kelurahan Mekarsari, Kecamatan Cimanggis, Kota Depok 16452</v>
      </c>
      <c r="E48" s="37" t="str">
        <f>'DE ( Tarik barang retur )'!D25</f>
        <v>TMP-667-15-05-2026</v>
      </c>
      <c r="F48" s="37" t="str">
        <f>'DE ( Tarik barang retur )'!R25</f>
        <v>TMP-667-15/05/2026Tarik Faktur/Total invoices =69</v>
      </c>
      <c r="G48" s="38">
        <f>'DE ( Tarik barang retur )'!AF25</f>
        <v>46161</v>
      </c>
      <c r="H48" s="39">
        <v>46161.0</v>
      </c>
      <c r="I48" s="39">
        <v>46162.0</v>
      </c>
      <c r="J48" s="40" t="s">
        <v>5294</v>
      </c>
      <c r="K48" s="40" t="s">
        <v>4807</v>
      </c>
      <c r="L48" s="25"/>
      <c r="M48" s="25"/>
      <c r="N48" s="25"/>
      <c r="O48" s="25"/>
      <c r="P48" s="25"/>
      <c r="Q48" s="25"/>
      <c r="R48" s="25"/>
      <c r="S48" s="25"/>
      <c r="T48" s="25"/>
      <c r="U48" s="25"/>
      <c r="V48" s="25"/>
      <c r="W48" s="25"/>
      <c r="X48" s="25"/>
      <c r="Y48" s="25"/>
      <c r="Z48" s="25"/>
      <c r="AA48" s="25"/>
      <c r="AB48" s="25"/>
      <c r="AC48" s="25"/>
    </row>
    <row r="49">
      <c r="A49" s="41" t="str">
        <f>'DE ( Tarik barang retur )'!AC26</f>
        <v>AWBR-1446-15-05-26-C01</v>
      </c>
      <c r="B49" s="37" t="str">
        <f>'DE ( Tarik barang retur )'!F26</f>
        <v>Apotek Yessa Farma</v>
      </c>
      <c r="C49" s="42">
        <f>'DE ( Tarik barang retur )'!G26</f>
        <v>81219562470</v>
      </c>
      <c r="D49" s="37" t="str">
        <f>'DE ( Tarik barang retur )'!H26</f>
        <v>Jalan Jatijajar I RT 03 RW 02 Kelurahan Jatijajar Kecamatan Tapos Kota Depok 16454</v>
      </c>
      <c r="E49" s="37" t="str">
        <f>'DE ( Tarik barang retur )'!D26</f>
        <v>TMP-1446-15-05-2026</v>
      </c>
      <c r="F49" s="37" t="str">
        <f>'DE ( Tarik barang retur )'!R26</f>
        <v>TMP-1446-15/05/2026Tarik Faktur/Total invoices =43</v>
      </c>
      <c r="G49" s="38">
        <f>'DE ( Tarik barang retur )'!AF26</f>
        <v>46161</v>
      </c>
      <c r="H49" s="39">
        <v>46161.0</v>
      </c>
      <c r="I49" s="39">
        <v>46162.0</v>
      </c>
      <c r="J49" s="40" t="s">
        <v>5294</v>
      </c>
      <c r="K49" s="40" t="s">
        <v>4807</v>
      </c>
      <c r="L49" s="25"/>
      <c r="M49" s="25"/>
      <c r="N49" s="25"/>
      <c r="O49" s="25"/>
      <c r="P49" s="25"/>
      <c r="Q49" s="25"/>
      <c r="R49" s="25"/>
      <c r="S49" s="25"/>
      <c r="T49" s="25"/>
      <c r="U49" s="25"/>
      <c r="V49" s="25"/>
      <c r="W49" s="25"/>
      <c r="X49" s="25"/>
      <c r="Y49" s="25"/>
      <c r="Z49" s="25"/>
      <c r="AA49" s="25"/>
      <c r="AB49" s="25"/>
      <c r="AC49" s="25"/>
    </row>
    <row r="50">
      <c r="A50" s="41" t="str">
        <f>'DE ( Tarik barang retur )'!AC27</f>
        <v>AWBR-1455-15-05-26-C01</v>
      </c>
      <c r="B50" s="43" t="str">
        <f>'DE ( Tarik barang retur )'!F27</f>
        <v>Apotek Sahabat Sehat 1455</v>
      </c>
      <c r="C50" s="44">
        <f>'DE ( Tarik barang retur )'!G27</f>
        <v>81314967799</v>
      </c>
      <c r="D50" s="43" t="str">
        <f>'DE ( Tarik barang retur )'!H27</f>
        <v>Jl. Masjid Raya No. 30 RT 001 RW 012 Kelurahan - Jaticempaka Kecamatan - Pondok Gede Kota Bekasi</v>
      </c>
      <c r="E50" s="43" t="str">
        <f>'DE ( Tarik barang retur )'!D27</f>
        <v>TMP-1455-15-05-2026</v>
      </c>
      <c r="F50" s="43" t="str">
        <f>'DE ( Tarik barang retur )'!R27</f>
        <v>TMP-1455-15/05/2026Tarik Faktur/Total invoices =34</v>
      </c>
      <c r="G50" s="45">
        <f>'DE ( Tarik barang retur )'!AF27</f>
        <v>46161</v>
      </c>
      <c r="H50" s="46">
        <v>46163.0</v>
      </c>
      <c r="I50" s="46">
        <v>46163.0</v>
      </c>
      <c r="J50" s="47" t="s">
        <v>5294</v>
      </c>
      <c r="K50" s="47" t="s">
        <v>4807</v>
      </c>
      <c r="L50" s="25"/>
      <c r="M50" s="25"/>
      <c r="N50" s="25"/>
      <c r="O50" s="25"/>
      <c r="P50" s="25"/>
      <c r="Q50" s="25"/>
      <c r="R50" s="25"/>
      <c r="S50" s="25"/>
      <c r="T50" s="25"/>
      <c r="U50" s="25"/>
      <c r="V50" s="25"/>
      <c r="W50" s="25"/>
      <c r="X50" s="25"/>
      <c r="Y50" s="25"/>
      <c r="Z50" s="25"/>
      <c r="AA50" s="25"/>
      <c r="AB50" s="25"/>
      <c r="AC50" s="25"/>
    </row>
    <row r="51">
      <c r="A51" s="41" t="str">
        <f>'DE ( Tarik barang retur )'!AC28</f>
        <v>AWBR-13278-15-05-26-C01</v>
      </c>
      <c r="B51" s="37" t="str">
        <f>'DE ( Tarik barang retur )'!F28</f>
        <v>Apotek Sahabat Sehat 2 Jatibening Baru Pondok Gede</v>
      </c>
      <c r="C51" s="42">
        <f>'DE ( Tarik barang retur )'!G28</f>
        <v>6.28138E+17</v>
      </c>
      <c r="D51" s="37" t="str">
        <f>'DE ( Tarik barang retur )'!H28</f>
        <v>Jl. Pangrango Terusan No. 34 RT. 01 RW. 04,Desa/Kelurahan Jatibening Baru,Kecamatan Pondok Gede,Kota Bekasi,Jawa Barat,17412</v>
      </c>
      <c r="E51" s="37" t="str">
        <f>'DE ( Tarik barang retur )'!D28</f>
        <v>TMP-13278-15-05-2026</v>
      </c>
      <c r="F51" s="37" t="str">
        <f>'DE ( Tarik barang retur )'!R28</f>
        <v>TMP-13278-15/05/2026Tarik Faktur/Total invoices =25</v>
      </c>
      <c r="G51" s="38">
        <f>'DE ( Tarik barang retur )'!AF28</f>
        <v>46161</v>
      </c>
      <c r="H51" s="39">
        <v>46162.0</v>
      </c>
      <c r="I51" s="39">
        <v>46162.0</v>
      </c>
      <c r="J51" s="40" t="s">
        <v>5294</v>
      </c>
      <c r="K51" s="40" t="s">
        <v>4807</v>
      </c>
      <c r="L51" s="25"/>
      <c r="M51" s="25"/>
      <c r="N51" s="25"/>
      <c r="O51" s="25"/>
      <c r="P51" s="25"/>
      <c r="Q51" s="25"/>
      <c r="R51" s="25"/>
      <c r="S51" s="25"/>
      <c r="T51" s="25"/>
      <c r="U51" s="25"/>
      <c r="V51" s="25"/>
      <c r="W51" s="25"/>
      <c r="X51" s="25"/>
      <c r="Y51" s="25"/>
      <c r="Z51" s="25"/>
      <c r="AA51" s="25"/>
      <c r="AB51" s="25"/>
      <c r="AC51" s="25"/>
    </row>
    <row r="52">
      <c r="A52" s="41" t="str">
        <f>'DE ( Tarik barang retur )'!AC29</f>
        <v>AWBR-11120-15-05-26-C01</v>
      </c>
      <c r="B52" s="24" t="str">
        <f>'DE ( Tarik barang retur )'!F29</f>
        <v>Apotek Gemintang Farma Jatimelati Pondok Melati</v>
      </c>
      <c r="C52" s="35">
        <f>'DE ( Tarik barang retur )'!G29</f>
        <v>6.28569E+17</v>
      </c>
      <c r="D52" s="24" t="str">
        <f>'DE ( Tarik barang retur )'!H29</f>
        <v>Jalan Raya Kampung Sawah No 50, Desa/Kelurahan Jatimelati, Kecamatan Pondokmelati, Kota Bekasi,Jawa Barat,17414</v>
      </c>
      <c r="E52" s="24" t="str">
        <f>'DE ( Tarik barang retur )'!D29</f>
        <v>TMP-11120-15-05-2026</v>
      </c>
      <c r="F52" s="24" t="str">
        <f>'DE ( Tarik barang retur )'!R29</f>
        <v>TMP-11120-15/05/2026Tarik Faktur/Total invoices =25</v>
      </c>
      <c r="G52" s="36">
        <f>'DE ( Tarik barang retur )'!AF29</f>
        <v>46161</v>
      </c>
      <c r="H52" s="22">
        <v>46163.0</v>
      </c>
      <c r="I52" s="22">
        <v>46163.0</v>
      </c>
      <c r="J52" s="21" t="s">
        <v>5294</v>
      </c>
      <c r="K52" s="24"/>
      <c r="L52" s="25"/>
      <c r="M52" s="25"/>
      <c r="N52" s="25"/>
      <c r="O52" s="25"/>
      <c r="P52" s="25"/>
      <c r="Q52" s="25"/>
      <c r="R52" s="25"/>
      <c r="S52" s="25"/>
      <c r="T52" s="25"/>
      <c r="U52" s="25"/>
      <c r="V52" s="25"/>
      <c r="W52" s="25"/>
      <c r="X52" s="25"/>
      <c r="Y52" s="25"/>
      <c r="Z52" s="25"/>
      <c r="AA52" s="25"/>
      <c r="AB52" s="25"/>
      <c r="AC52" s="25"/>
    </row>
    <row r="53">
      <c r="A53" s="41" t="str">
        <f>'DE ( Tarik barang retur )'!AC30</f>
        <v>AWBR-16209-15-05-26-C01</v>
      </c>
      <c r="B53" s="24" t="str">
        <f>'DE ( Tarik barang retur )'!F30</f>
        <v>Apotek Manjur Pondok Cina Beji</v>
      </c>
      <c r="C53" s="35">
        <f>'DE ( Tarik barang retur )'!G30</f>
        <v>6.28214E+17</v>
      </c>
      <c r="D53" s="24" t="str">
        <f>'DE ( Tarik barang retur )'!H30</f>
        <v>Jl. Margonda Raya No. 514 RT. 001 RW. 005 Jl. Raya Pondok Duta Kel. Pondok Cina Kec. Beji Kota Depok</v>
      </c>
      <c r="E53" s="24" t="str">
        <f>'DE ( Tarik barang retur )'!D30</f>
        <v>TMP-16209-15-05-2026</v>
      </c>
      <c r="F53" s="24" t="str">
        <f>'DE ( Tarik barang retur )'!R30</f>
        <v>TMP-16209-15/05/2026Tarik Faktur/Total invoices =24</v>
      </c>
      <c r="G53" s="36">
        <f>'DE ( Tarik barang retur )'!AF30</f>
        <v>46161</v>
      </c>
      <c r="H53" s="22">
        <v>46165.0</v>
      </c>
      <c r="I53" s="22">
        <v>46166.0</v>
      </c>
      <c r="J53" s="21" t="s">
        <v>5294</v>
      </c>
      <c r="K53" s="24"/>
      <c r="L53" s="25"/>
      <c r="M53" s="25"/>
      <c r="N53" s="25"/>
      <c r="O53" s="25"/>
      <c r="P53" s="25"/>
      <c r="Q53" s="25"/>
      <c r="R53" s="25"/>
      <c r="S53" s="25"/>
      <c r="T53" s="25"/>
      <c r="U53" s="25"/>
      <c r="V53" s="25"/>
      <c r="W53" s="25"/>
      <c r="X53" s="25"/>
      <c r="Y53" s="25"/>
      <c r="Z53" s="25"/>
      <c r="AA53" s="25"/>
      <c r="AB53" s="25"/>
      <c r="AC53" s="25"/>
    </row>
    <row r="54">
      <c r="A54" s="41" t="str">
        <f>'DE ( Tarik barang retur )'!AC31</f>
        <v>AWBR-982-15-05-26-C01</v>
      </c>
      <c r="B54" s="43" t="str">
        <f>'DE ( Tarik barang retur )'!F31</f>
        <v>Apotek Pondok Gede Farma</v>
      </c>
      <c r="C54" s="43">
        <f>'DE ( Tarik barang retur )'!G31</f>
        <v>81314637235</v>
      </c>
      <c r="D54" s="43" t="str">
        <f>'DE ( Tarik barang retur )'!H31</f>
        <v>Jalan Raya Jatiwaringin 232 B Kelurahan Jaticempaka Kecamatan Pondokgede Kota Bekasi Jawa Barat 17411</v>
      </c>
      <c r="E54" s="43" t="str">
        <f>'DE ( Tarik barang retur )'!D31</f>
        <v>TMP-982-15-05-2026</v>
      </c>
      <c r="F54" s="43" t="str">
        <f>'DE ( Tarik barang retur )'!R31</f>
        <v>TMP-982-15/05/2026Tarik Faktur/Total invoices =24</v>
      </c>
      <c r="G54" s="45">
        <f>'DE ( Tarik barang retur )'!AF31</f>
        <v>46161</v>
      </c>
      <c r="H54" s="46">
        <v>46163.0</v>
      </c>
      <c r="I54" s="46">
        <v>46163.0</v>
      </c>
      <c r="J54" s="47" t="s">
        <v>5294</v>
      </c>
      <c r="K54" s="47" t="s">
        <v>4807</v>
      </c>
      <c r="L54" s="25"/>
      <c r="M54" s="25"/>
      <c r="N54" s="25"/>
      <c r="O54" s="25"/>
      <c r="P54" s="25"/>
      <c r="Q54" s="25"/>
      <c r="R54" s="25"/>
      <c r="S54" s="25"/>
      <c r="T54" s="25"/>
      <c r="U54" s="25"/>
      <c r="V54" s="25"/>
      <c r="W54" s="25"/>
      <c r="X54" s="25"/>
      <c r="Y54" s="25"/>
      <c r="Z54" s="25"/>
      <c r="AA54" s="25"/>
      <c r="AB54" s="25"/>
      <c r="AC54" s="25"/>
    </row>
    <row r="55">
      <c r="A55" s="41" t="str">
        <f>'DE ( Tarik barang retur )'!AC32</f>
        <v>AWBR-10650-15-05-26-C01</v>
      </c>
      <c r="B55" s="37" t="str">
        <f>'DE ( Tarik barang retur )'!F32</f>
        <v>Apotek Medpharm GDC Tirtajaya Sukmajaya</v>
      </c>
      <c r="C55" s="42">
        <f>'DE ( Tarik barang retur )'!G32</f>
        <v>6.28138E+17</v>
      </c>
      <c r="D55" s="37" t="str">
        <f>'DE ( Tarik barang retur )'!H32</f>
        <v>Ruko Gardenia, Grand Depok City, Grand Depok City, Jalan KSU Parung Serab, Kelurahan Tirtajaya, Kecamatan Sukmajaya, Kota Depok, Jawa Barat 16412</v>
      </c>
      <c r="E55" s="37" t="str">
        <f>'DE ( Tarik barang retur )'!D32</f>
        <v>TMP-10650-15-05-2026</v>
      </c>
      <c r="F55" s="37" t="str">
        <f>'DE ( Tarik barang retur )'!R32</f>
        <v>TMP-10650-15/05/2026Tarik Faktur/Total invoices =22</v>
      </c>
      <c r="G55" s="38">
        <f>'DE ( Tarik barang retur )'!AF32</f>
        <v>46161</v>
      </c>
      <c r="H55" s="39">
        <v>46161.0</v>
      </c>
      <c r="I55" s="39">
        <v>46162.0</v>
      </c>
      <c r="J55" s="40" t="s">
        <v>5294</v>
      </c>
      <c r="K55" s="40" t="s">
        <v>4807</v>
      </c>
      <c r="L55" s="25"/>
      <c r="M55" s="25"/>
      <c r="N55" s="25"/>
      <c r="O55" s="25"/>
      <c r="P55" s="25"/>
      <c r="Q55" s="25"/>
      <c r="R55" s="25"/>
      <c r="S55" s="25"/>
      <c r="T55" s="25"/>
      <c r="U55" s="25"/>
      <c r="V55" s="25"/>
      <c r="W55" s="25"/>
      <c r="X55" s="25"/>
      <c r="Y55" s="25"/>
      <c r="Z55" s="25"/>
      <c r="AA55" s="25"/>
      <c r="AB55" s="25"/>
      <c r="AC55" s="25"/>
    </row>
    <row r="56">
      <c r="A56" s="41" t="str">
        <f>'DE ( Tarik barang retur )'!AC33</f>
        <v>AWBR-916-15-05-26-C01</v>
      </c>
      <c r="B56" s="37" t="str">
        <f>'DE ( Tarik barang retur )'!F33</f>
        <v>Apotek Danez Farma Jatibening</v>
      </c>
      <c r="C56" s="42">
        <f>'DE ( Tarik barang retur )'!G33</f>
        <v>81317054040</v>
      </c>
      <c r="D56" s="37" t="str">
        <f>'DE ( Tarik barang retur )'!H33</f>
        <v>Jalan Jatibening Estate Kav.2 Kelurahan Jatibening Kecamatan Pondok Gede Kota Bekasi 17412</v>
      </c>
      <c r="E56" s="37" t="str">
        <f>'DE ( Tarik barang retur )'!D33</f>
        <v>TMP-916-15-05-2026</v>
      </c>
      <c r="F56" s="37" t="str">
        <f>'DE ( Tarik barang retur )'!R33</f>
        <v>TMP-916-15/05/2026Tarik Faktur/Total invoices =16</v>
      </c>
      <c r="G56" s="38">
        <f>'DE ( Tarik barang retur )'!AF33</f>
        <v>46161</v>
      </c>
      <c r="H56" s="39">
        <v>46162.0</v>
      </c>
      <c r="I56" s="39">
        <v>46162.0</v>
      </c>
      <c r="J56" s="40" t="s">
        <v>5294</v>
      </c>
      <c r="K56" s="40" t="s">
        <v>4807</v>
      </c>
      <c r="L56" s="25"/>
      <c r="M56" s="25"/>
      <c r="N56" s="25"/>
      <c r="O56" s="25"/>
      <c r="P56" s="25"/>
      <c r="Q56" s="25"/>
      <c r="R56" s="25"/>
      <c r="S56" s="25"/>
      <c r="T56" s="25"/>
      <c r="U56" s="25"/>
      <c r="V56" s="25"/>
      <c r="W56" s="25"/>
      <c r="X56" s="25"/>
      <c r="Y56" s="25"/>
      <c r="Z56" s="25"/>
      <c r="AA56" s="25"/>
      <c r="AB56" s="25"/>
      <c r="AC56" s="25"/>
    </row>
    <row r="57">
      <c r="A57" s="41" t="str">
        <f>'DE ( Tarik barang retur )'!AC34</f>
        <v>AWBR-11952-15-05-26-C01</v>
      </c>
      <c r="B57" s="37" t="str">
        <f>'DE ( Tarik barang retur )'!F34</f>
        <v>Apotek Sahabat Galenika 1 Jatiwaringin Pondok Gede</v>
      </c>
      <c r="C57" s="42">
        <f>'DE ( Tarik barang retur )'!G34</f>
        <v>6.28123E+17</v>
      </c>
      <c r="D57" s="37" t="str">
        <f>'DE ( Tarik barang retur )'!H34</f>
        <v>Jl. Jatiwaringin No. 130 Kel. Jatiwaringin Kec. Pondok Gede Kota Bekasi</v>
      </c>
      <c r="E57" s="37" t="str">
        <f>'DE ( Tarik barang retur )'!D34</f>
        <v>TMP-11952-15-05-2026</v>
      </c>
      <c r="F57" s="37" t="str">
        <f>'DE ( Tarik barang retur )'!R34</f>
        <v>TMP-11952-15/05/2026Tarik Faktur/Total invoices =16</v>
      </c>
      <c r="G57" s="38">
        <f>'DE ( Tarik barang retur )'!AF34</f>
        <v>46161</v>
      </c>
      <c r="H57" s="39">
        <v>46162.0</v>
      </c>
      <c r="I57" s="39">
        <v>46162.0</v>
      </c>
      <c r="J57" s="40" t="s">
        <v>5294</v>
      </c>
      <c r="K57" s="40" t="s">
        <v>4807</v>
      </c>
      <c r="L57" s="25"/>
      <c r="M57" s="25"/>
      <c r="N57" s="25"/>
      <c r="O57" s="25"/>
      <c r="P57" s="25"/>
      <c r="Q57" s="25"/>
      <c r="R57" s="25"/>
      <c r="S57" s="25"/>
      <c r="T57" s="25"/>
      <c r="U57" s="25"/>
      <c r="V57" s="25"/>
      <c r="W57" s="25"/>
      <c r="X57" s="25"/>
      <c r="Y57" s="25"/>
      <c r="Z57" s="25"/>
      <c r="AA57" s="25"/>
      <c r="AB57" s="25"/>
      <c r="AC57" s="25"/>
    </row>
    <row r="58">
      <c r="A58" s="41" t="str">
        <f>'DE ( Tarik barang retur )'!AC35</f>
        <v>AWBR-16587-15-05-26-C01</v>
      </c>
      <c r="B58" s="24" t="str">
        <f>'DE ( Tarik barang retur )'!F35</f>
        <v>Apotek Fatih Jatibening Baru Pondok Gede</v>
      </c>
      <c r="C58" s="35">
        <f>'DE ( Tarik barang retur )'!G35</f>
        <v>6.28121E+17</v>
      </c>
      <c r="D58" s="24" t="str">
        <f>'DE ( Tarik barang retur )'!H35</f>
        <v>Jl. Lampiri Raya No.108 B Desa/Kelurahan Jatibening Baru,Kecamatan Pondok Gede, Kota Bekasi, Jawa Barat, 17412</v>
      </c>
      <c r="E58" s="24" t="str">
        <f>'DE ( Tarik barang retur )'!D35</f>
        <v>TMP-16587-15-05-2026</v>
      </c>
      <c r="F58" s="24" t="str">
        <f>'DE ( Tarik barang retur )'!R35</f>
        <v>TMP-16587-15/05/2026Tarik Faktur/Total invoices =15</v>
      </c>
      <c r="G58" s="36">
        <f>'DE ( Tarik barang retur )'!AF35</f>
        <v>46161</v>
      </c>
      <c r="H58" s="22">
        <v>46163.0</v>
      </c>
      <c r="I58" s="22">
        <v>46163.0</v>
      </c>
      <c r="J58" s="21" t="s">
        <v>5294</v>
      </c>
      <c r="K58" s="24"/>
      <c r="L58" s="25"/>
      <c r="M58" s="25"/>
      <c r="N58" s="25"/>
      <c r="O58" s="25"/>
      <c r="P58" s="25"/>
      <c r="Q58" s="25"/>
      <c r="R58" s="25"/>
      <c r="S58" s="25"/>
      <c r="T58" s="25"/>
      <c r="U58" s="25"/>
      <c r="V58" s="25"/>
      <c r="W58" s="25"/>
      <c r="X58" s="25"/>
      <c r="Y58" s="25"/>
      <c r="Z58" s="25"/>
      <c r="AA58" s="25"/>
      <c r="AB58" s="25"/>
      <c r="AC58" s="25"/>
    </row>
    <row r="59">
      <c r="A59" s="41" t="str">
        <f>'DE ( Tarik barang retur )'!AC36</f>
        <v>AWBR-836-15-05-26-C01</v>
      </c>
      <c r="B59" s="24" t="str">
        <f>'DE ( Tarik barang retur )'!F36</f>
        <v>Apotek Alam Sehat Farma</v>
      </c>
      <c r="C59" s="35">
        <f>'DE ( Tarik barang retur )'!G36</f>
        <v>81382701345</v>
      </c>
      <c r="D59" s="24" t="str">
        <f>'DE ( Tarik barang retur )'!H36</f>
        <v>Jalan Anggrek Raya No. 27-28 RT 002/004 Kelurahan Depok Jaya Kecamatan Pancoran Mas 16432</v>
      </c>
      <c r="E59" s="24" t="str">
        <f>'DE ( Tarik barang retur )'!D36</f>
        <v>TMP-836-15-05-2026</v>
      </c>
      <c r="F59" s="24" t="str">
        <f>'DE ( Tarik barang retur )'!R36</f>
        <v>TMP-836-15/05/2026Tarik Faktur/Total invoices =13</v>
      </c>
      <c r="G59" s="36">
        <f>'DE ( Tarik barang retur )'!AF36</f>
        <v>46161</v>
      </c>
      <c r="H59" s="22">
        <v>46165.0</v>
      </c>
      <c r="I59" s="22">
        <v>46166.0</v>
      </c>
      <c r="J59" s="21" t="s">
        <v>5294</v>
      </c>
      <c r="K59" s="24"/>
      <c r="L59" s="25"/>
      <c r="M59" s="25"/>
      <c r="N59" s="25"/>
      <c r="O59" s="25"/>
      <c r="P59" s="25"/>
      <c r="Q59" s="25"/>
      <c r="R59" s="25"/>
      <c r="S59" s="25"/>
      <c r="T59" s="25"/>
      <c r="U59" s="25"/>
      <c r="V59" s="25"/>
      <c r="W59" s="25"/>
      <c r="X59" s="25"/>
      <c r="Y59" s="25"/>
      <c r="Z59" s="25"/>
      <c r="AA59" s="25"/>
      <c r="AB59" s="25"/>
      <c r="AC59" s="25"/>
    </row>
    <row r="60">
      <c r="A60" s="41" t="str">
        <f>'DE ( Tarik barang retur )'!AC37</f>
        <v>AWBR-552-15-05-26-C01</v>
      </c>
      <c r="B60" s="37" t="str">
        <f>'DE ( Tarik barang retur )'!F37</f>
        <v>Apotek G Farma Kranggan</v>
      </c>
      <c r="C60" s="42">
        <f>'DE ( Tarik barang retur )'!G37</f>
        <v>81932511145</v>
      </c>
      <c r="D60" s="37" t="str">
        <f>'DE ( Tarik barang retur )'!H37</f>
        <v>Ruko Kranggan Permai Blok RT 2 No. 4, RT 015 RW 015, Kelurahan Jatisampurna, Kecamatan Jatisampurna, Kota Bekasi, Jawa Barat 17433</v>
      </c>
      <c r="E60" s="37" t="str">
        <f>'DE ( Tarik barang retur )'!D37</f>
        <v>TMP-552-15-05-2026</v>
      </c>
      <c r="F60" s="37" t="str">
        <f>'DE ( Tarik barang retur )'!R37</f>
        <v>TMP-552-15/05/2026Tarik Faktur/Total invoices =13</v>
      </c>
      <c r="G60" s="38">
        <f>'DE ( Tarik barang retur )'!AF37</f>
        <v>46161</v>
      </c>
      <c r="H60" s="39">
        <v>46161.0</v>
      </c>
      <c r="I60" s="39">
        <v>46162.0</v>
      </c>
      <c r="J60" s="40" t="s">
        <v>5294</v>
      </c>
      <c r="K60" s="40" t="s">
        <v>4807</v>
      </c>
      <c r="L60" s="25"/>
      <c r="M60" s="25"/>
      <c r="N60" s="25"/>
      <c r="O60" s="25"/>
      <c r="P60" s="25"/>
      <c r="Q60" s="25"/>
      <c r="R60" s="25"/>
      <c r="S60" s="25"/>
      <c r="T60" s="25"/>
      <c r="U60" s="25"/>
      <c r="V60" s="25"/>
      <c r="W60" s="25"/>
      <c r="X60" s="25"/>
      <c r="Y60" s="25"/>
      <c r="Z60" s="25"/>
      <c r="AA60" s="25"/>
      <c r="AB60" s="25"/>
      <c r="AC60" s="25"/>
    </row>
    <row r="61">
      <c r="A61" s="41" t="str">
        <f>'DE ( Tarik barang retur )'!AC38</f>
        <v>AWBR-8787-15-05-26-C01</v>
      </c>
      <c r="B61" s="37" t="str">
        <f>'DE ( Tarik barang retur )'!F38</f>
        <v>Apotek Hazira Farma Jaticempaka Pd Gede</v>
      </c>
      <c r="C61" s="37">
        <f>'DE ( Tarik barang retur )'!G38</f>
        <v>82210333962</v>
      </c>
      <c r="D61" s="37" t="str">
        <f>'DE ( Tarik barang retur )'!H38</f>
        <v>Ruko Blok II No. 12 A Jl. Raya Curug RT 007 RW 002 Kel. Jaticempaka, Kec. Pondok Gede, Kota Bekasi 17411</v>
      </c>
      <c r="E61" s="37" t="str">
        <f>'DE ( Tarik barang retur )'!D38</f>
        <v>TMP-8787-15-05-2026</v>
      </c>
      <c r="F61" s="37" t="str">
        <f>'DE ( Tarik barang retur )'!R38</f>
        <v>TMP-8787-15/05/2026Tarik Faktur/Total invoices =13</v>
      </c>
      <c r="G61" s="38">
        <f>'DE ( Tarik barang retur )'!AF38</f>
        <v>46161</v>
      </c>
      <c r="H61" s="39">
        <v>46162.0</v>
      </c>
      <c r="I61" s="39">
        <v>46162.0</v>
      </c>
      <c r="J61" s="40" t="s">
        <v>5294</v>
      </c>
      <c r="K61" s="40" t="s">
        <v>4807</v>
      </c>
      <c r="L61" s="25"/>
      <c r="M61" s="25"/>
      <c r="N61" s="25"/>
      <c r="O61" s="25"/>
      <c r="P61" s="25"/>
      <c r="Q61" s="25"/>
      <c r="R61" s="25"/>
      <c r="S61" s="25"/>
      <c r="T61" s="25"/>
      <c r="U61" s="25"/>
      <c r="V61" s="25"/>
      <c r="W61" s="25"/>
      <c r="X61" s="25"/>
      <c r="Y61" s="25"/>
      <c r="Z61" s="25"/>
      <c r="AA61" s="25"/>
      <c r="AB61" s="25"/>
      <c r="AC61" s="25"/>
    </row>
    <row r="62">
      <c r="A62" s="41" t="str">
        <f>'DE ( Tarik barang retur )'!AC39</f>
        <v>AWBR-15259-15-05-26-C01</v>
      </c>
      <c r="B62" s="37" t="str">
        <f>'DE ( Tarik barang retur )'!F39</f>
        <v>Apotek Pasfarma Cipayung Lubang Buaya Cipayung</v>
      </c>
      <c r="C62" s="42">
        <f>'DE ( Tarik barang retur )'!G39</f>
        <v>6.28232E+17</v>
      </c>
      <c r="D62" s="37" t="str">
        <f>'DE ( Tarik barang retur )'!H39</f>
        <v>Jl. Pd. Gede Raya No.18 P 1, RT.1/RW.8, Lubang Buaya, Kec. Cipayung, Kota Jakarta Timur</v>
      </c>
      <c r="E62" s="37" t="str">
        <f>'DE ( Tarik barang retur )'!D39</f>
        <v>TMP-15259-15-05-2026</v>
      </c>
      <c r="F62" s="37" t="str">
        <f>'DE ( Tarik barang retur )'!R39</f>
        <v>TMP-15259-15/05/2026Tarik Faktur/Total invoices =12</v>
      </c>
      <c r="G62" s="38">
        <f>'DE ( Tarik barang retur )'!AF39</f>
        <v>46161</v>
      </c>
      <c r="H62" s="39">
        <v>46162.0</v>
      </c>
      <c r="I62" s="39">
        <v>46162.0</v>
      </c>
      <c r="J62" s="40" t="s">
        <v>5294</v>
      </c>
      <c r="K62" s="40" t="s">
        <v>4807</v>
      </c>
      <c r="L62" s="25"/>
      <c r="M62" s="25"/>
      <c r="N62" s="25"/>
      <c r="O62" s="25"/>
      <c r="P62" s="25"/>
      <c r="Q62" s="25"/>
      <c r="R62" s="25"/>
      <c r="S62" s="25"/>
      <c r="T62" s="25"/>
      <c r="U62" s="25"/>
      <c r="V62" s="25"/>
      <c r="W62" s="25"/>
      <c r="X62" s="25"/>
      <c r="Y62" s="25"/>
      <c r="Z62" s="25"/>
      <c r="AA62" s="25"/>
      <c r="AB62" s="25"/>
      <c r="AC62" s="25"/>
    </row>
    <row r="63">
      <c r="A63" s="41" t="str">
        <f>'DE ( Tarik barang retur )'!AC40</f>
        <v>AWBR-3894-15-05-26-C01</v>
      </c>
      <c r="B63" s="37" t="str">
        <f>'DE ( Tarik barang retur )'!F40</f>
        <v>Apotek Ihsan Farma</v>
      </c>
      <c r="C63" s="42">
        <f>'DE ( Tarik barang retur )'!G40</f>
        <v>8164881897</v>
      </c>
      <c r="D63" s="37" t="str">
        <f>'DE ( Tarik barang retur )'!H40</f>
        <v>Jalan Cilangkap Kp. Cilangkap RT 006 RW 012 Kelurahan Cilangkap Kecamatan Tapos Kota Depok 16411</v>
      </c>
      <c r="E63" s="37" t="str">
        <f>'DE ( Tarik barang retur )'!D40</f>
        <v>TMP-3894-15-05-2026</v>
      </c>
      <c r="F63" s="37" t="str">
        <f>'DE ( Tarik barang retur )'!R40</f>
        <v>TMP-3894-15/05/2026Tarik Faktur/Total invoices =11</v>
      </c>
      <c r="G63" s="38">
        <f>'DE ( Tarik barang retur )'!AF40</f>
        <v>46161</v>
      </c>
      <c r="H63" s="39">
        <v>46161.0</v>
      </c>
      <c r="I63" s="39">
        <v>46162.0</v>
      </c>
      <c r="J63" s="40" t="s">
        <v>5294</v>
      </c>
      <c r="K63" s="40" t="s">
        <v>4807</v>
      </c>
      <c r="L63" s="25"/>
      <c r="M63" s="25"/>
      <c r="N63" s="25"/>
      <c r="O63" s="25"/>
      <c r="P63" s="25"/>
      <c r="Q63" s="25"/>
      <c r="R63" s="25"/>
      <c r="S63" s="25"/>
      <c r="T63" s="25"/>
      <c r="U63" s="25"/>
      <c r="V63" s="25"/>
      <c r="W63" s="25"/>
      <c r="X63" s="25"/>
      <c r="Y63" s="25"/>
      <c r="Z63" s="25"/>
      <c r="AA63" s="25"/>
      <c r="AB63" s="25"/>
      <c r="AC63" s="25"/>
    </row>
    <row r="64">
      <c r="A64" s="41" t="str">
        <f>'DE ( Tarik barang retur )'!AC41</f>
        <v>AWBR-1113-15-05-26-C01</v>
      </c>
      <c r="B64" s="37" t="str">
        <f>'DE ( Tarik barang retur )'!F41</f>
        <v>Apotek K24 Grand Depok City</v>
      </c>
      <c r="C64" s="42">
        <f>'DE ( Tarik barang retur )'!G41</f>
        <v>81298228333</v>
      </c>
      <c r="D64" s="37" t="str">
        <f>'DE ( Tarik barang retur )'!H41</f>
        <v>Perumahan Grand Depok City Sektor Caspia Blok B12 RT 002/006 Kelurahan Kalibaru Kecamatan Cilodong Depok 16414</v>
      </c>
      <c r="E64" s="37" t="str">
        <f>'DE ( Tarik barang retur )'!D41</f>
        <v>TMP-1113-15-05-2026</v>
      </c>
      <c r="F64" s="37" t="str">
        <f>'DE ( Tarik barang retur )'!R41</f>
        <v>TMP-1113-15/05/2026Tarik Faktur/Total invoices =10</v>
      </c>
      <c r="G64" s="38">
        <f>'DE ( Tarik barang retur )'!AF41</f>
        <v>46161</v>
      </c>
      <c r="H64" s="39">
        <v>46161.0</v>
      </c>
      <c r="I64" s="39">
        <v>46162.0</v>
      </c>
      <c r="J64" s="40" t="s">
        <v>5294</v>
      </c>
      <c r="K64" s="40" t="s">
        <v>4807</v>
      </c>
      <c r="L64" s="25"/>
      <c r="M64" s="25"/>
      <c r="N64" s="25"/>
      <c r="O64" s="25"/>
      <c r="P64" s="25"/>
      <c r="Q64" s="25"/>
      <c r="R64" s="25"/>
      <c r="S64" s="25"/>
      <c r="T64" s="25"/>
      <c r="U64" s="25"/>
      <c r="V64" s="25"/>
      <c r="W64" s="25"/>
      <c r="X64" s="25"/>
      <c r="Y64" s="25"/>
      <c r="Z64" s="25"/>
      <c r="AA64" s="25"/>
      <c r="AB64" s="25"/>
      <c r="AC64" s="25"/>
    </row>
    <row r="65">
      <c r="A65" s="41" t="str">
        <f>'DE ( Tarik barang retur )'!AC42</f>
        <v>AWBR-724-15-05-26-C01</v>
      </c>
      <c r="B65" s="37" t="str">
        <f>'DE ( Tarik barang retur )'!F42</f>
        <v>Apotek Dewi Farma</v>
      </c>
      <c r="C65" s="42">
        <f>'DE ( Tarik barang retur )'!G42</f>
        <v>85283705505</v>
      </c>
      <c r="D65" s="37" t="str">
        <f>'DE ( Tarik barang retur )'!H42</f>
        <v>Jalan Mess AL Kranggan Wetan RT.001/RW.012, Kelurahan Jatirangga, Kecamatan Jatisampurna, Kota Bekasi 17434</v>
      </c>
      <c r="E65" s="37" t="str">
        <f>'DE ( Tarik barang retur )'!D42</f>
        <v>TMP-724-15-05-2026</v>
      </c>
      <c r="F65" s="37" t="str">
        <f>'DE ( Tarik barang retur )'!R42</f>
        <v>TMP-724-15/05/2026Tarik Faktur/Total invoices =10</v>
      </c>
      <c r="G65" s="38">
        <f>'DE ( Tarik barang retur )'!AF42</f>
        <v>46161</v>
      </c>
      <c r="H65" s="39">
        <v>46161.0</v>
      </c>
      <c r="I65" s="39">
        <v>46162.0</v>
      </c>
      <c r="J65" s="40" t="s">
        <v>5294</v>
      </c>
      <c r="K65" s="40" t="s">
        <v>4807</v>
      </c>
      <c r="L65" s="25"/>
      <c r="M65" s="25"/>
      <c r="N65" s="25"/>
      <c r="O65" s="25"/>
      <c r="P65" s="25"/>
      <c r="Q65" s="25"/>
      <c r="R65" s="25"/>
      <c r="S65" s="25"/>
      <c r="T65" s="25"/>
      <c r="U65" s="25"/>
      <c r="V65" s="25"/>
      <c r="W65" s="25"/>
      <c r="X65" s="25"/>
      <c r="Y65" s="25"/>
      <c r="Z65" s="25"/>
      <c r="AA65" s="25"/>
      <c r="AB65" s="25"/>
      <c r="AC65" s="25"/>
    </row>
    <row r="66">
      <c r="A66" s="41" t="str">
        <f>'DE ( Tarik barang retur )'!AC43</f>
        <v>AWBR-11914-15-05-26-C01</v>
      </c>
      <c r="B66" s="37" t="str">
        <f>'DE ( Tarik barang retur )'!F43</f>
        <v>Apotek dr Anne Harjamukti Cimanggis</v>
      </c>
      <c r="C66" s="42">
        <f>'DE ( Tarik barang retur )'!G43</f>
        <v>6.28228E+17</v>
      </c>
      <c r="D66" s="37" t="str">
        <f>'DE ( Tarik barang retur )'!H43</f>
        <v>Kav Pertamina No. 94-96, Jl Tumaritis 1 Kel. Harjamukti Kec. Cimanggis Kota Depok</v>
      </c>
      <c r="E66" s="37" t="str">
        <f>'DE ( Tarik barang retur )'!D43</f>
        <v>TMP-11914-15-05-2026</v>
      </c>
      <c r="F66" s="37" t="str">
        <f>'DE ( Tarik barang retur )'!R43</f>
        <v>TMP-11914-15/05/2026Tarik Faktur/Total invoices =10</v>
      </c>
      <c r="G66" s="38">
        <f>'DE ( Tarik barang retur )'!AF43</f>
        <v>46161</v>
      </c>
      <c r="H66" s="39">
        <v>46161.0</v>
      </c>
      <c r="I66" s="39">
        <v>46162.0</v>
      </c>
      <c r="J66" s="40" t="s">
        <v>5294</v>
      </c>
      <c r="K66" s="40" t="s">
        <v>4807</v>
      </c>
      <c r="L66" s="25"/>
      <c r="M66" s="25"/>
      <c r="N66" s="25"/>
      <c r="O66" s="25"/>
      <c r="P66" s="25"/>
      <c r="Q66" s="25"/>
      <c r="R66" s="25"/>
      <c r="S66" s="25"/>
      <c r="T66" s="25"/>
      <c r="U66" s="25"/>
      <c r="V66" s="25"/>
      <c r="W66" s="25"/>
      <c r="X66" s="25"/>
      <c r="Y66" s="25"/>
      <c r="Z66" s="25"/>
      <c r="AA66" s="25"/>
      <c r="AB66" s="25"/>
      <c r="AC66" s="25"/>
    </row>
    <row r="67">
      <c r="A67" s="41" t="str">
        <f>'DE ( Tarik barang retur )'!AC44</f>
        <v>AWBR-11873-15-05-26-C01</v>
      </c>
      <c r="B67" s="37" t="str">
        <f>'DE ( Tarik barang retur )'!F44</f>
        <v>Apotek K24 Jatimakmur Jatimakmur Pondok Gede</v>
      </c>
      <c r="C67" s="42">
        <f>'DE ( Tarik barang retur )'!G44</f>
        <v>6.28198E+16</v>
      </c>
      <c r="D67" s="37" t="str">
        <f>'DE ( Tarik barang retur )'!H44</f>
        <v>Komplek Ruko Jatimakmur Residence Blok A No. 9 Rt/Rw : 001/RW 20, Desa/Kel. Jatimakmur, Kec. Pondokgede, Kota Bekasi</v>
      </c>
      <c r="E67" s="37" t="str">
        <f>'DE ( Tarik barang retur )'!D44</f>
        <v>TMP-11873-15-05-2026</v>
      </c>
      <c r="F67" s="37" t="str">
        <f>'DE ( Tarik barang retur )'!R44</f>
        <v>TMP-11873-15/05/2026Tarik Faktur/Total invoices =10</v>
      </c>
      <c r="G67" s="38">
        <f>'DE ( Tarik barang retur )'!AF44</f>
        <v>46161</v>
      </c>
      <c r="H67" s="39">
        <v>46161.0</v>
      </c>
      <c r="I67" s="39">
        <v>46162.0</v>
      </c>
      <c r="J67" s="40" t="s">
        <v>5294</v>
      </c>
      <c r="K67" s="40" t="s">
        <v>4807</v>
      </c>
      <c r="L67" s="25"/>
      <c r="M67" s="25"/>
      <c r="N67" s="25"/>
      <c r="O67" s="25"/>
      <c r="P67" s="25"/>
      <c r="Q67" s="25"/>
      <c r="R67" s="25"/>
      <c r="S67" s="25"/>
      <c r="T67" s="25"/>
      <c r="U67" s="25"/>
      <c r="V67" s="25"/>
      <c r="W67" s="25"/>
      <c r="X67" s="25"/>
      <c r="Y67" s="25"/>
      <c r="Z67" s="25"/>
      <c r="AA67" s="25"/>
      <c r="AB67" s="25"/>
      <c r="AC67" s="25"/>
    </row>
    <row r="68">
      <c r="A68" s="41" t="str">
        <f>'DE ( Tarik barang retur )'!AC45</f>
        <v>AWBR-2333-15-05-26-C01</v>
      </c>
      <c r="B68" s="24" t="str">
        <f>'DE ( Tarik barang retur )'!F45</f>
        <v>Apotek Kita 2</v>
      </c>
      <c r="C68" s="24">
        <f>'DE ( Tarik barang retur )'!G45</f>
        <v>81311214281</v>
      </c>
      <c r="D68" s="24" t="str">
        <f>'DE ( Tarik barang retur )'!H45</f>
        <v>Jalan Cipayung Jaya RT 04 RW 05 Kelurahan Cipayung Jaya Kecamatan Cipayung Kota Depok 16437</v>
      </c>
      <c r="E68" s="24" t="str">
        <f>'DE ( Tarik barang retur )'!D45</f>
        <v>TMP-2333-15-05-2026</v>
      </c>
      <c r="F68" s="24" t="str">
        <f>'DE ( Tarik barang retur )'!R45</f>
        <v>TMP-2333-15/05/2026Tarik Faktur/Total invoices =10</v>
      </c>
      <c r="G68" s="36">
        <f>'DE ( Tarik barang retur )'!AF45</f>
        <v>46161</v>
      </c>
      <c r="H68" s="22">
        <v>46165.0</v>
      </c>
      <c r="I68" s="22">
        <v>46166.0</v>
      </c>
      <c r="J68" s="21" t="s">
        <v>5294</v>
      </c>
      <c r="K68" s="24"/>
      <c r="L68" s="25"/>
      <c r="M68" s="25"/>
      <c r="N68" s="25"/>
      <c r="O68" s="25"/>
      <c r="P68" s="25"/>
      <c r="Q68" s="25"/>
      <c r="R68" s="25"/>
      <c r="S68" s="25"/>
      <c r="T68" s="25"/>
      <c r="U68" s="25"/>
      <c r="V68" s="25"/>
      <c r="W68" s="25"/>
      <c r="X68" s="25"/>
      <c r="Y68" s="25"/>
      <c r="Z68" s="25"/>
      <c r="AA68" s="25"/>
      <c r="AB68" s="25"/>
      <c r="AC68" s="25"/>
    </row>
    <row r="69">
      <c r="A69" s="41" t="str">
        <f>'DE ( Tarik barang retur )'!AC46</f>
        <v>AWBR-642-15-05-26-C01</v>
      </c>
      <c r="B69" s="37" t="str">
        <f>'DE ( Tarik barang retur )'!F46</f>
        <v>Apotek Seruni</v>
      </c>
      <c r="C69" s="42">
        <f>'DE ( Tarik barang retur )'!G46</f>
        <v>218734133</v>
      </c>
      <c r="D69" s="37" t="str">
        <f>'DE ( Tarik barang retur )'!H46</f>
        <v>Jalan Radar Auri No. 87, Kelurahan Mekarsari, Kecamatan Cimanggis, Kota Depok 16452</v>
      </c>
      <c r="E69" s="37" t="str">
        <f>'DE ( Tarik barang retur )'!D46</f>
        <v>TMP-642-15-05-2026</v>
      </c>
      <c r="F69" s="37" t="str">
        <f>'DE ( Tarik barang retur )'!R46</f>
        <v>TMP-642-15/05/2026Tarik Faktur/Total invoices =10</v>
      </c>
      <c r="G69" s="38">
        <f>'DE ( Tarik barang retur )'!AF46</f>
        <v>46161</v>
      </c>
      <c r="H69" s="39">
        <v>46161.0</v>
      </c>
      <c r="I69" s="39">
        <v>46162.0</v>
      </c>
      <c r="J69" s="40" t="s">
        <v>5294</v>
      </c>
      <c r="K69" s="40" t="s">
        <v>4807</v>
      </c>
      <c r="L69" s="25"/>
      <c r="M69" s="25"/>
      <c r="N69" s="25"/>
      <c r="O69" s="25"/>
      <c r="P69" s="25"/>
      <c r="Q69" s="25"/>
      <c r="R69" s="25"/>
      <c r="S69" s="25"/>
      <c r="T69" s="25"/>
      <c r="U69" s="25"/>
      <c r="V69" s="25"/>
      <c r="W69" s="25"/>
      <c r="X69" s="25"/>
      <c r="Y69" s="25"/>
      <c r="Z69" s="25"/>
      <c r="AA69" s="25"/>
      <c r="AB69" s="25"/>
      <c r="AC69" s="25"/>
    </row>
    <row r="70">
      <c r="A70" s="41" t="str">
        <f>'DE ( Tarik barang retur )'!AC47</f>
        <v>AWBR-10793-15-05-26-C01</v>
      </c>
      <c r="B70" s="24" t="str">
        <f>'DE ( Tarik barang retur )'!F47</f>
        <v>Apotek Al Kahfi Tanah Baru Beji</v>
      </c>
      <c r="C70" s="35">
        <f>'DE ( Tarik barang retur )'!G47</f>
        <v>6.28129E+17</v>
      </c>
      <c r="D70" s="24" t="str">
        <f>'DE ( Tarik barang retur )'!H47</f>
        <v>Jl. Moh. Kahfi 1 Ruko Ario Bimo No.3, Desa/Kel. Tanah Baru, Kec. Beji, Kota Depok 12646</v>
      </c>
      <c r="E70" s="24" t="str">
        <f>'DE ( Tarik barang retur )'!D47</f>
        <v>TMP-10793-15-05-2026</v>
      </c>
      <c r="F70" s="24" t="str">
        <f>'DE ( Tarik barang retur )'!R47</f>
        <v>TMP-10793-15/05/2026Tarik Faktur/Total invoices =8</v>
      </c>
      <c r="G70" s="36">
        <f>'DE ( Tarik barang retur )'!AF47</f>
        <v>46161</v>
      </c>
      <c r="H70" s="22">
        <v>46165.0</v>
      </c>
      <c r="I70" s="22">
        <v>46166.0</v>
      </c>
      <c r="J70" s="21" t="s">
        <v>5294</v>
      </c>
      <c r="K70" s="24"/>
      <c r="L70" s="25"/>
      <c r="M70" s="25"/>
      <c r="N70" s="25"/>
      <c r="O70" s="25"/>
      <c r="P70" s="25"/>
      <c r="Q70" s="25"/>
      <c r="R70" s="25"/>
      <c r="S70" s="25"/>
      <c r="T70" s="25"/>
      <c r="U70" s="25"/>
      <c r="V70" s="25"/>
      <c r="W70" s="25"/>
      <c r="X70" s="25"/>
      <c r="Y70" s="25"/>
      <c r="Z70" s="25"/>
      <c r="AA70" s="25"/>
      <c r="AB70" s="25"/>
      <c r="AC70" s="25"/>
    </row>
    <row r="71">
      <c r="A71" s="41" t="str">
        <f>'DE ( Tarik barang retur )'!AC48</f>
        <v>AWBR-12914-15-05-26-C01</v>
      </c>
      <c r="B71" s="24" t="str">
        <f>'DE ( Tarik barang retur )'!F48</f>
        <v>Apotek Caringin Rangkapan Jaya Pancoran Mas</v>
      </c>
      <c r="C71" s="35">
        <f>'DE ( Tarik barang retur )'!G48</f>
        <v>6.28138E+17</v>
      </c>
      <c r="D71" s="24" t="str">
        <f>'DE ( Tarik barang retur )'!H48</f>
        <v>Jalan Caringin RT. 007 RW. 004 , Desa/Kelurahan Rangkapan Jaya,Kecamatan Pancoran Mas, Kota Depok,Jawa Barat,16435</v>
      </c>
      <c r="E71" s="24" t="str">
        <f>'DE ( Tarik barang retur )'!D48</f>
        <v>TMP-12914-15-05-2026</v>
      </c>
      <c r="F71" s="24" t="str">
        <f>'DE ( Tarik barang retur )'!R48</f>
        <v>TMP-12914-15/05/2026Tarik Faktur/Total invoices =8</v>
      </c>
      <c r="G71" s="36">
        <f>'DE ( Tarik barang retur )'!AF48</f>
        <v>46161</v>
      </c>
      <c r="H71" s="22">
        <v>46165.0</v>
      </c>
      <c r="I71" s="22">
        <v>46166.0</v>
      </c>
      <c r="J71" s="21" t="s">
        <v>5294</v>
      </c>
      <c r="K71" s="24"/>
      <c r="L71" s="25"/>
      <c r="M71" s="25"/>
      <c r="N71" s="25"/>
      <c r="O71" s="25"/>
      <c r="P71" s="25"/>
      <c r="Q71" s="25"/>
      <c r="R71" s="25"/>
      <c r="S71" s="25"/>
      <c r="T71" s="25"/>
      <c r="U71" s="25"/>
      <c r="V71" s="25"/>
      <c r="W71" s="25"/>
      <c r="X71" s="25"/>
      <c r="Y71" s="25"/>
      <c r="Z71" s="25"/>
      <c r="AA71" s="25"/>
      <c r="AB71" s="25"/>
      <c r="AC71" s="25"/>
    </row>
    <row r="72">
      <c r="A72" s="41" t="str">
        <f>'DE ( Tarik barang retur )'!AC49</f>
        <v>AWBR-12208-15-05-26-C01</v>
      </c>
      <c r="B72" s="24" t="str">
        <f>'DE ( Tarik barang retur )'!F49</f>
        <v>Klinik Pratama Rawat Jalan Ihsan Medika Dua Cilangkap Tapos</v>
      </c>
      <c r="C72" s="35">
        <f>'DE ( Tarik barang retur )'!G49</f>
        <v>6.28579E+17</v>
      </c>
      <c r="D72" s="24" t="str">
        <f>'DE ( Tarik barang retur )'!H49</f>
        <v>Kp Cilangkap RT 001/014 Kel. Cilangkap Kec. Tapos Kota Depok</v>
      </c>
      <c r="E72" s="24" t="str">
        <f>'DE ( Tarik barang retur )'!D49</f>
        <v>TMP-12208-15-05-2026</v>
      </c>
      <c r="F72" s="24" t="str">
        <f>'DE ( Tarik barang retur )'!R49</f>
        <v>TMP-12208-15/05/2026Tarik Faktur/Total invoices =8</v>
      </c>
      <c r="G72" s="36">
        <f>'DE ( Tarik barang retur )'!AF49</f>
        <v>46161</v>
      </c>
      <c r="H72" s="22">
        <v>46162.0</v>
      </c>
      <c r="I72" s="22">
        <v>46163.0</v>
      </c>
      <c r="J72" s="21" t="s">
        <v>5294</v>
      </c>
      <c r="K72" s="24"/>
      <c r="L72" s="25"/>
      <c r="M72" s="25"/>
      <c r="N72" s="25"/>
      <c r="O72" s="25"/>
      <c r="P72" s="25"/>
      <c r="Q72" s="25"/>
      <c r="R72" s="25"/>
      <c r="S72" s="25"/>
      <c r="T72" s="25"/>
      <c r="U72" s="25"/>
      <c r="V72" s="25"/>
      <c r="W72" s="25"/>
      <c r="X72" s="25"/>
      <c r="Y72" s="25"/>
      <c r="Z72" s="25"/>
      <c r="AA72" s="25"/>
      <c r="AB72" s="25"/>
      <c r="AC72" s="25"/>
    </row>
    <row r="73">
      <c r="A73" s="41" t="str">
        <f>'DE ( Tarik barang retur )'!AC50</f>
        <v>AWBR-535-15-05-26-C01</v>
      </c>
      <c r="B73" s="24" t="str">
        <f>'DE ( Tarik barang retur )'!F50</f>
        <v>Apotek Sehati 535</v>
      </c>
      <c r="C73" s="24">
        <f>'DE ( Tarik barang retur )'!G50</f>
        <v>217520239</v>
      </c>
      <c r="D73" s="24" t="str">
        <f>'DE ( Tarik barang retur )'!H50</f>
        <v>Jalan Arief Rahman Hakim No. 39 RT 010 RW 006, Kelurahan Depok Jaya, Kecamatan Pancoran Mas, Kota Depok 16431</v>
      </c>
      <c r="E73" s="24" t="str">
        <f>'DE ( Tarik barang retur )'!D50</f>
        <v>TMP-535-15-05-2026</v>
      </c>
      <c r="F73" s="24" t="str">
        <f>'DE ( Tarik barang retur )'!R50</f>
        <v>TMP-535-15/05/2026Tarik Faktur/Total invoices =8</v>
      </c>
      <c r="G73" s="36">
        <f>'DE ( Tarik barang retur )'!AF50</f>
        <v>46161</v>
      </c>
      <c r="H73" s="22">
        <v>46165.0</v>
      </c>
      <c r="I73" s="22">
        <v>46166.0</v>
      </c>
      <c r="J73" s="21" t="s">
        <v>5294</v>
      </c>
      <c r="K73" s="24"/>
      <c r="L73" s="25"/>
      <c r="M73" s="25"/>
      <c r="N73" s="25"/>
      <c r="O73" s="25"/>
      <c r="P73" s="25"/>
      <c r="Q73" s="25"/>
      <c r="R73" s="25"/>
      <c r="S73" s="25"/>
      <c r="T73" s="25"/>
      <c r="U73" s="25"/>
      <c r="V73" s="25"/>
      <c r="W73" s="25"/>
      <c r="X73" s="25"/>
      <c r="Y73" s="25"/>
      <c r="Z73" s="25"/>
      <c r="AA73" s="25"/>
      <c r="AB73" s="25"/>
      <c r="AC73" s="25"/>
    </row>
    <row r="74">
      <c r="A74" s="41" t="str">
        <f>'DE ( Tarik barang retur )'!AC51</f>
        <v>AWBR-905-15-05-26-C01</v>
      </c>
      <c r="B74" s="37" t="str">
        <f>'DE ( Tarik barang retur )'!F51</f>
        <v>Apotek Jatimulya</v>
      </c>
      <c r="C74" s="37">
        <f>'DE ( Tarik barang retur )'!G51</f>
        <v>81319027459</v>
      </c>
      <c r="D74" s="37" t="str">
        <f>'DE ( Tarik barang retur )'!H51</f>
        <v>Jalan Raya Kalimulya, Kelurahan Jatimulya Kecamatan Cilodong, Kota Depok, Jawa Barat 16413</v>
      </c>
      <c r="E74" s="37" t="str">
        <f>'DE ( Tarik barang retur )'!D51</f>
        <v>TMP-905-15-05-2026</v>
      </c>
      <c r="F74" s="37" t="str">
        <f>'DE ( Tarik barang retur )'!R51</f>
        <v>TMP-905-15/05/2026Tarik Faktur/Total invoices =7</v>
      </c>
      <c r="G74" s="38">
        <f>'DE ( Tarik barang retur )'!AF51</f>
        <v>46161</v>
      </c>
      <c r="H74" s="39">
        <v>46161.0</v>
      </c>
      <c r="I74" s="39">
        <v>46162.0</v>
      </c>
      <c r="J74" s="40" t="s">
        <v>5294</v>
      </c>
      <c r="K74" s="40" t="s">
        <v>4807</v>
      </c>
      <c r="L74" s="25"/>
      <c r="M74" s="25"/>
      <c r="N74" s="25"/>
      <c r="O74" s="25"/>
      <c r="P74" s="25"/>
      <c r="Q74" s="25"/>
      <c r="R74" s="25"/>
      <c r="S74" s="25"/>
      <c r="T74" s="25"/>
      <c r="U74" s="25"/>
      <c r="V74" s="25"/>
      <c r="W74" s="25"/>
      <c r="X74" s="25"/>
      <c r="Y74" s="25"/>
      <c r="Z74" s="25"/>
      <c r="AA74" s="25"/>
      <c r="AB74" s="25"/>
      <c r="AC74" s="25"/>
    </row>
    <row r="75">
      <c r="A75" s="41" t="str">
        <f>'DE ( Tarik barang retur )'!AC52</f>
        <v>AWBR-10859-15-05-26-C01</v>
      </c>
      <c r="B75" s="24" t="str">
        <f>'DE ( Tarik barang retur )'!F52</f>
        <v>Apotek Citayam Farma Bojong Pondok Terong Cipayung</v>
      </c>
      <c r="C75" s="35">
        <f>'DE ( Tarik barang retur )'!G52</f>
        <v>6.28517E+17</v>
      </c>
      <c r="D75" s="24" t="str">
        <f>'DE ( Tarik barang retur )'!H52</f>
        <v>Jl. Raya Cipayung No.1, RT.03/RW10, Desa/Kel. Bojong Pondok Terong, Kec. Cipayung, Kota Depok 16436</v>
      </c>
      <c r="E75" s="24" t="str">
        <f>'DE ( Tarik barang retur )'!D52</f>
        <v>TMP-10859-15-05-2026</v>
      </c>
      <c r="F75" s="24" t="str">
        <f>'DE ( Tarik barang retur )'!R52</f>
        <v>TMP-10859-15/05/2026Tarik Faktur/Total invoices =7</v>
      </c>
      <c r="G75" s="36">
        <f>'DE ( Tarik barang retur )'!AF52</f>
        <v>46161</v>
      </c>
      <c r="H75" s="22">
        <v>46165.0</v>
      </c>
      <c r="I75" s="22">
        <v>46166.0</v>
      </c>
      <c r="J75" s="21" t="s">
        <v>5294</v>
      </c>
      <c r="K75" s="24"/>
      <c r="L75" s="25"/>
      <c r="M75" s="25"/>
      <c r="N75" s="25"/>
      <c r="O75" s="25"/>
      <c r="P75" s="25"/>
      <c r="Q75" s="25"/>
      <c r="R75" s="25"/>
      <c r="S75" s="25"/>
      <c r="T75" s="25"/>
      <c r="U75" s="25"/>
      <c r="V75" s="25"/>
      <c r="W75" s="25"/>
      <c r="X75" s="25"/>
      <c r="Y75" s="25"/>
      <c r="Z75" s="25"/>
      <c r="AA75" s="25"/>
      <c r="AB75" s="25"/>
      <c r="AC75" s="25"/>
    </row>
    <row r="76">
      <c r="A76" s="41" t="str">
        <f>'DE ( Tarik barang retur )'!AC53</f>
        <v>AWBR-15137-15-05-26-C01</v>
      </c>
      <c r="B76" s="37" t="str">
        <f>'DE ( Tarik barang retur )'!F53</f>
        <v>Apotek Rakyat Sehat Kalimulya Cilodong</v>
      </c>
      <c r="C76" s="42">
        <f>'DE ( Tarik barang retur )'!G53</f>
        <v>6.28783E+17</v>
      </c>
      <c r="D76" s="37" t="str">
        <f>'DE ( Tarik barang retur )'!H53</f>
        <v>Jl Raya Kalimulya No 80 Kel .Kalimulya Kec. Cilodong Kota Depok</v>
      </c>
      <c r="E76" s="37" t="str">
        <f>'DE ( Tarik barang retur )'!D53</f>
        <v>TMP-15137-15-05-2026</v>
      </c>
      <c r="F76" s="37" t="str">
        <f>'DE ( Tarik barang retur )'!R53</f>
        <v>TMP-15137-15/05/2026Tarik Faktur/Total invoices =7</v>
      </c>
      <c r="G76" s="38">
        <f>'DE ( Tarik barang retur )'!AF53</f>
        <v>46161</v>
      </c>
      <c r="H76" s="39">
        <v>46161.0</v>
      </c>
      <c r="I76" s="39">
        <v>46162.0</v>
      </c>
      <c r="J76" s="40" t="s">
        <v>5294</v>
      </c>
      <c r="K76" s="40" t="s">
        <v>4807</v>
      </c>
      <c r="L76" s="25"/>
      <c r="M76" s="25"/>
      <c r="N76" s="25"/>
      <c r="O76" s="25"/>
      <c r="P76" s="25"/>
      <c r="Q76" s="25"/>
      <c r="R76" s="25"/>
      <c r="S76" s="25"/>
      <c r="T76" s="25"/>
      <c r="U76" s="25"/>
      <c r="V76" s="25"/>
      <c r="W76" s="25"/>
      <c r="X76" s="25"/>
      <c r="Y76" s="25"/>
      <c r="Z76" s="25"/>
      <c r="AA76" s="25"/>
      <c r="AB76" s="25"/>
      <c r="AC76" s="25"/>
    </row>
    <row r="77">
      <c r="A77" s="41" t="str">
        <f>'DE ( Tarik barang retur )'!AC54</f>
        <v>AWBR-4-15-05-26-C01</v>
      </c>
      <c r="B77" s="37" t="str">
        <f>'DE ( Tarik barang retur )'!F54</f>
        <v>Apotek K24 Bintang Farma</v>
      </c>
      <c r="C77" s="42">
        <f>'DE ( Tarik barang retur )'!G54</f>
        <v>6.28177E+16</v>
      </c>
      <c r="D77" s="37" t="str">
        <f>'DE ( Tarik barang retur )'!H54</f>
        <v>Jl. Kincan raya No. 17C RT.001 RW.007 Kelurahan Jatibening,Kecamatan Pondok Gede,Kota Bekasi,Jawa Barat,17412</v>
      </c>
      <c r="E77" s="37" t="str">
        <f>'DE ( Tarik barang retur )'!D54</f>
        <v>TMP-4-15-05-2026</v>
      </c>
      <c r="F77" s="37" t="str">
        <f>'DE ( Tarik barang retur )'!R54</f>
        <v>TMP-4-15/05/2026Tarik Faktur/Total invoices =7</v>
      </c>
      <c r="G77" s="38">
        <f>'DE ( Tarik barang retur )'!AF54</f>
        <v>46161</v>
      </c>
      <c r="H77" s="39">
        <v>46162.0</v>
      </c>
      <c r="I77" s="39">
        <v>46162.0</v>
      </c>
      <c r="J77" s="40" t="s">
        <v>5294</v>
      </c>
      <c r="K77" s="40" t="s">
        <v>4807</v>
      </c>
      <c r="L77" s="25"/>
      <c r="M77" s="25"/>
      <c r="N77" s="25"/>
      <c r="O77" s="25"/>
      <c r="P77" s="25"/>
      <c r="Q77" s="25"/>
      <c r="R77" s="25"/>
      <c r="S77" s="25"/>
      <c r="T77" s="25"/>
      <c r="U77" s="25"/>
      <c r="V77" s="25"/>
      <c r="W77" s="25"/>
      <c r="X77" s="25"/>
      <c r="Y77" s="25"/>
      <c r="Z77" s="25"/>
      <c r="AA77" s="25"/>
      <c r="AB77" s="25"/>
      <c r="AC77" s="25"/>
    </row>
    <row r="78">
      <c r="A78" s="41" t="str">
        <f>'DE ( Tarik barang retur )'!AC55</f>
        <v>AWBR-334-15-05-26-C01</v>
      </c>
      <c r="B78" s="24" t="str">
        <f>'DE ( Tarik barang retur )'!F55</f>
        <v>Apotek Merapi</v>
      </c>
      <c r="C78" s="24">
        <f>'DE ( Tarik barang retur )'!G55</f>
        <v>2177833109</v>
      </c>
      <c r="D78" s="24" t="str">
        <f>'DE ( Tarik barang retur )'!H55</f>
        <v>Jalan Kejayaan Blok X No. 9 RT 006/ RW 012 Kelurahan Abadijaya, Kecamatan Sukmajaya Kota Depok 16417</v>
      </c>
      <c r="E78" s="24" t="str">
        <f>'DE ( Tarik barang retur )'!D55</f>
        <v>TMP-334-15-05-2026</v>
      </c>
      <c r="F78" s="24" t="str">
        <f>'DE ( Tarik barang retur )'!R55</f>
        <v>TMP-334-15/05/2026Tarik Faktur/Total invoices =6</v>
      </c>
      <c r="G78" s="36">
        <f>'DE ( Tarik barang retur )'!AF55</f>
        <v>46161</v>
      </c>
      <c r="H78" s="22">
        <v>46163.0</v>
      </c>
      <c r="I78" s="22">
        <v>46164.0</v>
      </c>
      <c r="J78" s="21" t="s">
        <v>5294</v>
      </c>
      <c r="K78" s="24"/>
      <c r="L78" s="25"/>
      <c r="M78" s="25"/>
      <c r="N78" s="25"/>
      <c r="O78" s="25"/>
      <c r="P78" s="25"/>
      <c r="Q78" s="25"/>
      <c r="R78" s="25"/>
      <c r="S78" s="25"/>
      <c r="T78" s="25"/>
      <c r="U78" s="25"/>
      <c r="V78" s="25"/>
      <c r="W78" s="25"/>
      <c r="X78" s="25"/>
      <c r="Y78" s="25"/>
      <c r="Z78" s="25"/>
      <c r="AA78" s="25"/>
      <c r="AB78" s="25"/>
      <c r="AC78" s="25"/>
    </row>
    <row r="79">
      <c r="A79" s="41" t="str">
        <f>'DE ( Tarik barang retur )'!AC56</f>
        <v>AWBR-734-15-05-26-C01</v>
      </c>
      <c r="B79" s="24" t="str">
        <f>'DE ( Tarik barang retur )'!F56</f>
        <v>Apotek Amandara</v>
      </c>
      <c r="C79" s="24">
        <f>'DE ( Tarik barang retur )'!G56</f>
        <v>8121925699</v>
      </c>
      <c r="D79" s="24" t="str">
        <f>'DE ( Tarik barang retur )'!H56</f>
        <v>Jalan Siliwangi No.3 Kelurahan Depok, Kecamatan Pancoranmas, Kota Depok 16431</v>
      </c>
      <c r="E79" s="24" t="str">
        <f>'DE ( Tarik barang retur )'!D56</f>
        <v>TMP-734-15-05-2026</v>
      </c>
      <c r="F79" s="24" t="str">
        <f>'DE ( Tarik barang retur )'!R56</f>
        <v>TMP-734-15/05/2026Tarik Faktur/Total invoices =6</v>
      </c>
      <c r="G79" s="36">
        <f>'DE ( Tarik barang retur )'!AF56</f>
        <v>46161</v>
      </c>
      <c r="H79" s="22">
        <v>46165.0</v>
      </c>
      <c r="I79" s="22">
        <v>46166.0</v>
      </c>
      <c r="J79" s="21" t="s">
        <v>5294</v>
      </c>
      <c r="K79" s="24"/>
      <c r="L79" s="25"/>
      <c r="M79" s="25"/>
      <c r="N79" s="25"/>
      <c r="O79" s="25"/>
      <c r="P79" s="25"/>
      <c r="Q79" s="25"/>
      <c r="R79" s="25"/>
      <c r="S79" s="25"/>
      <c r="T79" s="25"/>
      <c r="U79" s="25"/>
      <c r="V79" s="25"/>
      <c r="W79" s="25"/>
      <c r="X79" s="25"/>
      <c r="Y79" s="25"/>
      <c r="Z79" s="25"/>
      <c r="AA79" s="25"/>
      <c r="AB79" s="25"/>
      <c r="AC79" s="25"/>
    </row>
    <row r="80">
      <c r="A80" s="41" t="str">
        <f>'DE ( Tarik barang retur )'!AC57</f>
        <v>AWBR-13059-15-05-26-C01</v>
      </c>
      <c r="B80" s="37" t="str">
        <f>'DE ( Tarik barang retur )'!F57</f>
        <v>Apotek K24 Jatirahayu Jatirahayu Pondok Melati</v>
      </c>
      <c r="C80" s="42">
        <f>'DE ( Tarik barang retur )'!G57</f>
        <v>6.28228E+17</v>
      </c>
      <c r="D80" s="37" t="str">
        <f>'DE ( Tarik barang retur )'!H57</f>
        <v>Jl Raya Hankam No. 114 Kel. Jatirahayu Kec. Pondok Melati Kota Bekasi</v>
      </c>
      <c r="E80" s="37" t="str">
        <f>'DE ( Tarik barang retur )'!D57</f>
        <v>TMP-13059-15-05-2026</v>
      </c>
      <c r="F80" s="37" t="str">
        <f>'DE ( Tarik barang retur )'!R57</f>
        <v>TMP-13059-15/05/2026Tarik Faktur/Total invoices =6</v>
      </c>
      <c r="G80" s="38">
        <f>'DE ( Tarik barang retur )'!AF57</f>
        <v>46161</v>
      </c>
      <c r="H80" s="39">
        <v>46161.0</v>
      </c>
      <c r="I80" s="39">
        <v>46162.0</v>
      </c>
      <c r="J80" s="40" t="s">
        <v>5294</v>
      </c>
      <c r="K80" s="40" t="s">
        <v>4807</v>
      </c>
      <c r="L80" s="25"/>
      <c r="M80" s="25"/>
      <c r="N80" s="25"/>
      <c r="O80" s="25"/>
      <c r="P80" s="25"/>
      <c r="Q80" s="25"/>
      <c r="R80" s="25"/>
      <c r="S80" s="25"/>
      <c r="T80" s="25"/>
      <c r="U80" s="25"/>
      <c r="V80" s="25"/>
      <c r="W80" s="25"/>
      <c r="X80" s="25"/>
      <c r="Y80" s="25"/>
      <c r="Z80" s="25"/>
      <c r="AA80" s="25"/>
      <c r="AB80" s="25"/>
      <c r="AC80" s="25"/>
    </row>
    <row r="81">
      <c r="A81" s="41" t="str">
        <f>'DE ( Tarik barang retur )'!AC58</f>
        <v>AWBR-10722-15-05-26-C01</v>
      </c>
      <c r="B81" s="37" t="str">
        <f>'DE ( Tarik barang retur )'!F58</f>
        <v>Apotek Fikri Setu Cipayung</v>
      </c>
      <c r="C81" s="42">
        <f>'DE ( Tarik barang retur )'!G58</f>
        <v>6.28177E+16</v>
      </c>
      <c r="D81" s="37" t="str">
        <f>'DE ( Tarik barang retur )'!H58</f>
        <v>Jalan Terusan Mabes Hankam RT 007 RW 004, Desa/Kelurahan Setu, Kecamatan Cipayung, Kota Administrasi Jakarta Timur, DKI Jakarta 13880</v>
      </c>
      <c r="E81" s="37" t="str">
        <f>'DE ( Tarik barang retur )'!D58</f>
        <v>TMP-10722-15-05-2026</v>
      </c>
      <c r="F81" s="37" t="str">
        <f>'DE ( Tarik barang retur )'!R58</f>
        <v>TMP-10722-15/05/2026Tarik Faktur/Total invoices =6</v>
      </c>
      <c r="G81" s="38">
        <f>'DE ( Tarik barang retur )'!AF58</f>
        <v>46161</v>
      </c>
      <c r="H81" s="39">
        <v>46162.0</v>
      </c>
      <c r="I81" s="39">
        <v>46162.0</v>
      </c>
      <c r="J81" s="40" t="s">
        <v>5294</v>
      </c>
      <c r="K81" s="40" t="s">
        <v>4807</v>
      </c>
      <c r="L81" s="25"/>
      <c r="M81" s="25"/>
      <c r="N81" s="25"/>
      <c r="O81" s="25"/>
      <c r="P81" s="25"/>
      <c r="Q81" s="25"/>
      <c r="R81" s="25"/>
      <c r="S81" s="25"/>
      <c r="T81" s="25"/>
      <c r="U81" s="25"/>
      <c r="V81" s="25"/>
      <c r="W81" s="25"/>
      <c r="X81" s="25"/>
      <c r="Y81" s="25"/>
      <c r="Z81" s="25"/>
      <c r="AA81" s="25"/>
      <c r="AB81" s="25"/>
      <c r="AC81" s="25"/>
    </row>
    <row r="82">
      <c r="A82" s="41" t="str">
        <f>'DE ( Tarik barang retur )'!AC59</f>
        <v>AWBR-1854-15-05-26-C01</v>
      </c>
      <c r="B82" s="24" t="str">
        <f>'DE ( Tarik barang retur )'!F59</f>
        <v>Apotek Hankam</v>
      </c>
      <c r="C82" s="24">
        <f>'DE ( Tarik barang retur )'!G59</f>
        <v>8118161089</v>
      </c>
      <c r="D82" s="24" t="str">
        <f>'DE ( Tarik barang retur )'!H59</f>
        <v>Jalan Raya Hankam No.65 RT 002 RW 007 Kelurahan Jatiwarna Kecamatan Pondok Melati Kota Bekasi 17415</v>
      </c>
      <c r="E82" s="24" t="str">
        <f>'DE ( Tarik barang retur )'!D59</f>
        <v>TMP-1854-15-05-2026</v>
      </c>
      <c r="F82" s="24" t="str">
        <f>'DE ( Tarik barang retur )'!R59</f>
        <v>TMP-1854-15/05/2026Tarik Faktur/Total invoices =6</v>
      </c>
      <c r="G82" s="36">
        <f>'DE ( Tarik barang retur )'!AF59</f>
        <v>46161</v>
      </c>
      <c r="H82" s="22">
        <v>46163.0</v>
      </c>
      <c r="I82" s="22">
        <v>46163.0</v>
      </c>
      <c r="J82" s="21" t="s">
        <v>5294</v>
      </c>
      <c r="K82" s="24"/>
      <c r="L82" s="25"/>
      <c r="M82" s="25"/>
      <c r="N82" s="25"/>
      <c r="O82" s="25"/>
      <c r="P82" s="25"/>
      <c r="Q82" s="25"/>
      <c r="R82" s="25"/>
      <c r="S82" s="25"/>
      <c r="T82" s="25"/>
      <c r="U82" s="25"/>
      <c r="V82" s="25"/>
      <c r="W82" s="25"/>
      <c r="X82" s="25"/>
      <c r="Y82" s="25"/>
      <c r="Z82" s="25"/>
      <c r="AA82" s="25"/>
      <c r="AB82" s="25"/>
      <c r="AC82" s="25"/>
    </row>
    <row r="83">
      <c r="A83" s="41" t="str">
        <f>'DE ( Tarik barang retur )'!AC60</f>
        <v>AWBR-12876-15-05-26-C01</v>
      </c>
      <c r="B83" s="24" t="str">
        <f>'DE ( Tarik barang retur )'!F60</f>
        <v>Apotek Karunia Sejahtera Jatimurni Pondok Melati</v>
      </c>
      <c r="C83" s="35">
        <f>'DE ( Tarik barang retur )'!G60</f>
        <v>6.28588E+17</v>
      </c>
      <c r="D83" s="24" t="str">
        <f>'DE ( Tarik barang retur )'!H60</f>
        <v>Jl. Raya Kampung Sawah No. 2 RT. 007 RW. 001 Desa/Kelurahan Jatimurni, Kec. Pondokmelati, Kota Bekasi</v>
      </c>
      <c r="E83" s="24" t="str">
        <f>'DE ( Tarik barang retur )'!D60</f>
        <v>TMP-12876-15-05-2026</v>
      </c>
      <c r="F83" s="24" t="str">
        <f>'DE ( Tarik barang retur )'!R60</f>
        <v>TMP-12876-15/05/2026Tarik Faktur/Total invoices =6</v>
      </c>
      <c r="G83" s="36">
        <f>'DE ( Tarik barang retur )'!AF60</f>
        <v>46161</v>
      </c>
      <c r="H83" s="22">
        <v>46163.0</v>
      </c>
      <c r="I83" s="22">
        <v>46163.0</v>
      </c>
      <c r="J83" s="21" t="s">
        <v>5294</v>
      </c>
      <c r="K83" s="24"/>
      <c r="L83" s="25"/>
      <c r="M83" s="25"/>
      <c r="N83" s="25"/>
      <c r="O83" s="25"/>
      <c r="P83" s="25"/>
      <c r="Q83" s="25"/>
      <c r="R83" s="25"/>
      <c r="S83" s="25"/>
      <c r="T83" s="25"/>
      <c r="U83" s="25"/>
      <c r="V83" s="25"/>
      <c r="W83" s="25"/>
      <c r="X83" s="25"/>
      <c r="Y83" s="25"/>
      <c r="Z83" s="25"/>
      <c r="AA83" s="25"/>
      <c r="AB83" s="25"/>
      <c r="AC83" s="25"/>
    </row>
    <row r="84">
      <c r="A84" s="41" t="str">
        <f>'DE ( Tarik barang retur )'!AC61</f>
        <v>AWBR-11877-15-05-26-C01</v>
      </c>
      <c r="B84" s="24" t="str">
        <f>'DE ( Tarik barang retur )'!F61</f>
        <v>Apotek Fit 24 Sukatani Tapos</v>
      </c>
      <c r="C84" s="35">
        <f>'DE ( Tarik barang retur )'!G61</f>
        <v>6.2814E+16</v>
      </c>
      <c r="D84" s="24" t="str">
        <f>'DE ( Tarik barang retur )'!H61</f>
        <v>Ruko Khireni green View, Jl Raya Ciherang RT 003 RW 006 Kel. Sukatani Kec. Tapos Kota Depok</v>
      </c>
      <c r="E84" s="24" t="str">
        <f>'DE ( Tarik barang retur )'!D61</f>
        <v>TMP-11877-15-05-2026</v>
      </c>
      <c r="F84" s="24" t="str">
        <f>'DE ( Tarik barang retur )'!R61</f>
        <v>TMP-11877-15/05/2026Tarik Faktur/Total invoices =6</v>
      </c>
      <c r="G84" s="36">
        <f>'DE ( Tarik barang retur )'!AF61</f>
        <v>46161</v>
      </c>
      <c r="H84" s="22">
        <v>46163.0</v>
      </c>
      <c r="I84" s="22">
        <v>46164.0</v>
      </c>
      <c r="J84" s="21" t="s">
        <v>5294</v>
      </c>
      <c r="K84" s="24"/>
      <c r="L84" s="25"/>
      <c r="M84" s="25"/>
      <c r="N84" s="25"/>
      <c r="O84" s="25"/>
      <c r="P84" s="25"/>
      <c r="Q84" s="25"/>
      <c r="R84" s="25"/>
      <c r="S84" s="25"/>
      <c r="T84" s="25"/>
      <c r="U84" s="25"/>
      <c r="V84" s="25"/>
      <c r="W84" s="25"/>
      <c r="X84" s="25"/>
      <c r="Y84" s="25"/>
      <c r="Z84" s="25"/>
      <c r="AA84" s="25"/>
      <c r="AB84" s="25"/>
      <c r="AC84" s="25"/>
    </row>
    <row r="85">
      <c r="A85" s="41" t="str">
        <f>'DE ( Tarik barang retur )'!AC62</f>
        <v>AWBR-783-15-05-26-C01</v>
      </c>
      <c r="B85" s="24" t="str">
        <f>'DE ( Tarik barang retur )'!F62</f>
        <v>Klinik Pratama Ihsan Medika</v>
      </c>
      <c r="C85" s="24">
        <f>'DE ( Tarik barang retur )'!G62</f>
        <v>2187745671</v>
      </c>
      <c r="D85" s="24" t="str">
        <f>'DE ( Tarik barang retur )'!H62</f>
        <v>Jalan Kapitan No. 22 RT. 003 RW. 004 Kelurahan Sukatani, Kecamatan Tapos, Kota Depok 16454</v>
      </c>
      <c r="E85" s="24" t="str">
        <f>'DE ( Tarik barang retur )'!D62</f>
        <v>TMP-783-15-05-2026</v>
      </c>
      <c r="F85" s="24" t="str">
        <f>'DE ( Tarik barang retur )'!R62</f>
        <v>TMP-783-15/05/2026Tarik Faktur/Total invoices =6</v>
      </c>
      <c r="G85" s="36">
        <f>'DE ( Tarik barang retur )'!AF62</f>
        <v>46161</v>
      </c>
      <c r="H85" s="22">
        <v>46165.0</v>
      </c>
      <c r="I85" s="22">
        <v>46166.0</v>
      </c>
      <c r="J85" s="21" t="s">
        <v>5294</v>
      </c>
      <c r="K85" s="24"/>
      <c r="L85" s="25"/>
      <c r="M85" s="25"/>
      <c r="N85" s="25"/>
      <c r="O85" s="25"/>
      <c r="P85" s="25"/>
      <c r="Q85" s="25"/>
      <c r="R85" s="25"/>
      <c r="S85" s="25"/>
      <c r="T85" s="25"/>
      <c r="U85" s="25"/>
      <c r="V85" s="25"/>
      <c r="W85" s="25"/>
      <c r="X85" s="25"/>
      <c r="Y85" s="25"/>
      <c r="Z85" s="25"/>
      <c r="AA85" s="25"/>
      <c r="AB85" s="25"/>
      <c r="AC85" s="25"/>
    </row>
    <row r="86">
      <c r="A86" s="41" t="str">
        <f>'DE ( Tarik barang retur )'!AC63</f>
        <v>AWBR-1442-15-05-26-C01</v>
      </c>
      <c r="B86" s="37" t="str">
        <f>'DE ( Tarik barang retur )'!F63</f>
        <v>Apotek Faisal</v>
      </c>
      <c r="C86" s="37">
        <f>'DE ( Tarik barang retur )'!G63</f>
        <v>87773506955</v>
      </c>
      <c r="D86" s="37" t="str">
        <f>'DE ( Tarik barang retur )'!H63</f>
        <v>Jalan Tawangmangu Raya Blok C2 No. 4 RT 19 RW 07 Kelurahan Jati Cempaka Kecamatan Pondok Gede Kota Bekasi 17411</v>
      </c>
      <c r="E86" s="37" t="str">
        <f>'DE ( Tarik barang retur )'!D63</f>
        <v>TMP-1442-15-05-2026</v>
      </c>
      <c r="F86" s="37" t="str">
        <f>'DE ( Tarik barang retur )'!R63</f>
        <v>TMP-1442-15/05/2026Tarik Faktur/Total invoices =6</v>
      </c>
      <c r="G86" s="38">
        <f>'DE ( Tarik barang retur )'!AF63</f>
        <v>46161</v>
      </c>
      <c r="H86" s="39">
        <v>46162.0</v>
      </c>
      <c r="I86" s="39">
        <v>46162.0</v>
      </c>
      <c r="J86" s="40" t="s">
        <v>5294</v>
      </c>
      <c r="K86" s="40" t="s">
        <v>4807</v>
      </c>
      <c r="L86" s="25"/>
      <c r="M86" s="25"/>
      <c r="N86" s="25"/>
      <c r="O86" s="25"/>
      <c r="P86" s="25"/>
      <c r="Q86" s="25"/>
      <c r="R86" s="25"/>
      <c r="S86" s="25"/>
      <c r="T86" s="25"/>
      <c r="U86" s="25"/>
      <c r="V86" s="25"/>
      <c r="W86" s="25"/>
      <c r="X86" s="25"/>
      <c r="Y86" s="25"/>
      <c r="Z86" s="25"/>
      <c r="AA86" s="25"/>
      <c r="AB86" s="25"/>
      <c r="AC86" s="25"/>
    </row>
    <row r="87">
      <c r="A87" s="41" t="str">
        <f>'DE ( Tarik barang retur )'!AC64</f>
        <v>AWBR-1518-15-05-26-C01</v>
      </c>
      <c r="B87" s="24" t="str">
        <f>'DE ( Tarik barang retur )'!F64</f>
        <v>Apotek Kita Farma 1518</v>
      </c>
      <c r="C87" s="24">
        <f>'DE ( Tarik barang retur )'!G64</f>
        <v>8128117428</v>
      </c>
      <c r="D87" s="24" t="str">
        <f>'DE ( Tarik barang retur )'!H64</f>
        <v>Jalan Swakarsa Raya No. 22 RT.03 RW.04 Desa Jatibening Baru, Kecamatan Pondokgede, Kota Bekasi, Jawa Barat 17412</v>
      </c>
      <c r="E87" s="24" t="str">
        <f>'DE ( Tarik barang retur )'!D64</f>
        <v>TMP-1518-15-05-2026</v>
      </c>
      <c r="F87" s="24" t="str">
        <f>'DE ( Tarik barang retur )'!R64</f>
        <v>TMP-1518-15/05/2026Tarik Faktur/Total invoices =6</v>
      </c>
      <c r="G87" s="36">
        <f>'DE ( Tarik barang retur )'!AF64</f>
        <v>46161</v>
      </c>
      <c r="H87" s="22">
        <v>46163.0</v>
      </c>
      <c r="I87" s="22">
        <v>46163.0</v>
      </c>
      <c r="J87" s="21" t="s">
        <v>5294</v>
      </c>
      <c r="K87" s="24"/>
      <c r="L87" s="25"/>
      <c r="M87" s="25"/>
      <c r="N87" s="25"/>
      <c r="O87" s="25"/>
      <c r="P87" s="25"/>
      <c r="Q87" s="25"/>
      <c r="R87" s="25"/>
      <c r="S87" s="25"/>
      <c r="T87" s="25"/>
      <c r="U87" s="25"/>
      <c r="V87" s="25"/>
      <c r="W87" s="25"/>
      <c r="X87" s="25"/>
      <c r="Y87" s="25"/>
      <c r="Z87" s="25"/>
      <c r="AA87" s="25"/>
      <c r="AB87" s="25"/>
      <c r="AC87" s="25"/>
    </row>
    <row r="88">
      <c r="A88" s="41" t="str">
        <f>'DE ( Tarik barang retur )'!AC65</f>
        <v>AWBR-12487-15-05-26-C01</v>
      </c>
      <c r="B88" s="24" t="str">
        <f>'DE ( Tarik barang retur )'!F65</f>
        <v>Apotek Heka Mekarsari Cimanggis</v>
      </c>
      <c r="C88" s="35">
        <f>'DE ( Tarik barang retur )'!G65</f>
        <v>6.28954E+18</v>
      </c>
      <c r="D88" s="24" t="str">
        <f>'DE ( Tarik barang retur )'!H65</f>
        <v>Jalan Raya Jakarta Bogor no 10, Desa/Kel. Mekarsari, Kec. Cimanggis, Kota Depok</v>
      </c>
      <c r="E88" s="24" t="str">
        <f>'DE ( Tarik barang retur )'!D65</f>
        <v>TMP-12487-15-05-2026</v>
      </c>
      <c r="F88" s="24" t="str">
        <f>'DE ( Tarik barang retur )'!R65</f>
        <v>TMP-12487-15/05/2026Tarik Faktur/Total invoices =5</v>
      </c>
      <c r="G88" s="36">
        <f>'DE ( Tarik barang retur )'!AF65</f>
        <v>46161</v>
      </c>
      <c r="H88" s="22">
        <v>46161.0</v>
      </c>
      <c r="I88" s="22">
        <v>46162.0</v>
      </c>
      <c r="J88" s="21" t="s">
        <v>5294</v>
      </c>
      <c r="K88" s="24"/>
      <c r="L88" s="25"/>
      <c r="M88" s="25"/>
      <c r="N88" s="25"/>
      <c r="O88" s="25"/>
      <c r="P88" s="25"/>
      <c r="Q88" s="25"/>
      <c r="R88" s="25"/>
      <c r="S88" s="25"/>
      <c r="T88" s="25"/>
      <c r="U88" s="25"/>
      <c r="V88" s="25"/>
      <c r="W88" s="25"/>
      <c r="X88" s="25"/>
      <c r="Y88" s="25"/>
      <c r="Z88" s="25"/>
      <c r="AA88" s="25"/>
      <c r="AB88" s="25"/>
      <c r="AC88" s="25"/>
    </row>
    <row r="89">
      <c r="A89" s="41" t="str">
        <f>'DE ( Tarik barang retur )'!AC66</f>
        <v>AWBR-16212-15-05-26-C01</v>
      </c>
      <c r="B89" s="24" t="str">
        <f>'DE ( Tarik barang retur )'!F66</f>
        <v>Apotek Sentra Medika Jatirahayu Pondok Melati</v>
      </c>
      <c r="C89" s="35">
        <f>'DE ( Tarik barang retur )'!G66</f>
        <v>6.28521E+17</v>
      </c>
      <c r="D89" s="24" t="str">
        <f>'DE ( Tarik barang retur )'!H66</f>
        <v>Jl. Raya Kecapi Kav. A-03, Kel. Jatirahayu Kec. Pondok Melati, Kota Bekasi</v>
      </c>
      <c r="E89" s="24" t="str">
        <f>'DE ( Tarik barang retur )'!D66</f>
        <v>TMP-16212-15-05-2026</v>
      </c>
      <c r="F89" s="24" t="str">
        <f>'DE ( Tarik barang retur )'!R66</f>
        <v>TMP-16212-15/05/2026Tarik Faktur/Total invoices =5</v>
      </c>
      <c r="G89" s="36">
        <f>'DE ( Tarik barang retur )'!AF66</f>
        <v>46161</v>
      </c>
      <c r="H89" s="22">
        <v>46161.0</v>
      </c>
      <c r="I89" s="22">
        <v>46162.0</v>
      </c>
      <c r="J89" s="21" t="s">
        <v>5294</v>
      </c>
      <c r="K89" s="24"/>
      <c r="L89" s="25"/>
      <c r="M89" s="25"/>
      <c r="N89" s="25"/>
      <c r="O89" s="25"/>
      <c r="P89" s="25"/>
      <c r="Q89" s="25"/>
      <c r="R89" s="25"/>
      <c r="S89" s="25"/>
      <c r="T89" s="25"/>
      <c r="U89" s="25"/>
      <c r="V89" s="25"/>
      <c r="W89" s="25"/>
      <c r="X89" s="25"/>
      <c r="Y89" s="25"/>
      <c r="Z89" s="25"/>
      <c r="AA89" s="25"/>
      <c r="AB89" s="25"/>
      <c r="AC89" s="25"/>
    </row>
    <row r="90">
      <c r="A90" s="41" t="str">
        <f>'DE ( Tarik barang retur )'!AC67</f>
        <v>AWBR-15120-15-05-26-C01</v>
      </c>
      <c r="B90" s="24" t="str">
        <f>'DE ( Tarik barang retur )'!F67</f>
        <v>Apotek Bersama Plus Jatimulya Cilodong</v>
      </c>
      <c r="C90" s="35">
        <f>'DE ( Tarik barang retur )'!G67</f>
        <v>6.28528E+17</v>
      </c>
      <c r="D90" s="24" t="str">
        <f>'DE ( Tarik barang retur )'!H67</f>
        <v>Jalan Pondok Rajeg RT 01 RW 01 NO 79, Desa/Kelurahan Jatimulya, Kec. Cilodong, Kota Depok, Provinsi Jawa Barat,</v>
      </c>
      <c r="E90" s="24" t="str">
        <f>'DE ( Tarik barang retur )'!D67</f>
        <v>TMP-15120-15-05-2026</v>
      </c>
      <c r="F90" s="24" t="str">
        <f>'DE ( Tarik barang retur )'!R67</f>
        <v>TMP-15120-15/05/2026Tarik Faktur/Total invoices =5</v>
      </c>
      <c r="G90" s="36">
        <f>'DE ( Tarik barang retur )'!AF67</f>
        <v>46161</v>
      </c>
      <c r="H90" s="22">
        <v>46161.0</v>
      </c>
      <c r="I90" s="22">
        <v>46162.0</v>
      </c>
      <c r="J90" s="21" t="s">
        <v>5294</v>
      </c>
      <c r="K90" s="24"/>
      <c r="L90" s="25"/>
      <c r="M90" s="25"/>
      <c r="N90" s="25"/>
      <c r="O90" s="25"/>
      <c r="P90" s="25"/>
      <c r="Q90" s="25"/>
      <c r="R90" s="25"/>
      <c r="S90" s="25"/>
      <c r="T90" s="25"/>
      <c r="U90" s="25"/>
      <c r="V90" s="25"/>
      <c r="W90" s="25"/>
      <c r="X90" s="25"/>
      <c r="Y90" s="25"/>
      <c r="Z90" s="25"/>
      <c r="AA90" s="25"/>
      <c r="AB90" s="25"/>
      <c r="AC90" s="25"/>
    </row>
    <row r="91">
      <c r="A91" s="41" t="str">
        <f>'DE ( Tarik barang retur )'!AC68</f>
        <v>AWBR-1324-15-05-26-C01</v>
      </c>
      <c r="B91" s="24" t="str">
        <f>'DE ( Tarik barang retur )'!F68</f>
        <v>Apotek Zhafira</v>
      </c>
      <c r="C91" s="24">
        <f>'DE ( Tarik barang retur )'!G68</f>
        <v>85280814705</v>
      </c>
      <c r="D91" s="24" t="str">
        <f>'DE ( Tarik barang retur )'!H68</f>
        <v>Jalan Raya Keadilan RT 004 RW 009 Kelurahan Rangkapan Jaya Baru Kecamatan Pancoran Mas Depok 16431</v>
      </c>
      <c r="E91" s="24" t="str">
        <f>'DE ( Tarik barang retur )'!D68</f>
        <v>TMP-1324-15-05-2026</v>
      </c>
      <c r="F91" s="24" t="str">
        <f>'DE ( Tarik barang retur )'!R68</f>
        <v>TMP-1324-15/05/2026Tarik Faktur/Total invoices =5</v>
      </c>
      <c r="G91" s="36">
        <f>'DE ( Tarik barang retur )'!AF68</f>
        <v>46161</v>
      </c>
      <c r="H91" s="22">
        <v>46163.0</v>
      </c>
      <c r="I91" s="22">
        <v>46164.0</v>
      </c>
      <c r="J91" s="21" t="s">
        <v>5294</v>
      </c>
      <c r="K91" s="24"/>
      <c r="L91" s="25"/>
      <c r="M91" s="25"/>
      <c r="N91" s="25"/>
      <c r="O91" s="25"/>
      <c r="P91" s="25"/>
      <c r="Q91" s="25"/>
      <c r="R91" s="25"/>
      <c r="S91" s="25"/>
      <c r="T91" s="25"/>
      <c r="U91" s="25"/>
      <c r="V91" s="25"/>
      <c r="W91" s="25"/>
      <c r="X91" s="25"/>
      <c r="Y91" s="25"/>
      <c r="Z91" s="25"/>
      <c r="AA91" s="25"/>
      <c r="AB91" s="25"/>
      <c r="AC91" s="25"/>
    </row>
    <row r="92">
      <c r="A92" s="41" t="str">
        <f>'DE ( Tarik barang retur )'!AC69</f>
        <v>AWBR-994-15-05-26-C01</v>
      </c>
      <c r="B92" s="24" t="str">
        <f>'DE ( Tarik barang retur )'!F69</f>
        <v>Apotek Guna Sehat</v>
      </c>
      <c r="C92" s="35">
        <f>'DE ( Tarik barang retur )'!G69</f>
        <v>6.28954E+18</v>
      </c>
      <c r="D92" s="24" t="str">
        <f>'DE ( Tarik barang retur )'!H69</f>
        <v>Jalan Raya Pondok Gede 50 A Kav 4-5 Kelurahan Jatirahayu Kecamatan Pondok Melati Bekasi Jawa Barat 17414</v>
      </c>
      <c r="E92" s="24" t="str">
        <f>'DE ( Tarik barang retur )'!D69</f>
        <v>TMP-994-15-05-2026</v>
      </c>
      <c r="F92" s="24" t="str">
        <f>'DE ( Tarik barang retur )'!R69</f>
        <v>TMP-994-15/05/2026Tarik Faktur/Total invoices =5</v>
      </c>
      <c r="G92" s="36">
        <f>'DE ( Tarik barang retur )'!AF69</f>
        <v>46161</v>
      </c>
      <c r="H92" s="22">
        <v>46163.0</v>
      </c>
      <c r="I92" s="22">
        <v>46163.0</v>
      </c>
      <c r="J92" s="21" t="s">
        <v>5294</v>
      </c>
      <c r="K92" s="24"/>
      <c r="L92" s="25"/>
      <c r="M92" s="25"/>
      <c r="N92" s="25"/>
      <c r="O92" s="25"/>
      <c r="P92" s="25"/>
      <c r="Q92" s="25"/>
      <c r="R92" s="25"/>
      <c r="S92" s="25"/>
      <c r="T92" s="25"/>
      <c r="U92" s="25"/>
      <c r="V92" s="25"/>
      <c r="W92" s="25"/>
      <c r="X92" s="25"/>
      <c r="Y92" s="25"/>
      <c r="Z92" s="25"/>
      <c r="AA92" s="25"/>
      <c r="AB92" s="25"/>
      <c r="AC92" s="25"/>
    </row>
    <row r="93">
      <c r="A93" s="41" t="str">
        <f>'DE ( Tarik barang retur )'!AC70</f>
        <v>AWBR-721-15-05-26-C01</v>
      </c>
      <c r="B93" s="24" t="str">
        <f>'DE ( Tarik barang retur )'!F70</f>
        <v>Apotek Pondok Melati</v>
      </c>
      <c r="C93" s="24">
        <f>'DE ( Tarik barang retur )'!G70</f>
        <v>8159570900</v>
      </c>
      <c r="D93" s="24" t="str">
        <f>'DE ( Tarik barang retur )'!H70</f>
        <v>Jalan Raya Hankam No.41 Kelurahan Jatimelati, Kecamatan Pondok Melati, Kota Bekasi 17414</v>
      </c>
      <c r="E93" s="24" t="str">
        <f>'DE ( Tarik barang retur )'!D70</f>
        <v>TMP-721-15-05-2026</v>
      </c>
      <c r="F93" s="24" t="str">
        <f>'DE ( Tarik barang retur )'!R70</f>
        <v>TMP-721-15/05/2026Tarik Faktur/Total invoices =5</v>
      </c>
      <c r="G93" s="36">
        <f>'DE ( Tarik barang retur )'!AF70</f>
        <v>46161</v>
      </c>
      <c r="H93" s="22">
        <v>46163.0</v>
      </c>
      <c r="I93" s="22">
        <v>46163.0</v>
      </c>
      <c r="J93" s="21" t="s">
        <v>5294</v>
      </c>
      <c r="K93" s="24"/>
      <c r="L93" s="25"/>
      <c r="M93" s="25"/>
      <c r="N93" s="25"/>
      <c r="O93" s="25"/>
      <c r="P93" s="25"/>
      <c r="Q93" s="25"/>
      <c r="R93" s="25"/>
      <c r="S93" s="25"/>
      <c r="T93" s="25"/>
      <c r="U93" s="25"/>
      <c r="V93" s="25"/>
      <c r="W93" s="25"/>
      <c r="X93" s="25"/>
      <c r="Y93" s="25"/>
      <c r="Z93" s="25"/>
      <c r="AA93" s="25"/>
      <c r="AB93" s="25"/>
      <c r="AC93" s="25"/>
    </row>
    <row r="94">
      <c r="A94" s="41" t="str">
        <f>'DE ( Tarik barang retur )'!AC71</f>
        <v>AWBR-16836-15-05-26-C01</v>
      </c>
      <c r="B94" s="24" t="str">
        <f>'DE ( Tarik barang retur )'!F71</f>
        <v>Apotek Aura Jatibening Pondokgede</v>
      </c>
      <c r="C94" s="35">
        <f>'DE ( Tarik barang retur )'!G71</f>
        <v>6.28122E+17</v>
      </c>
      <c r="D94" s="24" t="str">
        <f>'DE ( Tarik barang retur )'!H71</f>
        <v>Jl. Raya Jatibening Estate No. 34, Kel.Jatibening, Kec. Pondok Gede, Kota Bekasi</v>
      </c>
      <c r="E94" s="24" t="str">
        <f>'DE ( Tarik barang retur )'!D71</f>
        <v>TMP-16836-15-05-2026</v>
      </c>
      <c r="F94" s="24" t="str">
        <f>'DE ( Tarik barang retur )'!R71</f>
        <v>TMP-16836-15/05/2026Tarik Faktur/Total invoices =5</v>
      </c>
      <c r="G94" s="36">
        <f>'DE ( Tarik barang retur )'!AF71</f>
        <v>46161</v>
      </c>
      <c r="H94" s="22">
        <v>46162.0</v>
      </c>
      <c r="I94" s="22">
        <v>46162.0</v>
      </c>
      <c r="J94" s="21" t="s">
        <v>5294</v>
      </c>
      <c r="K94" s="24"/>
      <c r="L94" s="25"/>
      <c r="M94" s="25"/>
      <c r="N94" s="25"/>
      <c r="O94" s="25"/>
      <c r="P94" s="25"/>
      <c r="Q94" s="25"/>
      <c r="R94" s="25"/>
      <c r="S94" s="25"/>
      <c r="T94" s="25"/>
      <c r="U94" s="25"/>
      <c r="V94" s="25"/>
      <c r="W94" s="25"/>
      <c r="X94" s="25"/>
      <c r="Y94" s="25"/>
      <c r="Z94" s="25"/>
      <c r="AA94" s="25"/>
      <c r="AB94" s="25"/>
      <c r="AC94" s="25"/>
    </row>
    <row r="95">
      <c r="A95" s="41" t="str">
        <f>'DE ( Tarik barang retur )'!AC72</f>
        <v>AWBR-1091-15-05-26-C01</v>
      </c>
      <c r="B95" s="24" t="str">
        <f>'DE ( Tarik barang retur )'!F72</f>
        <v>Apotek Harrison Pasir Angin</v>
      </c>
      <c r="C95" s="24">
        <f>'DE ( Tarik barang retur )'!G72</f>
        <v>82125602710</v>
      </c>
      <c r="D95" s="24" t="str">
        <f>'DE ( Tarik barang retur )'!H72</f>
        <v>Kampung Cinyosog RT 001 RW 001 Desa Pasir Angin Kecamatan Cileungsi Kaupaten Bogor 16820</v>
      </c>
      <c r="E95" s="24" t="str">
        <f>'DE ( Tarik barang retur )'!D72</f>
        <v>TMP-1091-15-05-2026</v>
      </c>
      <c r="F95" s="24" t="str">
        <f>'DE ( Tarik barang retur )'!R72</f>
        <v>TMP-1091-15/05/2026Tarik Faktur/Total invoices =15</v>
      </c>
      <c r="G95" s="36">
        <f>'DE ( Tarik barang retur )'!AF72</f>
        <v>46161</v>
      </c>
      <c r="H95" s="22">
        <v>46161.0</v>
      </c>
      <c r="I95" s="22">
        <v>46162.0</v>
      </c>
      <c r="J95" s="21" t="s">
        <v>5294</v>
      </c>
      <c r="K95" s="24"/>
      <c r="L95" s="25"/>
      <c r="M95" s="25"/>
      <c r="N95" s="25"/>
      <c r="O95" s="25"/>
      <c r="P95" s="25"/>
      <c r="Q95" s="25"/>
      <c r="R95" s="25"/>
      <c r="S95" s="25"/>
      <c r="T95" s="25"/>
      <c r="U95" s="25"/>
      <c r="V95" s="25"/>
      <c r="W95" s="25"/>
      <c r="X95" s="25"/>
      <c r="Y95" s="25"/>
      <c r="Z95" s="25"/>
      <c r="AA95" s="25"/>
      <c r="AB95" s="25"/>
      <c r="AC95" s="25"/>
    </row>
    <row r="96">
      <c r="A96" s="41" t="str">
        <f>'DE ( Tarik barang retur )'!AC73</f>
        <v>AWBR-2288-15-05-26-C01</v>
      </c>
      <c r="B96" s="24" t="str">
        <f>'DE ( Tarik barang retur )'!F73</f>
        <v>Apotek Ainun</v>
      </c>
      <c r="C96" s="24">
        <f>'DE ( Tarik barang retur )'!G73</f>
        <v>81314522941</v>
      </c>
      <c r="D96" s="24" t="str">
        <f>'DE ( Tarik barang retur )'!H73</f>
        <v>Jalan Raya Parung Gunung Sindur No. 23 Desa Parung Kecamatan Parung Kabupaten Bogor 16330</v>
      </c>
      <c r="E96" s="24" t="str">
        <f>'DE ( Tarik barang retur )'!D73</f>
        <v>TMP-2288-15-05-2026</v>
      </c>
      <c r="F96" s="24" t="str">
        <f>'DE ( Tarik barang retur )'!R73</f>
        <v>TMP-2288-15/05/2026Tarik Faktur/Total invoices =9</v>
      </c>
      <c r="G96" s="36">
        <f>'DE ( Tarik barang retur )'!AF73</f>
        <v>46161</v>
      </c>
      <c r="H96" s="22">
        <v>46161.0</v>
      </c>
      <c r="I96" s="22">
        <v>46162.0</v>
      </c>
      <c r="J96" s="21" t="s">
        <v>5294</v>
      </c>
      <c r="K96" s="24"/>
      <c r="L96" s="25"/>
      <c r="M96" s="25"/>
      <c r="N96" s="25"/>
      <c r="O96" s="25"/>
      <c r="P96" s="25"/>
      <c r="Q96" s="25"/>
      <c r="R96" s="25"/>
      <c r="S96" s="25"/>
      <c r="T96" s="25"/>
      <c r="U96" s="25"/>
      <c r="V96" s="25"/>
      <c r="W96" s="25"/>
      <c r="X96" s="25"/>
      <c r="Y96" s="25"/>
      <c r="Z96" s="25"/>
      <c r="AA96" s="25"/>
      <c r="AB96" s="25"/>
      <c r="AC96" s="25"/>
    </row>
    <row r="97">
      <c r="A97" s="41" t="str">
        <f>'DE ( Tarik barang retur )'!AC74</f>
        <v>AWBR-1370-15-05-26-C01</v>
      </c>
      <c r="B97" s="24" t="str">
        <f>'DE ( Tarik barang retur )'!F74</f>
        <v>Apotek Mutiara Farma 1370</v>
      </c>
      <c r="C97" s="24">
        <f>'DE ( Tarik barang retur )'!G74</f>
        <v>817764000</v>
      </c>
      <c r="D97" s="24" t="str">
        <f>'DE ( Tarik barang retur )'!H74</f>
        <v>Ruko Bukit Cimanggu City Blok B1 No. 2a RT.007 RW.009 Kel. Cibadak, Kecamatan Tanah Sareal, Kota Bogor</v>
      </c>
      <c r="E97" s="24" t="str">
        <f>'DE ( Tarik barang retur )'!D74</f>
        <v>TMP-1370-15-05-2026</v>
      </c>
      <c r="F97" s="24" t="str">
        <f>'DE ( Tarik barang retur )'!R74</f>
        <v>TMP-1370-15/05/2026Tarik Faktur/Total invoices =9</v>
      </c>
      <c r="G97" s="36">
        <f>'DE ( Tarik barang retur )'!AF74</f>
        <v>46161</v>
      </c>
      <c r="H97" s="22">
        <v>46161.0</v>
      </c>
      <c r="I97" s="22">
        <v>46162.0</v>
      </c>
      <c r="J97" s="21" t="s">
        <v>5294</v>
      </c>
      <c r="K97" s="24"/>
      <c r="L97" s="25"/>
      <c r="M97" s="25"/>
      <c r="N97" s="25"/>
      <c r="O97" s="25"/>
      <c r="P97" s="25"/>
      <c r="Q97" s="25"/>
      <c r="R97" s="25"/>
      <c r="S97" s="25"/>
      <c r="T97" s="25"/>
      <c r="U97" s="25"/>
      <c r="V97" s="25"/>
      <c r="W97" s="25"/>
      <c r="X97" s="25"/>
      <c r="Y97" s="25"/>
      <c r="Z97" s="25"/>
      <c r="AA97" s="25"/>
      <c r="AB97" s="25"/>
      <c r="AC97" s="25"/>
    </row>
    <row r="98">
      <c r="A98" s="41" t="str">
        <f>'DE ( Tarik barang retur )'!AC75</f>
        <v>AWBR-10767-15-05-26-C01</v>
      </c>
      <c r="B98" s="24" t="str">
        <f>'DE ( Tarik barang retur )'!F75</f>
        <v>Apotek Mecca Cicadas Gunung Putri</v>
      </c>
      <c r="C98" s="35">
        <f>'DE ( Tarik barang retur )'!G75</f>
        <v>6.28588E+17</v>
      </c>
      <c r="D98" s="24" t="str">
        <f>'DE ( Tarik barang retur )'!H75</f>
        <v>Jl. Mercedes Benz RT 01 RW 03 Desa/Kel. Cicadas Kec. Gunung Putri Kab. Bogor 16964</v>
      </c>
      <c r="E98" s="24" t="str">
        <f>'DE ( Tarik barang retur )'!D75</f>
        <v>TMP-10767-15-05-2026</v>
      </c>
      <c r="F98" s="24" t="str">
        <f>'DE ( Tarik barang retur )'!R75</f>
        <v>TMP-10767-15/05/2026Tarik Faktur/Total invoices =8</v>
      </c>
      <c r="G98" s="36">
        <f>'DE ( Tarik barang retur )'!AF75</f>
        <v>46161</v>
      </c>
      <c r="H98" s="22">
        <v>46163.0</v>
      </c>
      <c r="I98" s="22">
        <v>46165.0</v>
      </c>
      <c r="J98" s="21" t="s">
        <v>5294</v>
      </c>
      <c r="K98" s="24"/>
      <c r="L98" s="25"/>
      <c r="M98" s="25"/>
      <c r="N98" s="25"/>
      <c r="O98" s="25"/>
      <c r="P98" s="25"/>
      <c r="Q98" s="25"/>
      <c r="R98" s="25"/>
      <c r="S98" s="25"/>
      <c r="T98" s="25"/>
      <c r="U98" s="25"/>
      <c r="V98" s="25"/>
      <c r="W98" s="25"/>
      <c r="X98" s="25"/>
      <c r="Y98" s="25"/>
      <c r="Z98" s="25"/>
      <c r="AA98" s="25"/>
      <c r="AB98" s="25"/>
      <c r="AC98" s="25"/>
    </row>
    <row r="99">
      <c r="A99" s="41" t="str">
        <f>'DE ( Tarik barang retur )'!AC76</f>
        <v>AWBR-10700-15-05-26-C01</v>
      </c>
      <c r="B99" s="24" t="str">
        <f>'DE ( Tarik barang retur )'!F76</f>
        <v>Apotek K24 Citra Indah 2 Sukamaju Jonggol</v>
      </c>
      <c r="C99" s="35">
        <f>'DE ( Tarik barang retur )'!G76</f>
        <v>6.28139E+17</v>
      </c>
      <c r="D99" s="24" t="str">
        <f>'DE ( Tarik barang retur )'!H76</f>
        <v>Ruko Citra Indah Jonggol Blok SS 05 No. 3, Perum Citra Indah Desa/Kelurahan Sukamaju, Kecamatan Jonggol, Kabupaten Bogor, Jawa Barat 16830</v>
      </c>
      <c r="E99" s="24" t="str">
        <f>'DE ( Tarik barang retur )'!D76</f>
        <v>TMP-10700-15-05-2026</v>
      </c>
      <c r="F99" s="24" t="str">
        <f>'DE ( Tarik barang retur )'!R76</f>
        <v>TMP-10700-15/05/2026Tarik Faktur/Total invoices =7</v>
      </c>
      <c r="G99" s="36">
        <f>'DE ( Tarik barang retur )'!AF76</f>
        <v>46161</v>
      </c>
      <c r="H99" s="22">
        <v>46161.0</v>
      </c>
      <c r="I99" s="22">
        <v>46162.0</v>
      </c>
      <c r="J99" s="21" t="s">
        <v>5294</v>
      </c>
      <c r="K99" s="24"/>
      <c r="L99" s="25"/>
      <c r="M99" s="25"/>
      <c r="N99" s="25"/>
      <c r="O99" s="25"/>
      <c r="P99" s="25"/>
      <c r="Q99" s="25"/>
      <c r="R99" s="25"/>
      <c r="S99" s="25"/>
      <c r="T99" s="25"/>
      <c r="U99" s="25"/>
      <c r="V99" s="25"/>
      <c r="W99" s="25"/>
      <c r="X99" s="25"/>
      <c r="Y99" s="25"/>
      <c r="Z99" s="25"/>
      <c r="AA99" s="25"/>
      <c r="AB99" s="25"/>
      <c r="AC99" s="25"/>
    </row>
    <row r="100">
      <c r="A100" s="41" t="str">
        <f>'DE ( Tarik barang retur )'!AC77</f>
        <v>AWBR-2823-15-05-26-C01</v>
      </c>
      <c r="B100" s="24" t="str">
        <f>'DE ( Tarik barang retur )'!F77</f>
        <v>Apotek Al Fath 21</v>
      </c>
      <c r="C100" s="35">
        <f>'DE ( Tarik barang retur )'!G77</f>
        <v>6.28571E+17</v>
      </c>
      <c r="D100" s="24" t="str">
        <f>'DE ( Tarik barang retur )'!H77</f>
        <v>Jalan KH. Abdullah Bin Nuh No. 99 RT. 05 RW. 04 Kelurahan Cibadak Kecamatan Tanah Sereal Kota Bogor 16166</v>
      </c>
      <c r="E100" s="24" t="str">
        <f>'DE ( Tarik barang retur )'!D77</f>
        <v>TMP-2823-15-05-2026</v>
      </c>
      <c r="F100" s="24" t="str">
        <f>'DE ( Tarik barang retur )'!R77</f>
        <v>TMP-2823-15/05/2026Tarik Faktur/Total invoices =7</v>
      </c>
      <c r="G100" s="36">
        <f>'DE ( Tarik barang retur )'!AF77</f>
        <v>46161</v>
      </c>
      <c r="H100" s="22">
        <v>46165.0</v>
      </c>
      <c r="I100" s="22">
        <v>46166.0</v>
      </c>
      <c r="J100" s="21" t="s">
        <v>5294</v>
      </c>
      <c r="K100" s="24"/>
      <c r="L100" s="25"/>
      <c r="M100" s="25"/>
      <c r="N100" s="25"/>
      <c r="O100" s="25"/>
      <c r="P100" s="25"/>
      <c r="Q100" s="25"/>
      <c r="R100" s="25"/>
      <c r="S100" s="25"/>
      <c r="T100" s="25"/>
      <c r="U100" s="25"/>
      <c r="V100" s="25"/>
      <c r="W100" s="25"/>
      <c r="X100" s="25"/>
      <c r="Y100" s="25"/>
      <c r="Z100" s="25"/>
      <c r="AA100" s="25"/>
      <c r="AB100" s="25"/>
      <c r="AC100" s="25"/>
    </row>
    <row r="101">
      <c r="A101" s="41" t="str">
        <f>'DE ( Tarik barang retur )'!AC78</f>
        <v>AWBR-13514-15-05-26-C01</v>
      </c>
      <c r="B101" s="24" t="str">
        <f>'DE ( Tarik barang retur )'!F78</f>
        <v>Klinik Duta Medika Cileungsi Kidul Cileungsi</v>
      </c>
      <c r="C101" s="35">
        <f>'DE ( Tarik barang retur )'!G78</f>
        <v>6.28156E+17</v>
      </c>
      <c r="D101" s="24" t="str">
        <f>'DE ( Tarik barang retur )'!H78</f>
        <v>Komplek Ruko Duta Mekar Asri Blok B1 No. 03 Desa Cileungsi Kidul Kecamatan Cileungsi Kabupaten Bogor</v>
      </c>
      <c r="E101" s="24" t="str">
        <f>'DE ( Tarik barang retur )'!D78</f>
        <v>TMP-13514-15-05-2026</v>
      </c>
      <c r="F101" s="24" t="str">
        <f>'DE ( Tarik barang retur )'!R78</f>
        <v>TMP-13514-15/05/2026Tarik Faktur/Total invoices =7</v>
      </c>
      <c r="G101" s="36">
        <f>'DE ( Tarik barang retur )'!AF78</f>
        <v>46161</v>
      </c>
      <c r="H101" s="22">
        <v>46161.0</v>
      </c>
      <c r="I101" s="22">
        <v>46162.0</v>
      </c>
      <c r="J101" s="21" t="s">
        <v>5294</v>
      </c>
      <c r="K101" s="24"/>
      <c r="L101" s="25"/>
      <c r="M101" s="25"/>
      <c r="N101" s="25"/>
      <c r="O101" s="25"/>
      <c r="P101" s="25"/>
      <c r="Q101" s="25"/>
      <c r="R101" s="25"/>
      <c r="S101" s="25"/>
      <c r="T101" s="25"/>
      <c r="U101" s="25"/>
      <c r="V101" s="25"/>
      <c r="W101" s="25"/>
      <c r="X101" s="25"/>
      <c r="Y101" s="25"/>
      <c r="Z101" s="25"/>
      <c r="AA101" s="25"/>
      <c r="AB101" s="25"/>
      <c r="AC101" s="25"/>
    </row>
    <row r="102">
      <c r="A102" s="41" t="str">
        <f>'DE ( Tarik barang retur )'!AC79</f>
        <v>AWBR-11513-15-05-26-C01</v>
      </c>
      <c r="B102" s="24" t="str">
        <f>'DE ( Tarik barang retur )'!F79</f>
        <v>Apotek Permata Sehat Farma Parung Parung</v>
      </c>
      <c r="C102" s="35">
        <f>'DE ( Tarik barang retur )'!G79</f>
        <v>6.28128E+17</v>
      </c>
      <c r="D102" s="24" t="str">
        <f>'DE ( Tarik barang retur )'!H79</f>
        <v>Jl. Gang Wira No. 8 RT.02 RW. 05 Desa/Kel. Parung Kec. Parung Kabupaten Bogor 16330</v>
      </c>
      <c r="E102" s="24" t="str">
        <f>'DE ( Tarik barang retur )'!D79</f>
        <v>TMP-11513-15-05-2026</v>
      </c>
      <c r="F102" s="24" t="str">
        <f>'DE ( Tarik barang retur )'!R79</f>
        <v>TMP-11513-15/05/2026Tarik Faktur/Total invoices =7</v>
      </c>
      <c r="G102" s="36">
        <f>'DE ( Tarik barang retur )'!AF79</f>
        <v>46161</v>
      </c>
      <c r="H102" s="22">
        <v>46161.0</v>
      </c>
      <c r="I102" s="22">
        <v>46162.0</v>
      </c>
      <c r="J102" s="21" t="s">
        <v>5294</v>
      </c>
      <c r="K102" s="24"/>
      <c r="L102" s="25"/>
      <c r="M102" s="25"/>
      <c r="N102" s="25"/>
      <c r="O102" s="25"/>
      <c r="P102" s="25"/>
      <c r="Q102" s="25"/>
      <c r="R102" s="25"/>
      <c r="S102" s="25"/>
      <c r="T102" s="25"/>
      <c r="U102" s="25"/>
      <c r="V102" s="25"/>
      <c r="W102" s="25"/>
      <c r="X102" s="25"/>
      <c r="Y102" s="25"/>
      <c r="Z102" s="25"/>
      <c r="AA102" s="25"/>
      <c r="AB102" s="25"/>
      <c r="AC102" s="25"/>
    </row>
    <row r="103">
      <c r="A103" s="41" t="str">
        <f>'DE ( Tarik barang retur )'!AC80</f>
        <v>AWBR-13413-15-05-26-C01</v>
      </c>
      <c r="B103" s="24" t="str">
        <f>'DE ( Tarik barang retur )'!F80</f>
        <v>Apotek Anugerah Pasir Mukti Citeureup</v>
      </c>
      <c r="C103" s="35">
        <f>'DE ( Tarik barang retur )'!G80</f>
        <v>6.28132E+17</v>
      </c>
      <c r="D103" s="24" t="str">
        <f>'DE ( Tarik barang retur )'!H80</f>
        <v>Ruko Perumahan Puri Harmoni Pasir Mukti Blok H No. 40, Desa/Kelurahan Pasirmukti, Kec. Citeureup, Kab. Bogor</v>
      </c>
      <c r="E103" s="24" t="str">
        <f>'DE ( Tarik barang retur )'!D80</f>
        <v>TMP-13413-15-05-2026</v>
      </c>
      <c r="F103" s="24" t="str">
        <f>'DE ( Tarik barang retur )'!R80</f>
        <v>TMP-13413-15/05/2026Tarik Faktur/Total invoices =6</v>
      </c>
      <c r="G103" s="36">
        <f>'DE ( Tarik barang retur )'!AF80</f>
        <v>46161</v>
      </c>
      <c r="H103" s="22">
        <v>46161.0</v>
      </c>
      <c r="I103" s="22">
        <v>46162.0</v>
      </c>
      <c r="J103" s="21" t="s">
        <v>5294</v>
      </c>
      <c r="K103" s="24"/>
      <c r="L103" s="25"/>
      <c r="M103" s="25"/>
      <c r="N103" s="25"/>
      <c r="O103" s="25"/>
      <c r="P103" s="25"/>
      <c r="Q103" s="25"/>
      <c r="R103" s="25"/>
      <c r="S103" s="25"/>
      <c r="T103" s="25"/>
      <c r="U103" s="25"/>
      <c r="V103" s="25"/>
      <c r="W103" s="25"/>
      <c r="X103" s="25"/>
      <c r="Y103" s="25"/>
      <c r="Z103" s="25"/>
      <c r="AA103" s="25"/>
      <c r="AB103" s="25"/>
      <c r="AC103" s="25"/>
    </row>
    <row r="104">
      <c r="A104" s="41" t="str">
        <f>'DE ( Tarik barang retur )'!AC81</f>
        <v>AWBR-11944-15-05-26-C01</v>
      </c>
      <c r="B104" s="24" t="str">
        <f>'DE ( Tarik barang retur )'!F81</f>
        <v>Klinik Waspada Medika Karadenan Cibinong</v>
      </c>
      <c r="C104" s="35">
        <f>'DE ( Tarik barang retur )'!G81</f>
        <v>6.28128E+17</v>
      </c>
      <c r="D104" s="24" t="str">
        <f>'DE ( Tarik barang retur )'!H81</f>
        <v>Jl. Raya Pemda Kp. Kaum Pandak No. 42 RT.002 Rw.004 Desa/Kel. Karadenan Kec. Cibinong,Kabupaten Bogor</v>
      </c>
      <c r="E104" s="24" t="str">
        <f>'DE ( Tarik barang retur )'!D81</f>
        <v>TMP-11944-15-05-2026</v>
      </c>
      <c r="F104" s="24" t="str">
        <f>'DE ( Tarik barang retur )'!R81</f>
        <v>TMP-11944-15/05/2026Tarik Faktur/Total invoices =6</v>
      </c>
      <c r="G104" s="36">
        <f>'DE ( Tarik barang retur )'!AF81</f>
        <v>46161</v>
      </c>
      <c r="H104" s="22">
        <v>46161.0</v>
      </c>
      <c r="I104" s="22">
        <v>46162.0</v>
      </c>
      <c r="J104" s="21" t="s">
        <v>5294</v>
      </c>
      <c r="K104" s="24"/>
      <c r="L104" s="25"/>
      <c r="M104" s="25"/>
      <c r="N104" s="25"/>
      <c r="O104" s="25"/>
      <c r="P104" s="25"/>
      <c r="Q104" s="25"/>
      <c r="R104" s="25"/>
      <c r="S104" s="25"/>
      <c r="T104" s="25"/>
      <c r="U104" s="25"/>
      <c r="V104" s="25"/>
      <c r="W104" s="25"/>
      <c r="X104" s="25"/>
      <c r="Y104" s="25"/>
      <c r="Z104" s="25"/>
      <c r="AA104" s="25"/>
      <c r="AB104" s="25"/>
      <c r="AC104" s="25"/>
    </row>
    <row r="105">
      <c r="A105" s="41" t="str">
        <f>'DE ( Tarik barang retur )'!AC82</f>
        <v>AWBR-12162-15-05-26-C01</v>
      </c>
      <c r="B105" s="24" t="str">
        <f>'DE ( Tarik barang retur )'!F82</f>
        <v>Apotek Damara Cipayung Datar Megamendung</v>
      </c>
      <c r="C105" s="35">
        <f>'DE ( Tarik barang retur )'!G82</f>
        <v>6.28972E+16</v>
      </c>
      <c r="D105" s="24" t="str">
        <f>'DE ( Tarik barang retur )'!H82</f>
        <v>Jl. Habib Umar Kp. Cipayung RT 005 RW 001 Cipayung Datar Kecamatan Megamendung Kabupaten Bogor</v>
      </c>
      <c r="E105" s="24" t="str">
        <f>'DE ( Tarik barang retur )'!D82</f>
        <v>TMP-12162-15-05-2026</v>
      </c>
      <c r="F105" s="24" t="str">
        <f>'DE ( Tarik barang retur )'!R82</f>
        <v>TMP-12162-15/05/2026Tarik Faktur/Total invoices =6</v>
      </c>
      <c r="G105" s="36">
        <f>'DE ( Tarik barang retur )'!AF82</f>
        <v>46161</v>
      </c>
      <c r="H105" s="22">
        <v>46165.0</v>
      </c>
      <c r="I105" s="22">
        <v>46166.0</v>
      </c>
      <c r="J105" s="21" t="s">
        <v>5294</v>
      </c>
      <c r="K105" s="24"/>
      <c r="L105" s="25"/>
      <c r="M105" s="25"/>
      <c r="N105" s="25"/>
      <c r="O105" s="25"/>
      <c r="P105" s="25"/>
      <c r="Q105" s="25"/>
      <c r="R105" s="25"/>
      <c r="S105" s="25"/>
      <c r="T105" s="25"/>
      <c r="U105" s="25"/>
      <c r="V105" s="25"/>
      <c r="W105" s="25"/>
      <c r="X105" s="25"/>
      <c r="Y105" s="25"/>
      <c r="Z105" s="25"/>
      <c r="AA105" s="25"/>
      <c r="AB105" s="25"/>
      <c r="AC105" s="25"/>
    </row>
    <row r="106">
      <c r="A106" s="41" t="str">
        <f>'DE ( Tarik barang retur )'!AC83</f>
        <v>AWBR-1574-15-05-26-C01</v>
      </c>
      <c r="B106" s="24" t="str">
        <f>'DE ( Tarik barang retur )'!F83</f>
        <v>Apotek Bubulak</v>
      </c>
      <c r="C106" s="24">
        <f>'DE ( Tarik barang retur )'!G83</f>
        <v>8123227961</v>
      </c>
      <c r="D106" s="24" t="str">
        <f>'DE ( Tarik barang retur )'!H83</f>
        <v>Jl. BUBULAK No 85 RT 03 RW 01, Desa/Kelurahan Kebon Pedes, Kec. Tanah Sareal, Kota Bogor 16162</v>
      </c>
      <c r="E106" s="24" t="str">
        <f>'DE ( Tarik barang retur )'!D83</f>
        <v>TMP-1574-15-05-2026</v>
      </c>
      <c r="F106" s="24" t="str">
        <f>'DE ( Tarik barang retur )'!R83</f>
        <v>TMP-1574-15/05/2026Tarik Faktur/Total invoices =6</v>
      </c>
      <c r="G106" s="36">
        <f>'DE ( Tarik barang retur )'!AF83</f>
        <v>46161</v>
      </c>
      <c r="H106" s="22">
        <v>46164.0</v>
      </c>
      <c r="I106" s="22">
        <v>46165.0</v>
      </c>
      <c r="J106" s="21" t="s">
        <v>5294</v>
      </c>
      <c r="K106" s="24"/>
      <c r="L106" s="25"/>
      <c r="M106" s="25"/>
      <c r="N106" s="25"/>
      <c r="O106" s="25"/>
      <c r="P106" s="25"/>
      <c r="Q106" s="25"/>
      <c r="R106" s="25"/>
      <c r="S106" s="25"/>
      <c r="T106" s="25"/>
      <c r="U106" s="25"/>
      <c r="V106" s="25"/>
      <c r="W106" s="25"/>
      <c r="X106" s="25"/>
      <c r="Y106" s="25"/>
      <c r="Z106" s="25"/>
      <c r="AA106" s="25"/>
      <c r="AB106" s="25"/>
      <c r="AC106" s="25"/>
    </row>
    <row r="107">
      <c r="A107" s="41" t="str">
        <f>'DE ( Tarik barang retur )'!AC84</f>
        <v>AWBR-1513-15-05-26-C01</v>
      </c>
      <c r="B107" s="24" t="str">
        <f>'DE ( Tarik barang retur )'!F84</f>
        <v>Apotek Bunda Lubna</v>
      </c>
      <c r="C107" s="24">
        <f>'DE ( Tarik barang retur )'!G84</f>
        <v>81219191823</v>
      </c>
      <c r="D107" s="24" t="str">
        <f>'DE ( Tarik barang retur )'!H84</f>
        <v>Bukit Cimanggu City Ruko Greenland Avenue Blok DD2 No. 18 RT. 001 RW. 014 Kelurahan Sukadamai Kecamatan Tanah Sereal Kota Bogor 16165</v>
      </c>
      <c r="E107" s="24" t="str">
        <f>'DE ( Tarik barang retur )'!D84</f>
        <v>TMP-1513-15-05-2026</v>
      </c>
      <c r="F107" s="24" t="str">
        <f>'DE ( Tarik barang retur )'!R84</f>
        <v>TMP-1513-15/05/2026Tarik Faktur/Total invoices =6</v>
      </c>
      <c r="G107" s="36">
        <f>'DE ( Tarik barang retur )'!AF84</f>
        <v>46161</v>
      </c>
      <c r="H107" s="22">
        <v>46161.0</v>
      </c>
      <c r="I107" s="22">
        <v>46162.0</v>
      </c>
      <c r="J107" s="21" t="s">
        <v>5294</v>
      </c>
      <c r="K107" s="24"/>
      <c r="L107" s="25"/>
      <c r="M107" s="25"/>
      <c r="N107" s="25"/>
      <c r="O107" s="25"/>
      <c r="P107" s="25"/>
      <c r="Q107" s="25"/>
      <c r="R107" s="25"/>
      <c r="S107" s="25"/>
      <c r="T107" s="25"/>
      <c r="U107" s="25"/>
      <c r="V107" s="25"/>
      <c r="W107" s="25"/>
      <c r="X107" s="25"/>
      <c r="Y107" s="25"/>
      <c r="Z107" s="25"/>
      <c r="AA107" s="25"/>
      <c r="AB107" s="25"/>
      <c r="AC107" s="25"/>
    </row>
    <row r="108">
      <c r="A108" s="41" t="str">
        <f>'DE ( Tarik barang retur )'!AC85</f>
        <v>AWBR-1257-15-05-26-C01</v>
      </c>
      <c r="B108" s="24" t="str">
        <f>'DE ( Tarik barang retur )'!F85</f>
        <v>Apotek Kemang</v>
      </c>
      <c r="C108" s="24">
        <f>'DE ( Tarik barang retur )'!G85</f>
        <v>81317611647</v>
      </c>
      <c r="D108" s="24" t="str">
        <f>'DE ( Tarik barang retur )'!H85</f>
        <v>Jalan Raya Kemang No8 RT 002 RW 002 Desa Pondok Udik Kecamatan Kemang Kabupaten Bogor Jawa Barat 16310</v>
      </c>
      <c r="E108" s="24" t="str">
        <f>'DE ( Tarik barang retur )'!D85</f>
        <v>TMP-1257-15-05-2026</v>
      </c>
      <c r="F108" s="24" t="str">
        <f>'DE ( Tarik barang retur )'!R85</f>
        <v>TMP-1257-15/05/2026Tarik Faktur/Total invoices =6</v>
      </c>
      <c r="G108" s="36">
        <f>'DE ( Tarik barang retur )'!AF85</f>
        <v>46161</v>
      </c>
      <c r="H108" s="22">
        <v>46165.0</v>
      </c>
      <c r="I108" s="22">
        <v>46166.0</v>
      </c>
      <c r="J108" s="21" t="s">
        <v>5294</v>
      </c>
      <c r="K108" s="24"/>
      <c r="L108" s="25"/>
      <c r="M108" s="25"/>
      <c r="N108" s="25"/>
      <c r="O108" s="25"/>
      <c r="P108" s="25"/>
      <c r="Q108" s="25"/>
      <c r="R108" s="25"/>
      <c r="S108" s="25"/>
      <c r="T108" s="25"/>
      <c r="U108" s="25"/>
      <c r="V108" s="25"/>
      <c r="W108" s="25"/>
      <c r="X108" s="25"/>
      <c r="Y108" s="25"/>
      <c r="Z108" s="25"/>
      <c r="AA108" s="25"/>
      <c r="AB108" s="25"/>
      <c r="AC108" s="25"/>
    </row>
    <row r="109">
      <c r="A109" s="41" t="str">
        <f>'DE ( Tarik barang retur )'!AC86</f>
        <v>AWBR-3423-15-05-26-C01</v>
      </c>
      <c r="B109" s="24" t="str">
        <f>'DE ( Tarik barang retur )'!F86</f>
        <v>Klinik Pratama Rawat Jalan Danez Medika Bojong Kulur Gunung Putri</v>
      </c>
      <c r="C109" s="24">
        <f>'DE ( Tarik barang retur )'!G86</f>
        <v>81296367273</v>
      </c>
      <c r="D109" s="24" t="str">
        <f>'DE ( Tarik barang retur )'!H86</f>
        <v>Villa Nusa Indah II HH 2/4 Desa Bojong Kulur Kecamatan Gunung Putri Kabupaten Bogor 17422</v>
      </c>
      <c r="E109" s="24" t="str">
        <f>'DE ( Tarik barang retur )'!D86</f>
        <v>TMP-3423-15-05-2026</v>
      </c>
      <c r="F109" s="24" t="str">
        <f>'DE ( Tarik barang retur )'!R86</f>
        <v>TMP-3423-15/05/2026Tarik Faktur/Total invoices =5</v>
      </c>
      <c r="G109" s="36">
        <f>'DE ( Tarik barang retur )'!AF86</f>
        <v>46161</v>
      </c>
      <c r="H109" s="22">
        <v>46162.0</v>
      </c>
      <c r="I109" s="22">
        <v>46163.0</v>
      </c>
      <c r="J109" s="21" t="s">
        <v>5294</v>
      </c>
      <c r="K109" s="24"/>
      <c r="L109" s="25"/>
      <c r="M109" s="25"/>
      <c r="N109" s="25"/>
      <c r="O109" s="25"/>
      <c r="P109" s="25"/>
      <c r="Q109" s="25"/>
      <c r="R109" s="25"/>
      <c r="S109" s="25"/>
      <c r="T109" s="25"/>
      <c r="U109" s="25"/>
      <c r="V109" s="25"/>
      <c r="W109" s="25"/>
      <c r="X109" s="25"/>
      <c r="Y109" s="25"/>
      <c r="Z109" s="25"/>
      <c r="AA109" s="25"/>
      <c r="AB109" s="25"/>
      <c r="AC109" s="25"/>
    </row>
    <row r="110">
      <c r="A110" s="41" t="str">
        <f>'DE ( Tarik barang retur )'!AC87</f>
        <v>AWBR-7235-15-05-26-C01</v>
      </c>
      <c r="B110" s="24" t="str">
        <f>'DE ( Tarik barang retur )'!F87</f>
        <v>Apotek Mekarwangi 7235</v>
      </c>
      <c r="C110" s="24">
        <f>'DE ( Tarik barang retur )'!G87</f>
        <v>81931102721</v>
      </c>
      <c r="D110" s="24" t="str">
        <f>'DE ( Tarik barang retur )'!H87</f>
        <v>Perumahan Taman Tirta Cimanggu Ruko No. 20 RT 06 RW 012 Kel. Mekarwangi Kec. Tanah Sereal Kota Bogor 16167</v>
      </c>
      <c r="E110" s="24" t="str">
        <f>'DE ( Tarik barang retur )'!D87</f>
        <v>TMP-7235-15-05-2026</v>
      </c>
      <c r="F110" s="24" t="str">
        <f>'DE ( Tarik barang retur )'!R87</f>
        <v>TMP-7235-15/05/2026Tarik Faktur/Total invoices =5</v>
      </c>
      <c r="G110" s="36">
        <f>'DE ( Tarik barang retur )'!AF87</f>
        <v>46161</v>
      </c>
      <c r="H110" s="22">
        <v>46161.0</v>
      </c>
      <c r="I110" s="22">
        <v>46162.0</v>
      </c>
      <c r="J110" s="21" t="s">
        <v>5294</v>
      </c>
      <c r="K110" s="24"/>
      <c r="L110" s="25"/>
      <c r="M110" s="25"/>
      <c r="N110" s="25"/>
      <c r="O110" s="25"/>
      <c r="P110" s="25"/>
      <c r="Q110" s="25"/>
      <c r="R110" s="25"/>
      <c r="S110" s="25"/>
      <c r="T110" s="25"/>
      <c r="U110" s="25"/>
      <c r="V110" s="25"/>
      <c r="W110" s="25"/>
      <c r="X110" s="25"/>
      <c r="Y110" s="25"/>
      <c r="Z110" s="25"/>
      <c r="AA110" s="25"/>
      <c r="AB110" s="25"/>
      <c r="AC110" s="25"/>
    </row>
    <row r="111">
      <c r="A111" s="41" t="str">
        <f>'DE ( Tarik barang retur )'!AC88</f>
        <v>AWBR-2117-15-05-26-C01</v>
      </c>
      <c r="B111" s="24" t="str">
        <f>'DE ( Tarik barang retur )'!F88</f>
        <v>Apotek Dharma Farma</v>
      </c>
      <c r="C111" s="24">
        <f>'DE ( Tarik barang retur )'!G88</f>
        <v>89653163999</v>
      </c>
      <c r="D111" s="24" t="str">
        <f>'DE ( Tarik barang retur )'!H88</f>
        <v>Jalan KH. Mansyur RT003 RW 003 Kelurahan Sudimara Kecamatan Pinang Kota Tangerang 15145</v>
      </c>
      <c r="E111" s="24" t="str">
        <f>'DE ( Tarik barang retur )'!D88</f>
        <v>TMP-2117-15-05-2026</v>
      </c>
      <c r="F111" s="24" t="str">
        <f>'DE ( Tarik barang retur )'!R88</f>
        <v>TMP-2117-15/05/2026Tarik Faktur/Total invoices =35</v>
      </c>
      <c r="G111" s="36">
        <f>'DE ( Tarik barang retur )'!AF88</f>
        <v>46161</v>
      </c>
      <c r="H111" s="22">
        <v>46161.0</v>
      </c>
      <c r="I111" s="22">
        <v>46162.0</v>
      </c>
      <c r="J111" s="21" t="s">
        <v>5294</v>
      </c>
      <c r="K111" s="24"/>
      <c r="L111" s="25"/>
      <c r="M111" s="25"/>
      <c r="N111" s="25"/>
      <c r="O111" s="25"/>
      <c r="P111" s="25"/>
      <c r="Q111" s="25"/>
      <c r="R111" s="25"/>
      <c r="S111" s="25"/>
      <c r="T111" s="25"/>
      <c r="U111" s="25"/>
      <c r="V111" s="25"/>
      <c r="W111" s="25"/>
      <c r="X111" s="25"/>
      <c r="Y111" s="25"/>
      <c r="Z111" s="25"/>
      <c r="AA111" s="25"/>
      <c r="AB111" s="25"/>
      <c r="AC111" s="25"/>
    </row>
    <row r="112">
      <c r="A112" s="41" t="str">
        <f>'DE ( Tarik barang retur )'!AC89</f>
        <v>AWBR-7716-15-05-26-C01</v>
      </c>
      <c r="B112" s="24" t="str">
        <f>'DE ( Tarik barang retur )'!F89</f>
        <v>Apotek Kita Merdeka</v>
      </c>
      <c r="C112" s="24">
        <f>'DE ( Tarik barang retur )'!G89</f>
        <v>81382100278</v>
      </c>
      <c r="D112" s="24" t="str">
        <f>'DE ( Tarik barang retur )'!H89</f>
        <v>Ruko Dasana Indah PD 06 No.1 Kelurahan/Desa Bojong Nangka Kecamatan Kelapa Dua Kabupaten Tangerang,Banten,15810</v>
      </c>
      <c r="E112" s="24" t="str">
        <f>'DE ( Tarik barang retur )'!D89</f>
        <v>TMP-7716-15-05-2026</v>
      </c>
      <c r="F112" s="24" t="str">
        <f>'DE ( Tarik barang retur )'!R89</f>
        <v>TMP-7716-15/05/2026Tarik Faktur/Total invoices =16</v>
      </c>
      <c r="G112" s="36">
        <f>'DE ( Tarik barang retur )'!AF89</f>
        <v>46161</v>
      </c>
      <c r="H112" s="22">
        <v>46163.0</v>
      </c>
      <c r="I112" s="22">
        <v>46164.0</v>
      </c>
      <c r="J112" s="21" t="s">
        <v>5294</v>
      </c>
      <c r="K112" s="24"/>
      <c r="L112" s="25"/>
      <c r="M112" s="25"/>
      <c r="N112" s="25"/>
      <c r="O112" s="25"/>
      <c r="P112" s="25"/>
      <c r="Q112" s="25"/>
      <c r="R112" s="25"/>
      <c r="S112" s="25"/>
      <c r="T112" s="25"/>
      <c r="U112" s="25"/>
      <c r="V112" s="25"/>
      <c r="W112" s="25"/>
      <c r="X112" s="25"/>
      <c r="Y112" s="25"/>
      <c r="Z112" s="25"/>
      <c r="AA112" s="25"/>
      <c r="AB112" s="25"/>
      <c r="AC112" s="25"/>
    </row>
    <row r="113">
      <c r="A113" s="41" t="str">
        <f>'DE ( Tarik barang retur )'!AC90</f>
        <v>AWBR-669-15-05-26-C01</v>
      </c>
      <c r="B113" s="24" t="str">
        <f>'DE ( Tarik barang retur )'!F90</f>
        <v>Apotek Pelangi</v>
      </c>
      <c r="C113" s="24">
        <f>'DE ( Tarik barang retur )'!G90</f>
        <v>87795510810</v>
      </c>
      <c r="D113" s="24" t="str">
        <f>'DE ( Tarik barang retur )'!H90</f>
        <v>Komplek Ruko Pasar Segar Blok RB1 No.8 Graha Raya Bintaro, Kelurahan Pondok Jagung Timur, Kecamatan Serpong Utara, Kota Tangerang Selatan, Banten 15326</v>
      </c>
      <c r="E113" s="24" t="str">
        <f>'DE ( Tarik barang retur )'!D90</f>
        <v>TMP-669-15-05-2026</v>
      </c>
      <c r="F113" s="24" t="str">
        <f>'DE ( Tarik barang retur )'!R90</f>
        <v>TMP-669-15/05/2026Tarik Faktur/Total invoices =13</v>
      </c>
      <c r="G113" s="36">
        <f>'DE ( Tarik barang retur )'!AF90</f>
        <v>46161</v>
      </c>
      <c r="H113" s="22">
        <v>46161.0</v>
      </c>
      <c r="I113" s="22">
        <v>46162.0</v>
      </c>
      <c r="J113" s="21" t="s">
        <v>5294</v>
      </c>
      <c r="K113" s="24"/>
      <c r="L113" s="25"/>
      <c r="M113" s="25"/>
      <c r="N113" s="25"/>
      <c r="O113" s="25"/>
      <c r="P113" s="25"/>
      <c r="Q113" s="25"/>
      <c r="R113" s="25"/>
      <c r="S113" s="25"/>
      <c r="T113" s="25"/>
      <c r="U113" s="25"/>
      <c r="V113" s="25"/>
      <c r="W113" s="25"/>
      <c r="X113" s="25"/>
      <c r="Y113" s="25"/>
      <c r="Z113" s="25"/>
      <c r="AA113" s="25"/>
      <c r="AB113" s="25"/>
      <c r="AC113" s="25"/>
    </row>
    <row r="114">
      <c r="A114" s="41" t="str">
        <f>'DE ( Tarik barang retur )'!AC91</f>
        <v>AWBR-10838-15-05-26-C01</v>
      </c>
      <c r="B114" s="24" t="str">
        <f>'DE ( Tarik barang retur )'!F91</f>
        <v>Apotek SS Pharmacia 5 Kunciran Indah Pinang</v>
      </c>
      <c r="C114" s="35">
        <f>'DE ( Tarik barang retur )'!G91</f>
        <v>6.28531E+17</v>
      </c>
      <c r="D114" s="24" t="str">
        <f>'DE ( Tarik barang retur )'!H91</f>
        <v>Jl. Sultan Ageng Tirtayasa RT 04 RW 09 Kelurahan Kunciran Indah Kecamatan Pinang Kota Tangerang 15144</v>
      </c>
      <c r="E114" s="24" t="str">
        <f>'DE ( Tarik barang retur )'!D91</f>
        <v>TMP-10838-15-05-2026</v>
      </c>
      <c r="F114" s="24" t="str">
        <f>'DE ( Tarik barang retur )'!R91</f>
        <v>TMP-10838-15/05/2026Tarik Faktur/Total invoices =12</v>
      </c>
      <c r="G114" s="36">
        <f>'DE ( Tarik barang retur )'!AF91</f>
        <v>46161</v>
      </c>
      <c r="H114" s="22">
        <v>46161.0</v>
      </c>
      <c r="I114" s="22">
        <v>46162.0</v>
      </c>
      <c r="J114" s="21" t="s">
        <v>5294</v>
      </c>
      <c r="K114" s="24"/>
      <c r="L114" s="25"/>
      <c r="M114" s="25"/>
      <c r="N114" s="25"/>
      <c r="O114" s="25"/>
      <c r="P114" s="25"/>
      <c r="Q114" s="25"/>
      <c r="R114" s="25"/>
      <c r="S114" s="25"/>
      <c r="T114" s="25"/>
      <c r="U114" s="25"/>
      <c r="V114" s="25"/>
      <c r="W114" s="25"/>
      <c r="X114" s="25"/>
      <c r="Y114" s="25"/>
      <c r="Z114" s="25"/>
      <c r="AA114" s="25"/>
      <c r="AB114" s="25"/>
      <c r="AC114" s="25"/>
    </row>
    <row r="115">
      <c r="A115" s="41" t="str">
        <f>'DE ( Tarik barang retur )'!AC92</f>
        <v>AWBR-1680-15-05-26-C01</v>
      </c>
      <c r="B115" s="24" t="str">
        <f>'DE ( Tarik barang retur )'!F92</f>
        <v>Apotek Binong Permai</v>
      </c>
      <c r="C115" s="24">
        <f>'DE ( Tarik barang retur )'!G92</f>
        <v>8111500022</v>
      </c>
      <c r="D115" s="24" t="str">
        <f>'DE ( Tarik barang retur )'!H92</f>
        <v>Perumahan Binong Permai Blok A1 No. 18 RT 01 RW 012 Kelurahan Binong Kecamatan Curug Kabupaten Tangerang 15810</v>
      </c>
      <c r="E115" s="24" t="str">
        <f>'DE ( Tarik barang retur )'!D92</f>
        <v>TMP-1680-15-05-2026</v>
      </c>
      <c r="F115" s="24" t="str">
        <f>'DE ( Tarik barang retur )'!R92</f>
        <v>TMP-1680-15/05/2026Tarik Faktur/Total invoices =10</v>
      </c>
      <c r="G115" s="36">
        <f>'DE ( Tarik barang retur )'!AF92</f>
        <v>46161</v>
      </c>
      <c r="H115" s="22">
        <v>46161.0</v>
      </c>
      <c r="I115" s="22">
        <v>46162.0</v>
      </c>
      <c r="J115" s="21" t="s">
        <v>5294</v>
      </c>
      <c r="K115" s="24"/>
      <c r="L115" s="25"/>
      <c r="M115" s="25"/>
      <c r="N115" s="25"/>
      <c r="O115" s="25"/>
      <c r="P115" s="25"/>
      <c r="Q115" s="25"/>
      <c r="R115" s="25"/>
      <c r="S115" s="25"/>
      <c r="T115" s="25"/>
      <c r="U115" s="25"/>
      <c r="V115" s="25"/>
      <c r="W115" s="25"/>
      <c r="X115" s="25"/>
      <c r="Y115" s="25"/>
      <c r="Z115" s="25"/>
      <c r="AA115" s="25"/>
      <c r="AB115" s="25"/>
      <c r="AC115" s="25"/>
    </row>
    <row r="116">
      <c r="A116" s="41" t="str">
        <f>'DE ( Tarik barang retur )'!AC93</f>
        <v>AWBR-16745-15-05-26-C01</v>
      </c>
      <c r="B116" s="24" t="str">
        <f>'DE ( Tarik barang retur )'!F93</f>
        <v>Apotek GS Petir Cipondoh</v>
      </c>
      <c r="C116" s="35">
        <f>'DE ( Tarik barang retur )'!G93</f>
        <v>6.2813E+16</v>
      </c>
      <c r="D116" s="24" t="str">
        <f>'DE ( Tarik barang retur )'!H93</f>
        <v>Jalan KH. Ahmad Dahlan Nomor 36A , Desa/Kelurahan Petir, Kec. Cipondoh, Kota Tangerang</v>
      </c>
      <c r="E116" s="24" t="str">
        <f>'DE ( Tarik barang retur )'!D93</f>
        <v>TMP-16745-15-05-2026</v>
      </c>
      <c r="F116" s="24" t="str">
        <f>'DE ( Tarik barang retur )'!R93</f>
        <v>TMP-16745-15/05/2026Tarik Faktur/Total invoices =9</v>
      </c>
      <c r="G116" s="36">
        <f>'DE ( Tarik barang retur )'!AF93</f>
        <v>46161</v>
      </c>
      <c r="H116" s="22">
        <v>46161.0</v>
      </c>
      <c r="I116" s="22">
        <v>46162.0</v>
      </c>
      <c r="J116" s="21" t="s">
        <v>5294</v>
      </c>
      <c r="K116" s="24"/>
      <c r="L116" s="25"/>
      <c r="M116" s="25"/>
      <c r="N116" s="25"/>
      <c r="O116" s="25"/>
      <c r="P116" s="25"/>
      <c r="Q116" s="25"/>
      <c r="R116" s="25"/>
      <c r="S116" s="25"/>
      <c r="T116" s="25"/>
      <c r="U116" s="25"/>
      <c r="V116" s="25"/>
      <c r="W116" s="25"/>
      <c r="X116" s="25"/>
      <c r="Y116" s="25"/>
      <c r="Z116" s="25"/>
      <c r="AA116" s="25"/>
      <c r="AB116" s="25"/>
      <c r="AC116" s="25"/>
    </row>
    <row r="117">
      <c r="A117" s="41" t="str">
        <f>'DE ( Tarik barang retur )'!AC94</f>
        <v>AWBR-16035-15-05-26-C01</v>
      </c>
      <c r="B117" s="24" t="str">
        <f>'DE ( Tarik barang retur )'!F94</f>
        <v>Apotek Mandiri Pharma Emerald Perigi Lama Pondok Aren</v>
      </c>
      <c r="C117" s="35">
        <f>'DE ( Tarik barang retur )'!G94</f>
        <v>6.28122E+17</v>
      </c>
      <c r="D117" s="24" t="str">
        <f>'DE ( Tarik barang retur )'!H94</f>
        <v>Ruko Emerald Boulevard AA1 Nomor 28 Bintaro Jaya 9, Jalan Jombang Raya, Desa/Kelurahan Parigi, Kec. Pondok Aren,Kota Tangerang Selatan,Banten,</v>
      </c>
      <c r="E117" s="24" t="str">
        <f>'DE ( Tarik barang retur )'!D94</f>
        <v>TMP-16035-15-05-2026</v>
      </c>
      <c r="F117" s="24" t="str">
        <f>'DE ( Tarik barang retur )'!R94</f>
        <v>TMP-16035-15/05/2026Tarik Faktur/Total invoices =8</v>
      </c>
      <c r="G117" s="36">
        <f>'DE ( Tarik barang retur )'!AF94</f>
        <v>46161</v>
      </c>
      <c r="H117" s="22">
        <v>46164.0</v>
      </c>
      <c r="I117" s="22">
        <v>46165.0</v>
      </c>
      <c r="J117" s="21" t="s">
        <v>5294</v>
      </c>
      <c r="K117" s="24"/>
      <c r="L117" s="25"/>
      <c r="M117" s="25"/>
      <c r="N117" s="25"/>
      <c r="O117" s="25"/>
      <c r="P117" s="25"/>
      <c r="Q117" s="25"/>
      <c r="R117" s="25"/>
      <c r="S117" s="25"/>
      <c r="T117" s="25"/>
      <c r="U117" s="25"/>
      <c r="V117" s="25"/>
      <c r="W117" s="25"/>
      <c r="X117" s="25"/>
      <c r="Y117" s="25"/>
      <c r="Z117" s="25"/>
      <c r="AA117" s="25"/>
      <c r="AB117" s="25"/>
      <c r="AC117" s="25"/>
    </row>
    <row r="118">
      <c r="A118" s="41" t="str">
        <f>'DE ( Tarik barang retur )'!AC95</f>
        <v>AWBR-1971-15-05-26-C01</v>
      </c>
      <c r="B118" s="24" t="str">
        <f>'DE ( Tarik barang retur )'!F95</f>
        <v>Klinik Pratama Asa Medika</v>
      </c>
      <c r="C118" s="24">
        <f>'DE ( Tarik barang retur )'!G95</f>
        <v>81287431188</v>
      </c>
      <c r="D118" s="24" t="str">
        <f>'DE ( Tarik barang retur )'!H95</f>
        <v>Perumahan Dasana Indah, Ruko Dasana Xenter Blok AD 51-53 RT 007 RW 012 Desa Bojong Nangka Kecamatan Kelapa Dua Tangerang 15810</v>
      </c>
      <c r="E118" s="24" t="str">
        <f>'DE ( Tarik barang retur )'!D95</f>
        <v>TMP-1971-15-05-2026</v>
      </c>
      <c r="F118" s="24" t="str">
        <f>'DE ( Tarik barang retur )'!R95</f>
        <v>TMP-1971-15/05/2026Tarik Faktur/Total invoices =8</v>
      </c>
      <c r="G118" s="36">
        <f>'DE ( Tarik barang retur )'!AF95</f>
        <v>46161</v>
      </c>
      <c r="H118" s="22">
        <v>46163.0</v>
      </c>
      <c r="I118" s="22">
        <v>46164.0</v>
      </c>
      <c r="J118" s="21" t="s">
        <v>5294</v>
      </c>
      <c r="K118" s="24"/>
      <c r="L118" s="25"/>
      <c r="M118" s="25"/>
      <c r="N118" s="25"/>
      <c r="O118" s="25"/>
      <c r="P118" s="25"/>
      <c r="Q118" s="25"/>
      <c r="R118" s="25"/>
      <c r="S118" s="25"/>
      <c r="T118" s="25"/>
      <c r="U118" s="25"/>
      <c r="V118" s="25"/>
      <c r="W118" s="25"/>
      <c r="X118" s="25"/>
      <c r="Y118" s="25"/>
      <c r="Z118" s="25"/>
      <c r="AA118" s="25"/>
      <c r="AB118" s="25"/>
      <c r="AC118" s="25"/>
    </row>
    <row r="119">
      <c r="A119" s="41" t="str">
        <f>'DE ( Tarik barang retur )'!AC96</f>
        <v>AWBR-5419-15-05-26-C01</v>
      </c>
      <c r="B119" s="24" t="str">
        <f>'DE ( Tarik barang retur )'!F96</f>
        <v>Apotek K24 Cimone</v>
      </c>
      <c r="C119" s="35">
        <f>'DE ( Tarik barang retur )'!G96</f>
        <v>6.28128E+17</v>
      </c>
      <c r="D119" s="24" t="str">
        <f>'DE ( Tarik barang retur )'!H96</f>
        <v>Jalan Gatot Subroto No.11,Desa/Kelurahan Cimone,Kecamatan Karawaci,Kota Tangerang,15114</v>
      </c>
      <c r="E119" s="24" t="str">
        <f>'DE ( Tarik barang retur )'!D96</f>
        <v>TMP-5419-15-05-2026</v>
      </c>
      <c r="F119" s="24" t="str">
        <f>'DE ( Tarik barang retur )'!R96</f>
        <v>TMP-5419-15/05/2026Tarik Faktur/Total invoices =7</v>
      </c>
      <c r="G119" s="36">
        <f>'DE ( Tarik barang retur )'!AF96</f>
        <v>46161</v>
      </c>
      <c r="H119" s="22">
        <v>46163.0</v>
      </c>
      <c r="I119" s="22">
        <v>46165.0</v>
      </c>
      <c r="J119" s="21" t="s">
        <v>5294</v>
      </c>
      <c r="K119" s="24"/>
      <c r="L119" s="25"/>
      <c r="M119" s="25"/>
      <c r="N119" s="25"/>
      <c r="O119" s="25"/>
      <c r="P119" s="25"/>
      <c r="Q119" s="25"/>
      <c r="R119" s="25"/>
      <c r="S119" s="25"/>
      <c r="T119" s="25"/>
      <c r="U119" s="25"/>
      <c r="V119" s="25"/>
      <c r="W119" s="25"/>
      <c r="X119" s="25"/>
      <c r="Y119" s="25"/>
      <c r="Z119" s="25"/>
      <c r="AA119" s="25"/>
      <c r="AB119" s="25"/>
      <c r="AC119" s="25"/>
    </row>
    <row r="120">
      <c r="A120" s="41" t="str">
        <f>'DE ( Tarik barang retur )'!AC97</f>
        <v>AWBR-2144-15-05-26-C01</v>
      </c>
      <c r="B120" s="24" t="str">
        <f>'DE ( Tarik barang retur )'!F97</f>
        <v>Apotek Kreator Kesehatan</v>
      </c>
      <c r="C120" s="24">
        <f>'DE ( Tarik barang retur )'!G97</f>
        <v>81310304580</v>
      </c>
      <c r="D120" s="24" t="str">
        <f>'DE ( Tarik barang retur )'!H97</f>
        <v>Ruko Azores Banjar Wijaya Blok B-17A No. 33 Kelurahan Porsi Plawad Indah Kecamatan Cipondoh Kota Tangerang 15141</v>
      </c>
      <c r="E120" s="24" t="str">
        <f>'DE ( Tarik barang retur )'!D97</f>
        <v>TMP-2144-15-05-2026</v>
      </c>
      <c r="F120" s="24" t="str">
        <f>'DE ( Tarik barang retur )'!R97</f>
        <v>TMP-2144-15/05/2026Tarik Faktur/Total invoices =6</v>
      </c>
      <c r="G120" s="36">
        <f>'DE ( Tarik barang retur )'!AF97</f>
        <v>46161</v>
      </c>
      <c r="H120" s="22">
        <v>46161.0</v>
      </c>
      <c r="I120" s="22">
        <v>46162.0</v>
      </c>
      <c r="J120" s="21" t="s">
        <v>5294</v>
      </c>
      <c r="K120" s="24"/>
      <c r="L120" s="25"/>
      <c r="M120" s="25"/>
      <c r="N120" s="25"/>
      <c r="O120" s="25"/>
      <c r="P120" s="25"/>
      <c r="Q120" s="25"/>
      <c r="R120" s="25"/>
      <c r="S120" s="25"/>
      <c r="T120" s="25"/>
      <c r="U120" s="25"/>
      <c r="V120" s="25"/>
      <c r="W120" s="25"/>
      <c r="X120" s="25"/>
      <c r="Y120" s="25"/>
      <c r="Z120" s="25"/>
      <c r="AA120" s="25"/>
      <c r="AB120" s="25"/>
      <c r="AC120" s="25"/>
    </row>
    <row r="121">
      <c r="A121" s="41" t="str">
        <f>'DE ( Tarik barang retur )'!AC98</f>
        <v>AWBR-1250-15-05-26-C01</v>
      </c>
      <c r="B121" s="24" t="str">
        <f>'DE ( Tarik barang retur )'!F98</f>
        <v>Apotek Nabil Farma</v>
      </c>
      <c r="C121" s="24">
        <f>'DE ( Tarik barang retur )'!G98</f>
        <v>87889948537</v>
      </c>
      <c r="D121" s="24" t="str">
        <f>'DE ( Tarik barang retur )'!H98</f>
        <v>Jalan Iskandar Muda No.194 RT 001/003 Kelurahan Kedaung Baru Kecamatan Neglasari Kota Tangerang 15128</v>
      </c>
      <c r="E121" s="24" t="str">
        <f>'DE ( Tarik barang retur )'!D98</f>
        <v>TMP-1250-15-05-2026</v>
      </c>
      <c r="F121" s="24" t="str">
        <f>'DE ( Tarik barang retur )'!R98</f>
        <v>TMP-1250-15/05/2026Tarik Faktur/Total invoices =6</v>
      </c>
      <c r="G121" s="36">
        <f>'DE ( Tarik barang retur )'!AF98</f>
        <v>46161</v>
      </c>
      <c r="H121" s="22">
        <v>46163.0</v>
      </c>
      <c r="I121" s="22">
        <v>46164.0</v>
      </c>
      <c r="J121" s="21" t="s">
        <v>5294</v>
      </c>
      <c r="K121" s="24"/>
      <c r="L121" s="25"/>
      <c r="M121" s="25"/>
      <c r="N121" s="25"/>
      <c r="O121" s="25"/>
      <c r="P121" s="25"/>
      <c r="Q121" s="25"/>
      <c r="R121" s="25"/>
      <c r="S121" s="25"/>
      <c r="T121" s="25"/>
      <c r="U121" s="25"/>
      <c r="V121" s="25"/>
      <c r="W121" s="25"/>
      <c r="X121" s="25"/>
      <c r="Y121" s="25"/>
      <c r="Z121" s="25"/>
      <c r="AA121" s="25"/>
      <c r="AB121" s="25"/>
      <c r="AC121" s="25"/>
    </row>
    <row r="122">
      <c r="A122" s="41" t="str">
        <f>'DE ( Tarik barang retur )'!AC99</f>
        <v>AWBR-11544-15-05-26-C01</v>
      </c>
      <c r="B122" s="24" t="str">
        <f>'DE ( Tarik barang retur )'!F99</f>
        <v>Apotek Gema Sehat Medang Pagedangan</v>
      </c>
      <c r="C122" s="35">
        <f>'DE ( Tarik barang retur )'!G99</f>
        <v>6.2813E+16</v>
      </c>
      <c r="D122" s="24" t="str">
        <f>'DE ( Tarik barang retur )'!H99</f>
        <v>Ruko Blok C.6 No. D28,Medang Lestari Kel. Medang Kec. Pagedangan Kab. Tangerang 15334</v>
      </c>
      <c r="E122" s="24" t="str">
        <f>'DE ( Tarik barang retur )'!D99</f>
        <v>TMP-11544-15-05-2026</v>
      </c>
      <c r="F122" s="24" t="str">
        <f>'DE ( Tarik barang retur )'!R99</f>
        <v>TMP-11544-15/05/2026Tarik Faktur/Total invoices =6</v>
      </c>
      <c r="G122" s="36">
        <f>'DE ( Tarik barang retur )'!AF99</f>
        <v>46161</v>
      </c>
      <c r="H122" s="21"/>
      <c r="I122" s="21"/>
      <c r="J122" s="21" t="s">
        <v>5287</v>
      </c>
      <c r="K122" s="24"/>
      <c r="L122" s="25">
        <f>COUNTIFS(A:A,A122)</f>
        <v>1</v>
      </c>
      <c r="M122" s="25" t="str">
        <f>GET_LOCATION(D122,"city")</f>
        <v>Tangerang Regency</v>
      </c>
      <c r="N122" s="25" t="str">
        <f>GET_LOCATION(D122,"province")</f>
        <v>Banten</v>
      </c>
      <c r="O122" s="25" t="str">
        <f>VLOOKUP(M122,'Mapping Area'!A:C,3,0)</f>
        <v>GJ</v>
      </c>
      <c r="P122" s="25"/>
      <c r="Q122" s="25"/>
      <c r="R122" s="25"/>
      <c r="S122" s="25"/>
      <c r="T122" s="25"/>
      <c r="U122" s="25"/>
      <c r="V122" s="25"/>
      <c r="W122" s="25"/>
      <c r="X122" s="25"/>
      <c r="Y122" s="25"/>
      <c r="Z122" s="25"/>
      <c r="AA122" s="25"/>
      <c r="AB122" s="25"/>
      <c r="AC122" s="25"/>
    </row>
    <row r="123">
      <c r="A123" s="41" t="str">
        <f>'DE ( Tarik barang retur )'!AC100</f>
        <v>AWBR-681-15-05-26-C01</v>
      </c>
      <c r="B123" s="24" t="str">
        <f>'DE ( Tarik barang retur )'!F100</f>
        <v>Apotek Bri Farma</v>
      </c>
      <c r="C123" s="24">
        <f>'DE ( Tarik barang retur )'!G100</f>
        <v>8129672449</v>
      </c>
      <c r="D123" s="24" t="str">
        <f>'DE ( Tarik barang retur )'!H100</f>
        <v>Taman Royal I, Ruko Permata Niaga 3 No.2 Kelurahan Tanah Tinggi, Kecamatan Tangerang, Kota Tangerang 15119</v>
      </c>
      <c r="E123" s="24" t="str">
        <f>'DE ( Tarik barang retur )'!D100</f>
        <v>TMP-681-15-05-2026</v>
      </c>
      <c r="F123" s="24" t="str">
        <f>'DE ( Tarik barang retur )'!R100</f>
        <v>TMP-681-15/05/2026Tarik Faktur/Total invoices =5</v>
      </c>
      <c r="G123" s="36">
        <f>'DE ( Tarik barang retur )'!AF100</f>
        <v>46161</v>
      </c>
      <c r="H123" s="22">
        <v>46161.0</v>
      </c>
      <c r="I123" s="22">
        <v>46162.0</v>
      </c>
      <c r="J123" s="21" t="s">
        <v>5294</v>
      </c>
      <c r="K123" s="24"/>
      <c r="L123" s="25"/>
      <c r="M123" s="25"/>
      <c r="N123" s="25"/>
      <c r="O123" s="25"/>
      <c r="P123" s="25"/>
      <c r="Q123" s="25"/>
      <c r="R123" s="25"/>
      <c r="S123" s="25"/>
      <c r="T123" s="25"/>
      <c r="U123" s="25"/>
      <c r="V123" s="25"/>
      <c r="W123" s="25"/>
      <c r="X123" s="25"/>
      <c r="Y123" s="25"/>
      <c r="Z123" s="25"/>
      <c r="AA123" s="25"/>
      <c r="AB123" s="25"/>
      <c r="AC123" s="25"/>
    </row>
    <row r="124">
      <c r="A124" s="41" t="str">
        <f>'DE ( Tarik barang retur )'!AC101</f>
        <v>AWBR-11941-15-05-26-C01</v>
      </c>
      <c r="B124" s="24" t="str">
        <f>'DE ( Tarik barang retur )'!F101</f>
        <v>Apotek Fortune Paku Jaya Serpong Utara</v>
      </c>
      <c r="C124" s="35">
        <f>'DE ( Tarik barang retur )'!G101</f>
        <v>6.28138E+17</v>
      </c>
      <c r="D124" s="24" t="str">
        <f>'DE ( Tarik barang retur )'!H101</f>
        <v>Ruko Fortune 8 Blok Fb/ C No. 23, Desa/Kelurahan Pakujaya, Kec. Serpong Utara, Kota Tangerang Selatan,</v>
      </c>
      <c r="E124" s="24" t="str">
        <f>'DE ( Tarik barang retur )'!D101</f>
        <v>TMP-11941-15-05-2026</v>
      </c>
      <c r="F124" s="24" t="str">
        <f>'DE ( Tarik barang retur )'!R101</f>
        <v>TMP-11941-15/05/2026Tarik Faktur/Total invoices =5</v>
      </c>
      <c r="G124" s="36">
        <f>'DE ( Tarik barang retur )'!AF101</f>
        <v>46161</v>
      </c>
      <c r="H124" s="22">
        <v>46161.0</v>
      </c>
      <c r="I124" s="22">
        <v>46162.0</v>
      </c>
      <c r="J124" s="21" t="s">
        <v>5294</v>
      </c>
      <c r="K124" s="24"/>
      <c r="L124" s="25"/>
      <c r="M124" s="25"/>
      <c r="N124" s="25"/>
      <c r="O124" s="25"/>
      <c r="P124" s="25"/>
      <c r="Q124" s="25"/>
      <c r="R124" s="25"/>
      <c r="S124" s="25"/>
      <c r="T124" s="25"/>
      <c r="U124" s="25"/>
      <c r="V124" s="25"/>
      <c r="W124" s="25"/>
      <c r="X124" s="25"/>
      <c r="Y124" s="25"/>
      <c r="Z124" s="25"/>
      <c r="AA124" s="25"/>
      <c r="AB124" s="25"/>
      <c r="AC124" s="25"/>
    </row>
    <row r="125">
      <c r="A125" s="41" t="str">
        <f>'DE ( Tarik barang retur )'!AC102</f>
        <v>AWBR-2222-15-05-26-C01</v>
      </c>
      <c r="B125" s="24" t="str">
        <f>'DE ( Tarik barang retur )'!F102</f>
        <v>Apotek Medika Arzafa</v>
      </c>
      <c r="C125" s="24">
        <f>'DE ( Tarik barang retur )'!G102</f>
        <v>81253548834</v>
      </c>
      <c r="D125" s="24" t="str">
        <f>'DE ( Tarik barang retur )'!H102</f>
        <v>Jalan Perum Griya Asri Raya Blok B8 No. 44 RT 053 RW 007 Kelurahan Jelupang Kecamatan Serpong Utara Tangerang Selatan 15323</v>
      </c>
      <c r="E125" s="24" t="str">
        <f>'DE ( Tarik barang retur )'!D102</f>
        <v>TMP-2222-15-05-2026</v>
      </c>
      <c r="F125" s="24" t="str">
        <f>'DE ( Tarik barang retur )'!R102</f>
        <v>TMP-2222-15/05/2026Tarik Faktur/Total invoices =5</v>
      </c>
      <c r="G125" s="36">
        <f>'DE ( Tarik barang retur )'!AF102</f>
        <v>46161</v>
      </c>
      <c r="H125" s="22">
        <v>46161.0</v>
      </c>
      <c r="I125" s="22">
        <v>46162.0</v>
      </c>
      <c r="J125" s="21" t="s">
        <v>5294</v>
      </c>
      <c r="K125" s="24"/>
      <c r="L125" s="25"/>
      <c r="M125" s="25"/>
      <c r="N125" s="25"/>
      <c r="O125" s="25"/>
      <c r="P125" s="25"/>
      <c r="Q125" s="25"/>
      <c r="R125" s="25"/>
      <c r="S125" s="25"/>
      <c r="T125" s="25"/>
      <c r="U125" s="25"/>
      <c r="V125" s="25"/>
      <c r="W125" s="25"/>
      <c r="X125" s="25"/>
      <c r="Y125" s="25"/>
      <c r="Z125" s="25"/>
      <c r="AA125" s="25"/>
      <c r="AB125" s="25"/>
      <c r="AC125" s="25"/>
    </row>
    <row r="126">
      <c r="A126" s="41" t="str">
        <f>'DE ( Tarik barang retur )'!AC103</f>
        <v>AWBR-15907-15-05-26-C01</v>
      </c>
      <c r="B126" s="24" t="str">
        <f>'DE ( Tarik barang retur )'!F103</f>
        <v>Apotek El Shaddai 2 Cibodasari Cibodas</v>
      </c>
      <c r="C126" s="35">
        <f>'DE ( Tarik barang retur )'!G103</f>
        <v>6.28788E+17</v>
      </c>
      <c r="D126" s="24" t="str">
        <f>'DE ( Tarik barang retur )'!H103</f>
        <v>Jln. Pandan Raya No.14 RT.005 RW.013 Perumnas I Kel. Cibodasari Kec. Cibodas - Kota Tangerang</v>
      </c>
      <c r="E126" s="24" t="str">
        <f>'DE ( Tarik barang retur )'!D103</f>
        <v>TMP-15907-15-05-2026</v>
      </c>
      <c r="F126" s="24" t="str">
        <f>'DE ( Tarik barang retur )'!R103</f>
        <v>TMP-15907-15/05/2026Tarik Faktur/Total invoices =5</v>
      </c>
      <c r="G126" s="36">
        <f>'DE ( Tarik barang retur )'!AF103</f>
        <v>46161</v>
      </c>
      <c r="H126" s="22">
        <v>46172.0</v>
      </c>
      <c r="I126" s="22">
        <v>46173.0</v>
      </c>
      <c r="J126" s="21" t="s">
        <v>5294</v>
      </c>
      <c r="K126" s="24"/>
      <c r="L126" s="25"/>
      <c r="M126" s="25"/>
      <c r="N126" s="25"/>
      <c r="O126" s="25"/>
      <c r="P126" s="25"/>
      <c r="Q126" s="25"/>
      <c r="R126" s="25"/>
      <c r="S126" s="25"/>
      <c r="T126" s="25"/>
      <c r="U126" s="25"/>
      <c r="V126" s="25"/>
      <c r="W126" s="25"/>
      <c r="X126" s="25"/>
      <c r="Y126" s="25"/>
      <c r="Z126" s="25"/>
      <c r="AA126" s="25"/>
      <c r="AB126" s="25"/>
      <c r="AC126" s="25"/>
    </row>
    <row r="127">
      <c r="A127" s="41" t="str">
        <f>'DE ( Tarik barang retur )'!AC104</f>
        <v>AWBR-1249-15-05-26-C01</v>
      </c>
      <c r="B127" s="24" t="str">
        <f>'DE ( Tarik barang retur )'!F104</f>
        <v>Apotek K24 Anggrek Cikarang Baru</v>
      </c>
      <c r="C127" s="24">
        <f>'DE ( Tarik barang retur )'!G104</f>
        <v>87877209076</v>
      </c>
      <c r="D127" s="24" t="str">
        <f>'DE ( Tarik barang retur )'!H104</f>
        <v>Jalan Anggrek Kaviling B1 No.23 Kelurahan Mekarmukti Kecamatan Cikarang Utara Kabupaten Bekasi 17530</v>
      </c>
      <c r="E127" s="24" t="str">
        <f>'DE ( Tarik barang retur )'!D104</f>
        <v>TMP-1249-15-05-2026</v>
      </c>
      <c r="F127" s="24" t="str">
        <f>'DE ( Tarik barang retur )'!R104</f>
        <v>TMP-1249-15/05/2026Tarik Faktur/Total invoices =42</v>
      </c>
      <c r="G127" s="36">
        <f>'DE ( Tarik barang retur )'!AF104</f>
        <v>46161</v>
      </c>
      <c r="H127" s="22">
        <v>46162.0</v>
      </c>
      <c r="I127" s="22">
        <v>46162.0</v>
      </c>
      <c r="J127" s="21" t="s">
        <v>5294</v>
      </c>
      <c r="K127" s="24"/>
      <c r="L127" s="25"/>
      <c r="M127" s="25"/>
      <c r="N127" s="25"/>
      <c r="O127" s="25"/>
      <c r="P127" s="25"/>
      <c r="Q127" s="25"/>
      <c r="R127" s="25"/>
      <c r="S127" s="25"/>
      <c r="T127" s="25"/>
      <c r="U127" s="25"/>
      <c r="V127" s="25"/>
      <c r="W127" s="25"/>
      <c r="X127" s="25"/>
      <c r="Y127" s="25"/>
      <c r="Z127" s="25"/>
      <c r="AA127" s="25"/>
      <c r="AB127" s="25"/>
      <c r="AC127" s="25"/>
    </row>
    <row r="128">
      <c r="A128" s="41" t="str">
        <f>'DE ( Tarik barang retur )'!AC105</f>
        <v>AWBR-9226-15-05-26-C01</v>
      </c>
      <c r="B128" s="24" t="str">
        <f>'DE ( Tarik barang retur )'!F105</f>
        <v>Apotek Adara Farma Ciledug Setu</v>
      </c>
      <c r="C128" s="35">
        <f>'DE ( Tarik barang retur )'!G105</f>
        <v>6.28162E+16</v>
      </c>
      <c r="D128" s="24" t="str">
        <f>'DE ( Tarik barang retur )'!H105</f>
        <v>Jl. Tonggong Londok RT 006 RW 002 Desa Ciledug Kec. Setu Kab. Bekasi 17320</v>
      </c>
      <c r="E128" s="24" t="str">
        <f>'DE ( Tarik barang retur )'!D105</f>
        <v>TMP-9226-15-05-2026</v>
      </c>
      <c r="F128" s="24" t="str">
        <f>'DE ( Tarik barang retur )'!R105</f>
        <v>TMP-9226-15/05/2026Tarik Faktur/Total invoices =20</v>
      </c>
      <c r="G128" s="36">
        <f>'DE ( Tarik barang retur )'!AF105</f>
        <v>46161</v>
      </c>
      <c r="H128" s="22">
        <v>46162.0</v>
      </c>
      <c r="I128" s="22">
        <v>46162.0</v>
      </c>
      <c r="J128" s="21" t="s">
        <v>5294</v>
      </c>
      <c r="K128" s="24"/>
      <c r="L128" s="25"/>
      <c r="M128" s="25"/>
      <c r="N128" s="25"/>
      <c r="O128" s="25"/>
      <c r="P128" s="25"/>
      <c r="Q128" s="25"/>
      <c r="R128" s="25"/>
      <c r="S128" s="25"/>
      <c r="T128" s="25"/>
      <c r="U128" s="25"/>
      <c r="V128" s="25"/>
      <c r="W128" s="25"/>
      <c r="X128" s="25"/>
      <c r="Y128" s="25"/>
      <c r="Z128" s="25"/>
      <c r="AA128" s="25"/>
      <c r="AB128" s="25"/>
      <c r="AC128" s="25"/>
    </row>
    <row r="129">
      <c r="A129" s="41" t="str">
        <f>'DE ( Tarik barang retur )'!AC106</f>
        <v>AWBR-13760-15-05-26-C01</v>
      </c>
      <c r="B129" s="24" t="str">
        <f>'DE ( Tarik barang retur )'!F106</f>
        <v>Apotek Mari Sehat Sukasejati Cikarang Selatan</v>
      </c>
      <c r="C129" s="35">
        <f>'DE ( Tarik barang retur )'!G106</f>
        <v>6.28232E+17</v>
      </c>
      <c r="D129" s="24" t="str">
        <f>'DE ( Tarik barang retur )'!H106</f>
        <v>Perumahan Villa Mutiara Cikarang 2 Blok B2 No 29, Desa/Kelurahan Sukasejati, Kec. Cikarang Selatan, Kab. Bekasi</v>
      </c>
      <c r="E129" s="24" t="str">
        <f>'DE ( Tarik barang retur )'!D106</f>
        <v>TMP-13760-15-05-2026</v>
      </c>
      <c r="F129" s="24" t="str">
        <f>'DE ( Tarik barang retur )'!R106</f>
        <v>TMP-13760-15/05/2026Tarik Faktur/Total invoices =20</v>
      </c>
      <c r="G129" s="36">
        <f>'DE ( Tarik barang retur )'!AF106</f>
        <v>46161</v>
      </c>
      <c r="H129" s="22">
        <v>46166.0</v>
      </c>
      <c r="I129" s="22">
        <v>46166.0</v>
      </c>
      <c r="J129" s="21" t="s">
        <v>5294</v>
      </c>
      <c r="K129" s="24"/>
      <c r="L129" s="25"/>
      <c r="M129" s="25"/>
      <c r="N129" s="25"/>
      <c r="O129" s="25"/>
      <c r="P129" s="25"/>
      <c r="Q129" s="25"/>
      <c r="R129" s="25"/>
      <c r="S129" s="25"/>
      <c r="T129" s="25"/>
      <c r="U129" s="25"/>
      <c r="V129" s="25"/>
      <c r="W129" s="25"/>
      <c r="X129" s="25"/>
      <c r="Y129" s="25"/>
      <c r="Z129" s="25"/>
      <c r="AA129" s="25"/>
      <c r="AB129" s="25"/>
      <c r="AC129" s="25"/>
    </row>
    <row r="130">
      <c r="A130" s="41" t="str">
        <f>'DE ( Tarik barang retur )'!AC107</f>
        <v>AWBR-13383-15-05-26-C01</v>
      </c>
      <c r="B130" s="24" t="str">
        <f>'DE ( Tarik barang retur )'!F107</f>
        <v>Apotek Ayesha Farma Pasirranji Cikarang Pusat</v>
      </c>
      <c r="C130" s="35">
        <f>'DE ( Tarik barang retur )'!G107</f>
        <v>6.28589E+17</v>
      </c>
      <c r="D130" s="24" t="str">
        <f>'DE ( Tarik barang retur )'!H107</f>
        <v>Kp Pasirranji RT 006/ RW 002 Desa Pasirranji, Kec. Cikarang Pusat, Kabupaten Bekasi</v>
      </c>
      <c r="E130" s="24" t="str">
        <f>'DE ( Tarik barang retur )'!D107</f>
        <v>TMP-13383-15-05-2026</v>
      </c>
      <c r="F130" s="24" t="str">
        <f>'DE ( Tarik barang retur )'!R107</f>
        <v>TMP-13383-15/05/2026Tarik Faktur/Total invoices =15</v>
      </c>
      <c r="G130" s="36">
        <f>'DE ( Tarik barang retur )'!AF107</f>
        <v>46161</v>
      </c>
      <c r="H130" s="22">
        <v>46179.0</v>
      </c>
      <c r="I130" s="22">
        <v>46180.0</v>
      </c>
      <c r="J130" s="21" t="s">
        <v>5294</v>
      </c>
      <c r="K130" s="24"/>
      <c r="L130" s="25"/>
      <c r="M130" s="25"/>
      <c r="N130" s="25"/>
      <c r="O130" s="25"/>
      <c r="P130" s="25"/>
      <c r="Q130" s="25"/>
      <c r="R130" s="25"/>
      <c r="S130" s="25"/>
      <c r="T130" s="25"/>
      <c r="U130" s="25"/>
      <c r="V130" s="25"/>
      <c r="W130" s="25"/>
      <c r="X130" s="25"/>
      <c r="Y130" s="25"/>
      <c r="Z130" s="25"/>
      <c r="AA130" s="25"/>
      <c r="AB130" s="25"/>
      <c r="AC130" s="25"/>
    </row>
    <row r="131">
      <c r="A131" s="41" t="str">
        <f>'DE ( Tarik barang retur )'!AC108</f>
        <v>AWBR-11388-15-05-26-C01</v>
      </c>
      <c r="B131" s="24" t="str">
        <f>'DE ( Tarik barang retur )'!F108</f>
        <v>Apotek Rahayu Medika BTR 3 Padurenan Mustika Jaya</v>
      </c>
      <c r="C131" s="35">
        <f>'DE ( Tarik barang retur )'!G108</f>
        <v>6.28528E+17</v>
      </c>
      <c r="D131" s="24" t="str">
        <f>'DE ( Tarik barang retur )'!H108</f>
        <v>Perumahan Bekasi Timur Regency 3 Blok F1 No 8, Kel. Padurenan Kec. Mustika Jaya, Kota Bekasi, 17155</v>
      </c>
      <c r="E131" s="24" t="str">
        <f>'DE ( Tarik barang retur )'!D108</f>
        <v>TMP-11388-15-05-2026</v>
      </c>
      <c r="F131" s="24" t="str">
        <f>'DE ( Tarik barang retur )'!R108</f>
        <v>TMP-11388-15/05/2026Tarik Faktur/Total invoices =13</v>
      </c>
      <c r="G131" s="36">
        <f>'DE ( Tarik barang retur )'!AF108</f>
        <v>46161</v>
      </c>
      <c r="H131" s="22">
        <v>46162.0</v>
      </c>
      <c r="I131" s="22">
        <v>46162.0</v>
      </c>
      <c r="J131" s="21" t="s">
        <v>5294</v>
      </c>
      <c r="K131" s="24"/>
      <c r="L131" s="25"/>
      <c r="M131" s="25"/>
      <c r="N131" s="25"/>
      <c r="O131" s="25"/>
      <c r="P131" s="25"/>
      <c r="Q131" s="25"/>
      <c r="R131" s="25"/>
      <c r="S131" s="25"/>
      <c r="T131" s="25"/>
      <c r="U131" s="25"/>
      <c r="V131" s="25"/>
      <c r="W131" s="25"/>
      <c r="X131" s="25"/>
      <c r="Y131" s="25"/>
      <c r="Z131" s="25"/>
      <c r="AA131" s="25"/>
      <c r="AB131" s="25"/>
      <c r="AC131" s="25"/>
    </row>
    <row r="132">
      <c r="A132" s="41" t="str">
        <f>'DE ( Tarik barang retur )'!AC109</f>
        <v>AWBR-12527-15-05-26-C01</v>
      </c>
      <c r="B132" s="24" t="str">
        <f>'DE ( Tarik barang retur )'!F109</f>
        <v>Apotek Kembar Jaya Farma Jayasampurna Serang Baru</v>
      </c>
      <c r="C132" s="35">
        <f>'DE ( Tarik barang retur )'!G109</f>
        <v>6.28582E+17</v>
      </c>
      <c r="D132" s="24" t="str">
        <f>'DE ( Tarik barang retur )'!H109</f>
        <v>Kp Pagadungan RT 03 RW 04 Desa Jayasampurna Kec. Serang Baru Kab. Bekasi</v>
      </c>
      <c r="E132" s="24" t="str">
        <f>'DE ( Tarik barang retur )'!D109</f>
        <v>TMP-12527-15-05-2026</v>
      </c>
      <c r="F132" s="24" t="str">
        <f>'DE ( Tarik barang retur )'!R109</f>
        <v>TMP-12527-15/05/2026Tarik Faktur/Total invoices =12</v>
      </c>
      <c r="G132" s="36">
        <f>'DE ( Tarik barang retur )'!AF109</f>
        <v>46161</v>
      </c>
      <c r="H132" s="22">
        <v>46166.0</v>
      </c>
      <c r="I132" s="22">
        <v>46166.0</v>
      </c>
      <c r="J132" s="21" t="s">
        <v>5294</v>
      </c>
      <c r="K132" s="24"/>
      <c r="L132" s="25"/>
      <c r="M132" s="25"/>
      <c r="N132" s="25"/>
      <c r="O132" s="25"/>
      <c r="P132" s="25"/>
      <c r="Q132" s="25"/>
      <c r="R132" s="25"/>
      <c r="S132" s="25"/>
      <c r="T132" s="25"/>
      <c r="U132" s="25"/>
      <c r="V132" s="25"/>
      <c r="W132" s="25"/>
      <c r="X132" s="25"/>
      <c r="Y132" s="25"/>
      <c r="Z132" s="25"/>
      <c r="AA132" s="25"/>
      <c r="AB132" s="25"/>
      <c r="AC132" s="25"/>
    </row>
    <row r="133">
      <c r="A133" s="41" t="str">
        <f>'DE ( Tarik barang retur )'!AC110</f>
        <v>AWBR-13216-15-05-26-C01</v>
      </c>
      <c r="B133" s="24" t="str">
        <f>'DE ( Tarik barang retur )'!F110</f>
        <v>Apotek Ambu Nara Cimuning Mustika Jaya</v>
      </c>
      <c r="C133" s="35">
        <f>'DE ( Tarik barang retur )'!G110</f>
        <v>6.28785E+17</v>
      </c>
      <c r="D133" s="24" t="str">
        <f>'DE ( Tarik barang retur )'!H110</f>
        <v>Perumahan Bekasi Timur Regency I, Ruko Michella Blok. I09 No. 09, Jl. Raya Gelatik RT. 002 RW. 018 Kel. Cimuning Kec. Mustika Jaya, Kota Bekasi</v>
      </c>
      <c r="E133" s="24" t="str">
        <f>'DE ( Tarik barang retur )'!D110</f>
        <v>TMP-13216-15-05-2026</v>
      </c>
      <c r="F133" s="24" t="str">
        <f>'DE ( Tarik barang retur )'!R110</f>
        <v>TMP-13216-15/05/2026Tarik Faktur/Total invoices =11</v>
      </c>
      <c r="G133" s="36">
        <f>'DE ( Tarik barang retur )'!AF110</f>
        <v>46161</v>
      </c>
      <c r="H133" s="22">
        <v>46162.0</v>
      </c>
      <c r="I133" s="22">
        <v>46162.0</v>
      </c>
      <c r="J133" s="21" t="s">
        <v>5294</v>
      </c>
      <c r="K133" s="24"/>
      <c r="L133" s="25"/>
      <c r="M133" s="25"/>
      <c r="N133" s="25"/>
      <c r="O133" s="25"/>
      <c r="P133" s="25"/>
      <c r="Q133" s="25"/>
      <c r="R133" s="25"/>
      <c r="S133" s="25"/>
      <c r="T133" s="25"/>
      <c r="U133" s="25"/>
      <c r="V133" s="25"/>
      <c r="W133" s="25"/>
      <c r="X133" s="25"/>
      <c r="Y133" s="25"/>
      <c r="Z133" s="25"/>
      <c r="AA133" s="25"/>
      <c r="AB133" s="25"/>
      <c r="AC133" s="25"/>
    </row>
    <row r="134">
      <c r="A134" s="41" t="str">
        <f>'DE ( Tarik barang retur )'!AC111</f>
        <v>AWBR-10958-15-05-26-C01</v>
      </c>
      <c r="B134" s="24" t="str">
        <f>'DE ( Tarik barang retur )'!F111</f>
        <v>Apotek Gold Sukamahi Cikarang Pusat</v>
      </c>
      <c r="C134" s="35">
        <f>'DE ( Tarik barang retur )'!G111</f>
        <v>6.2881E+17</v>
      </c>
      <c r="D134" s="24" t="str">
        <f>'DE ( Tarik barang retur )'!H111</f>
        <v>Kp. Cimahi RT.006 RW.003 Desa Sukamahi, Kec. Cikarang Pusat, Kabupaten Bekasi 17531</v>
      </c>
      <c r="E134" s="24" t="str">
        <f>'DE ( Tarik barang retur )'!D111</f>
        <v>TMP-10958-15-05-2026</v>
      </c>
      <c r="F134" s="24" t="str">
        <f>'DE ( Tarik barang retur )'!R111</f>
        <v>TMP-10958-15/05/2026Tarik Faktur/Total invoices =10</v>
      </c>
      <c r="G134" s="36">
        <f>'DE ( Tarik barang retur )'!AF111</f>
        <v>46161</v>
      </c>
      <c r="H134" s="22">
        <v>46179.0</v>
      </c>
      <c r="I134" s="22">
        <v>46180.0</v>
      </c>
      <c r="J134" s="21" t="s">
        <v>5294</v>
      </c>
      <c r="K134" s="24"/>
      <c r="L134" s="25"/>
      <c r="M134" s="25"/>
      <c r="N134" s="25"/>
      <c r="O134" s="25"/>
      <c r="P134" s="25"/>
      <c r="Q134" s="25"/>
      <c r="R134" s="25"/>
      <c r="S134" s="25"/>
      <c r="T134" s="25"/>
      <c r="U134" s="25"/>
      <c r="V134" s="25"/>
      <c r="W134" s="25"/>
      <c r="X134" s="25"/>
      <c r="Y134" s="25"/>
      <c r="Z134" s="25"/>
      <c r="AA134" s="25"/>
      <c r="AB134" s="25"/>
      <c r="AC134" s="25"/>
    </row>
    <row r="135">
      <c r="A135" s="41" t="str">
        <f>'DE ( Tarik barang retur )'!AC112</f>
        <v>AWBR-11206-15-05-26-C01</v>
      </c>
      <c r="B135" s="24" t="str">
        <f>'DE ( Tarik barang retur )'!F112</f>
        <v>Apotek Mangun Jaya Mustikasari Mustika Jaya</v>
      </c>
      <c r="C135" s="35">
        <f>'DE ( Tarik barang retur )'!G112</f>
        <v>6.28521E+17</v>
      </c>
      <c r="D135" s="24" t="str">
        <f>'DE ( Tarik barang retur )'!H112</f>
        <v>Jalan Mandor Demong Kawasan Perumahan Familia Urban Ruko Blok DD 9-10, Desa/Kel. Mustikasari, Kec. Mustikajaya, Kota Bekasi 17157</v>
      </c>
      <c r="E135" s="24" t="str">
        <f>'DE ( Tarik barang retur )'!D112</f>
        <v>TMP-11206-15-05-2026</v>
      </c>
      <c r="F135" s="24" t="str">
        <f>'DE ( Tarik barang retur )'!R112</f>
        <v>TMP-11206-15/05/2026Tarik Faktur/Total invoices =8</v>
      </c>
      <c r="G135" s="36">
        <f>'DE ( Tarik barang retur )'!AF112</f>
        <v>46161</v>
      </c>
      <c r="H135" s="22">
        <v>46162.0</v>
      </c>
      <c r="I135" s="22">
        <v>46162.0</v>
      </c>
      <c r="J135" s="21" t="s">
        <v>5294</v>
      </c>
      <c r="K135" s="24"/>
      <c r="L135" s="25"/>
      <c r="M135" s="25"/>
      <c r="N135" s="25"/>
      <c r="O135" s="25"/>
      <c r="P135" s="25"/>
      <c r="Q135" s="25"/>
      <c r="R135" s="25"/>
      <c r="S135" s="25"/>
      <c r="T135" s="25"/>
      <c r="U135" s="25"/>
      <c r="V135" s="25"/>
      <c r="W135" s="25"/>
      <c r="X135" s="25"/>
      <c r="Y135" s="25"/>
      <c r="Z135" s="25"/>
      <c r="AA135" s="25"/>
      <c r="AB135" s="25"/>
      <c r="AC135" s="25"/>
    </row>
    <row r="136">
      <c r="A136" s="41" t="str">
        <f>'DE ( Tarik barang retur )'!AC113</f>
        <v>AWBR-12258-15-05-26-C01</v>
      </c>
      <c r="B136" s="24" t="str">
        <f>'DE ( Tarik barang retur )'!F113</f>
        <v>Apotek Tabina Farma Sukaraya Karangbahagia</v>
      </c>
      <c r="C136" s="35">
        <f>'DE ( Tarik barang retur )'!G113</f>
        <v>6.28572E+17</v>
      </c>
      <c r="D136" s="24" t="str">
        <f>'DE ( Tarik barang retur )'!H113</f>
        <v>Perum Sukaraya Indah Blok D1, Desa/Kelurahan Sukaraya, Kec. Karang Bahagia, Kab. Bekasi</v>
      </c>
      <c r="E136" s="24" t="str">
        <f>'DE ( Tarik barang retur )'!D113</f>
        <v>TMP-12258-15-05-2026</v>
      </c>
      <c r="F136" s="24" t="str">
        <f>'DE ( Tarik barang retur )'!R113</f>
        <v>TMP-12258-15/05/2026Tarik Faktur/Total invoices =8</v>
      </c>
      <c r="G136" s="36">
        <f>'DE ( Tarik barang retur )'!AF113</f>
        <v>46161</v>
      </c>
      <c r="H136" s="22">
        <v>46162.0</v>
      </c>
      <c r="I136" s="22">
        <v>46162.0</v>
      </c>
      <c r="J136" s="21" t="s">
        <v>5294</v>
      </c>
      <c r="K136" s="24"/>
      <c r="L136" s="25"/>
      <c r="M136" s="25"/>
      <c r="N136" s="25"/>
      <c r="O136" s="25"/>
      <c r="P136" s="25"/>
      <c r="Q136" s="25"/>
      <c r="R136" s="25"/>
      <c r="S136" s="25"/>
      <c r="T136" s="25"/>
      <c r="U136" s="25"/>
      <c r="V136" s="25"/>
      <c r="W136" s="25"/>
      <c r="X136" s="25"/>
      <c r="Y136" s="25"/>
      <c r="Z136" s="25"/>
      <c r="AA136" s="25"/>
      <c r="AB136" s="25"/>
      <c r="AC136" s="25"/>
    </row>
    <row r="137">
      <c r="A137" s="41" t="str">
        <f>'DE ( Tarik barang retur )'!AC114</f>
        <v>AWBR-16909-15-05-26-C01</v>
      </c>
      <c r="B137" s="24" t="str">
        <f>'DE ( Tarik barang retur )'!F114</f>
        <v>Apotek Megah Farma TCI3 Sukadami Cikarang Selatan</v>
      </c>
      <c r="C137" s="35">
        <f>'DE ( Tarik barang retur )'!G114</f>
        <v>6.28132E+16</v>
      </c>
      <c r="D137" s="24" t="str">
        <f>'DE ( Tarik barang retur )'!H114</f>
        <v>Jl. Serang-Setu No.23 Desa Sukadami, Kec. Cikarang Selatan, Kab. Bekasi</v>
      </c>
      <c r="E137" s="24" t="str">
        <f>'DE ( Tarik barang retur )'!D114</f>
        <v>TMP-16909-15-05-2026</v>
      </c>
      <c r="F137" s="24" t="str">
        <f>'DE ( Tarik barang retur )'!R114</f>
        <v>TMP-16909-15/05/2026Tarik Faktur/Total invoices =8</v>
      </c>
      <c r="G137" s="36">
        <f>'DE ( Tarik barang retur )'!AF114</f>
        <v>46161</v>
      </c>
      <c r="H137" s="22">
        <v>46166.0</v>
      </c>
      <c r="I137" s="22">
        <v>46166.0</v>
      </c>
      <c r="J137" s="21" t="s">
        <v>5294</v>
      </c>
      <c r="K137" s="24"/>
      <c r="L137" s="25"/>
      <c r="M137" s="25"/>
      <c r="N137" s="25"/>
      <c r="O137" s="25"/>
      <c r="P137" s="25"/>
      <c r="Q137" s="25"/>
      <c r="R137" s="25"/>
      <c r="S137" s="25"/>
      <c r="T137" s="25"/>
      <c r="U137" s="25"/>
      <c r="V137" s="25"/>
      <c r="W137" s="25"/>
      <c r="X137" s="25"/>
      <c r="Y137" s="25"/>
      <c r="Z137" s="25"/>
      <c r="AA137" s="25"/>
      <c r="AB137" s="25"/>
      <c r="AC137" s="25"/>
    </row>
    <row r="138">
      <c r="A138" s="41" t="str">
        <f>'DE ( Tarik barang retur )'!AC115</f>
        <v>AWBR-1868-15-05-26-C01</v>
      </c>
      <c r="B138" s="24" t="str">
        <f>'DE ( Tarik barang retur )'!F115</f>
        <v>Apotek GP Pratama</v>
      </c>
      <c r="C138" s="24">
        <f>'DE ( Tarik barang retur )'!G115</f>
        <v>85210033446</v>
      </c>
      <c r="D138" s="24" t="str">
        <f>'DE ( Tarik barang retur )'!H115</f>
        <v>Perumahan Gramapuri Persada Blok K2/9 Kelurahan Sukajaya Kecamatan Cibitung Kabupaten Bekasi 17520</v>
      </c>
      <c r="E138" s="24" t="str">
        <f>'DE ( Tarik barang retur )'!D115</f>
        <v>TMP-1868-15-05-2026</v>
      </c>
      <c r="F138" s="24" t="str">
        <f>'DE ( Tarik barang retur )'!R115</f>
        <v>TMP-1868-15/05/2026Tarik Faktur/Total invoices =8</v>
      </c>
      <c r="G138" s="36">
        <f>'DE ( Tarik barang retur )'!AF115</f>
        <v>46161</v>
      </c>
      <c r="H138" s="22">
        <v>46178.0</v>
      </c>
      <c r="I138" s="22">
        <v>46179.0</v>
      </c>
      <c r="J138" s="21" t="s">
        <v>5294</v>
      </c>
      <c r="K138" s="24"/>
      <c r="L138" s="25"/>
      <c r="M138" s="25"/>
      <c r="N138" s="25"/>
      <c r="O138" s="25"/>
      <c r="P138" s="25"/>
      <c r="Q138" s="25"/>
      <c r="R138" s="25"/>
      <c r="S138" s="25"/>
      <c r="T138" s="25"/>
      <c r="U138" s="25"/>
      <c r="V138" s="25"/>
      <c r="W138" s="25"/>
      <c r="X138" s="25"/>
      <c r="Y138" s="25"/>
      <c r="Z138" s="25"/>
      <c r="AA138" s="25"/>
      <c r="AB138" s="25"/>
      <c r="AC138" s="25"/>
    </row>
    <row r="139">
      <c r="A139" s="41" t="str">
        <f>'DE ( Tarik barang retur )'!AC116</f>
        <v>AWBR-4643-15-05-26-C01</v>
      </c>
      <c r="B139" s="24" t="str">
        <f>'DE ( Tarik barang retur )'!F116</f>
        <v>Apotek Elva Farma 2</v>
      </c>
      <c r="C139" s="24">
        <f>'DE ( Tarik barang retur )'!G116</f>
        <v>81315641123</v>
      </c>
      <c r="D139" s="24" t="str">
        <f>'DE ( Tarik barang retur )'!H116</f>
        <v>Perum Mutiara Bekasi Jaya Blok G1 No. 19A RT 005 RW 009 Desa/Kelurahan Sindangmulya Kecamatan Cibarusah Kabupaten Bekasi 17340</v>
      </c>
      <c r="E139" s="24" t="str">
        <f>'DE ( Tarik barang retur )'!D116</f>
        <v>TMP-4643-15-05-2026</v>
      </c>
      <c r="F139" s="24" t="str">
        <f>'DE ( Tarik barang retur )'!R116</f>
        <v>TMP-4643-15/05/2026Tarik Faktur/Total invoices =7</v>
      </c>
      <c r="G139" s="36">
        <f>'DE ( Tarik barang retur )'!AF116</f>
        <v>46161</v>
      </c>
      <c r="H139" s="22">
        <v>46183.0</v>
      </c>
      <c r="I139" s="22">
        <v>46183.0</v>
      </c>
      <c r="J139" s="21" t="s">
        <v>5294</v>
      </c>
      <c r="K139" s="24"/>
      <c r="L139" s="25"/>
      <c r="M139" s="25"/>
      <c r="N139" s="25"/>
      <c r="O139" s="25"/>
      <c r="P139" s="25"/>
      <c r="Q139" s="25"/>
      <c r="R139" s="25"/>
      <c r="S139" s="25"/>
      <c r="T139" s="25"/>
      <c r="U139" s="25"/>
      <c r="V139" s="25"/>
      <c r="W139" s="25"/>
      <c r="X139" s="25"/>
      <c r="Y139" s="25"/>
      <c r="Z139" s="25"/>
      <c r="AA139" s="25"/>
      <c r="AB139" s="25"/>
      <c r="AC139" s="25"/>
    </row>
    <row r="140">
      <c r="A140" s="41" t="str">
        <f>'DE ( Tarik barang retur )'!AC117</f>
        <v>AWBR-936-15-05-26-C01</v>
      </c>
      <c r="B140" s="24" t="str">
        <f>'DE ( Tarik barang retur )'!F117</f>
        <v>Apotek Serambi 1 Bantar Gebang</v>
      </c>
      <c r="C140" s="24">
        <f>'DE ( Tarik barang retur )'!G117</f>
        <v>8126700750</v>
      </c>
      <c r="D140" s="24" t="str">
        <f>'DE ( Tarik barang retur )'!H117</f>
        <v>Jalan Raya Narogong KM 11 RT 03 RW 07 Kelurahan Bantargebang Kecamatan Bantargebang Bekasi Jawa Barat 17151</v>
      </c>
      <c r="E140" s="24" t="str">
        <f>'DE ( Tarik barang retur )'!D117</f>
        <v>TMP-936-15-05-2026</v>
      </c>
      <c r="F140" s="24" t="str">
        <f>'DE ( Tarik barang retur )'!R117</f>
        <v>TMP-936-15/05/2026Tarik Faktur/Total invoices =7</v>
      </c>
      <c r="G140" s="36">
        <f>'DE ( Tarik barang retur )'!AF117</f>
        <v>46161</v>
      </c>
      <c r="H140" s="22">
        <v>46162.0</v>
      </c>
      <c r="I140" s="22">
        <v>46162.0</v>
      </c>
      <c r="J140" s="21" t="s">
        <v>5294</v>
      </c>
      <c r="K140" s="24"/>
      <c r="L140" s="25"/>
      <c r="M140" s="25"/>
      <c r="N140" s="25"/>
      <c r="O140" s="25"/>
      <c r="P140" s="25"/>
      <c r="Q140" s="25"/>
      <c r="R140" s="25"/>
      <c r="S140" s="25"/>
      <c r="T140" s="25"/>
      <c r="U140" s="25"/>
      <c r="V140" s="25"/>
      <c r="W140" s="25"/>
      <c r="X140" s="25"/>
      <c r="Y140" s="25"/>
      <c r="Z140" s="25"/>
      <c r="AA140" s="25"/>
      <c r="AB140" s="25"/>
      <c r="AC140" s="25"/>
    </row>
    <row r="141">
      <c r="A141" s="41" t="str">
        <f>'DE ( Tarik barang retur )'!AC118</f>
        <v>AWBR-6702-15-05-26-C01</v>
      </c>
      <c r="B141" s="24" t="str">
        <f>'DE ( Tarik barang retur )'!F118</f>
        <v>Apotek Rejeki 6702</v>
      </c>
      <c r="C141" s="35">
        <f>'DE ( Tarik barang retur )'!G118</f>
        <v>6.28122E+17</v>
      </c>
      <c r="D141" s="24" t="str">
        <f>'DE ( Tarik barang retur )'!H118</f>
        <v>Perum Ruko Perumahan Imanan Residence Blok A No.6 RT 005 RW 02 Desa Serang Kec. Cikarang Selatan Kab. Bekasi 17530</v>
      </c>
      <c r="E141" s="24" t="str">
        <f>'DE ( Tarik barang retur )'!D118</f>
        <v>TMP-6702-15-05-2026</v>
      </c>
      <c r="F141" s="24" t="str">
        <f>'DE ( Tarik barang retur )'!R118</f>
        <v>TMP-6702-15/05/2026Tarik Faktur/Total invoices =6</v>
      </c>
      <c r="G141" s="36">
        <f>'DE ( Tarik barang retur )'!AF118</f>
        <v>46161</v>
      </c>
      <c r="H141" s="22">
        <v>46166.0</v>
      </c>
      <c r="I141" s="22">
        <v>46166.0</v>
      </c>
      <c r="J141" s="21" t="s">
        <v>5294</v>
      </c>
      <c r="K141" s="24"/>
      <c r="L141" s="25"/>
      <c r="M141" s="25"/>
      <c r="N141" s="25"/>
      <c r="O141" s="25"/>
      <c r="P141" s="25"/>
      <c r="Q141" s="25"/>
      <c r="R141" s="25"/>
      <c r="S141" s="25"/>
      <c r="T141" s="25"/>
      <c r="U141" s="25"/>
      <c r="V141" s="25"/>
      <c r="W141" s="25"/>
      <c r="X141" s="25"/>
      <c r="Y141" s="25"/>
      <c r="Z141" s="25"/>
      <c r="AA141" s="25"/>
      <c r="AB141" s="25"/>
      <c r="AC141" s="25"/>
    </row>
    <row r="142">
      <c r="A142" s="41" t="str">
        <f>'DE ( Tarik barang retur )'!AC119</f>
        <v>AWBR-11379-15-05-26-C01</v>
      </c>
      <c r="B142" s="24" t="str">
        <f>'DE ( Tarik barang retur )'!F119</f>
        <v>Apotek Hace Regamanunggal Setu</v>
      </c>
      <c r="C142" s="35">
        <f>'DE ( Tarik barang retur )'!G119</f>
        <v>6.28112E+16</v>
      </c>
      <c r="D142" s="24" t="str">
        <f>'DE ( Tarik barang retur )'!H119</f>
        <v>Perum Harvest City, Ruko CBD Orchid Blok BVO 04 -19 Lantai 1 Desa Ragemanunggal, Kec. Setu Kab Bekasi 17320</v>
      </c>
      <c r="E142" s="24" t="str">
        <f>'DE ( Tarik barang retur )'!D119</f>
        <v>TMP-11379-15-05-2026</v>
      </c>
      <c r="F142" s="24" t="str">
        <f>'DE ( Tarik barang retur )'!R119</f>
        <v>TMP-11379-15/05/2026Tarik Faktur/Total invoices =6</v>
      </c>
      <c r="G142" s="36">
        <f>'DE ( Tarik barang retur )'!AF119</f>
        <v>46161</v>
      </c>
      <c r="H142" s="22">
        <v>46162.0</v>
      </c>
      <c r="I142" s="22">
        <v>46162.0</v>
      </c>
      <c r="J142" s="21" t="s">
        <v>5294</v>
      </c>
      <c r="K142" s="24"/>
      <c r="L142" s="25"/>
      <c r="M142" s="25"/>
      <c r="N142" s="25"/>
      <c r="O142" s="25"/>
      <c r="P142" s="25"/>
      <c r="Q142" s="25"/>
      <c r="R142" s="25"/>
      <c r="S142" s="25"/>
      <c r="T142" s="25"/>
      <c r="U142" s="25"/>
      <c r="V142" s="25"/>
      <c r="W142" s="25"/>
      <c r="X142" s="25"/>
      <c r="Y142" s="25"/>
      <c r="Z142" s="25"/>
      <c r="AA142" s="25"/>
      <c r="AB142" s="25"/>
      <c r="AC142" s="25"/>
    </row>
    <row r="143">
      <c r="A143" s="41" t="str">
        <f>'DE ( Tarik barang retur )'!AC120</f>
        <v>AWBR-12022-15-05-26-C01</v>
      </c>
      <c r="B143" s="24" t="str">
        <f>'DE ( Tarik barang retur )'!F120</f>
        <v>Apotek Sehat Jatiwangi Cikarang Barat</v>
      </c>
      <c r="C143" s="35">
        <f>'DE ( Tarik barang retur )'!G120</f>
        <v>6.28181E+17</v>
      </c>
      <c r="D143" s="24" t="str">
        <f>'DE ( Tarik barang retur )'!H120</f>
        <v>Kp Tegal Tangsi RT 003 RW 003 Desa Jatiwangi Kec. Cikarang Barat Kab. Bekasi</v>
      </c>
      <c r="E143" s="24" t="str">
        <f>'DE ( Tarik barang retur )'!D120</f>
        <v>TMP-12022-15-05-2026</v>
      </c>
      <c r="F143" s="24" t="str">
        <f>'DE ( Tarik barang retur )'!R120</f>
        <v>TMP-12022-15/05/2026Tarik Faktur/Total invoices =5</v>
      </c>
      <c r="G143" s="36">
        <f>'DE ( Tarik barang retur )'!AF120</f>
        <v>46161</v>
      </c>
      <c r="H143" s="22">
        <v>46181.0</v>
      </c>
      <c r="I143" s="22">
        <v>46182.0</v>
      </c>
      <c r="J143" s="21" t="s">
        <v>5294</v>
      </c>
      <c r="K143" s="24"/>
      <c r="L143" s="25"/>
      <c r="M143" s="25"/>
      <c r="N143" s="25"/>
      <c r="O143" s="25"/>
      <c r="P143" s="25"/>
      <c r="Q143" s="25"/>
      <c r="R143" s="25"/>
      <c r="S143" s="25"/>
      <c r="T143" s="25"/>
      <c r="U143" s="25"/>
      <c r="V143" s="25"/>
      <c r="W143" s="25"/>
      <c r="X143" s="25"/>
      <c r="Y143" s="25"/>
      <c r="Z143" s="25"/>
      <c r="AA143" s="25"/>
      <c r="AB143" s="25"/>
      <c r="AC143" s="25"/>
    </row>
    <row r="144">
      <c r="A144" s="41" t="str">
        <f>'DE ( Tarik barang retur )'!AC121</f>
        <v>AWBR-15113-15-05-26-C01</v>
      </c>
      <c r="B144" s="24" t="str">
        <f>'DE ( Tarik barang retur )'!F121</f>
        <v>Apotek Cemerlang Simpangan Cikarang Utara</v>
      </c>
      <c r="C144" s="35">
        <f>'DE ( Tarik barang retur )'!G121</f>
        <v>6.28579E+17</v>
      </c>
      <c r="D144" s="24" t="str">
        <f>'DE ( Tarik barang retur )'!H121</f>
        <v>Jl. Cisadane Raya Blok M9 No. 18 RT 01 RW 11, Desa/Kel. Simpangan, Kec. Cikarang Utara, Kab. Bekasi</v>
      </c>
      <c r="E144" s="24" t="str">
        <f>'DE ( Tarik barang retur )'!D121</f>
        <v>TMP-15113-15-05-2026</v>
      </c>
      <c r="F144" s="24" t="str">
        <f>'DE ( Tarik barang retur )'!R121</f>
        <v>TMP-15113-15/05/2026Tarik Faktur/Total invoices =5</v>
      </c>
      <c r="G144" s="36">
        <f>'DE ( Tarik barang retur )'!AF121</f>
        <v>46161</v>
      </c>
      <c r="H144" s="22">
        <v>46162.0</v>
      </c>
      <c r="I144" s="22">
        <v>46162.0</v>
      </c>
      <c r="J144" s="21" t="s">
        <v>5294</v>
      </c>
      <c r="K144" s="24"/>
      <c r="L144" s="25"/>
      <c r="M144" s="25"/>
      <c r="N144" s="25"/>
      <c r="O144" s="25"/>
      <c r="P144" s="25"/>
      <c r="Q144" s="25"/>
      <c r="R144" s="25"/>
      <c r="S144" s="25"/>
      <c r="T144" s="25"/>
      <c r="U144" s="25"/>
      <c r="V144" s="25"/>
      <c r="W144" s="25"/>
      <c r="X144" s="25"/>
      <c r="Y144" s="25"/>
      <c r="Z144" s="25"/>
      <c r="AA144" s="25"/>
      <c r="AB144" s="25"/>
      <c r="AC144" s="25"/>
    </row>
    <row r="145">
      <c r="A145" s="41" t="str">
        <f>'DE ( Tarik barang retur )'!AC122</f>
        <v>AWBR-13178-15-05-26-C01</v>
      </c>
      <c r="B145" s="24" t="str">
        <f>'DE ( Tarik barang retur )'!F122</f>
        <v>Apotek Tegaldanas Jayamukti Cikarang Pusat</v>
      </c>
      <c r="C145" s="35">
        <f>'DE ( Tarik barang retur )'!G122</f>
        <v>6.28191E+17</v>
      </c>
      <c r="D145" s="24" t="str">
        <f>'DE ( Tarik barang retur )'!H122</f>
        <v>Kp Tegaldanas RT 001 RW 001 Desa Jayamukti, Kec Cikarang Pusat Kabupaten Bekasi</v>
      </c>
      <c r="E145" s="24" t="str">
        <f>'DE ( Tarik barang retur )'!D122</f>
        <v>TMP-13178-15-05-2026</v>
      </c>
      <c r="F145" s="24" t="str">
        <f>'DE ( Tarik barang retur )'!R122</f>
        <v>TMP-13178-15/05/2026Tarik Faktur/Total invoices =5</v>
      </c>
      <c r="G145" s="36">
        <f>'DE ( Tarik barang retur )'!AF122</f>
        <v>46161</v>
      </c>
      <c r="H145" s="22">
        <v>46180.0</v>
      </c>
      <c r="I145" s="22">
        <v>46180.0</v>
      </c>
      <c r="J145" s="21" t="s">
        <v>5294</v>
      </c>
      <c r="K145" s="24"/>
      <c r="L145" s="25"/>
      <c r="M145" s="25"/>
      <c r="N145" s="25"/>
      <c r="O145" s="25"/>
      <c r="P145" s="25"/>
      <c r="Q145" s="25"/>
      <c r="R145" s="25"/>
      <c r="S145" s="25"/>
      <c r="T145" s="25"/>
      <c r="U145" s="25"/>
      <c r="V145" s="25"/>
      <c r="W145" s="25"/>
      <c r="X145" s="25"/>
      <c r="Y145" s="25"/>
      <c r="Z145" s="25"/>
      <c r="AA145" s="25"/>
      <c r="AB145" s="25"/>
      <c r="AC145" s="25"/>
    </row>
    <row r="146">
      <c r="A146" s="41" t="str">
        <f>'DE ( Tarik barang retur )'!AC123</f>
        <v>AWBR-10745-15-05-26-C01</v>
      </c>
      <c r="B146" s="24" t="str">
        <f>'DE ( Tarik barang retur )'!F123</f>
        <v>Apotek Pebayuran Farma Kertasari Pebayuran</v>
      </c>
      <c r="C146" s="35">
        <f>'DE ( Tarik barang retur )'!G123</f>
        <v>6.28774E+17</v>
      </c>
      <c r="D146" s="24" t="str">
        <f>'DE ( Tarik barang retur )'!H123</f>
        <v>Jl. Raya Pebayuran No.99 Kel. Kertasari Kec. Pebayuran Kab. Bekasi 17701</v>
      </c>
      <c r="E146" s="24" t="str">
        <f>'DE ( Tarik barang retur )'!D123</f>
        <v>TMP-10745-15-05-2026</v>
      </c>
      <c r="F146" s="24" t="str">
        <f>'DE ( Tarik barang retur )'!R123</f>
        <v>TMP-10745-15/05/2026Tarik Faktur/Total invoices =5</v>
      </c>
      <c r="G146" s="36">
        <f>'DE ( Tarik barang retur )'!AF123</f>
        <v>46161</v>
      </c>
      <c r="H146" s="22">
        <v>46179.0</v>
      </c>
      <c r="I146" s="22">
        <v>46180.0</v>
      </c>
      <c r="J146" s="21" t="s">
        <v>5294</v>
      </c>
      <c r="K146" s="24"/>
      <c r="L146" s="25"/>
      <c r="M146" s="25"/>
      <c r="N146" s="25"/>
      <c r="O146" s="25"/>
      <c r="P146" s="25"/>
      <c r="Q146" s="25"/>
      <c r="R146" s="25"/>
      <c r="S146" s="25"/>
      <c r="T146" s="25"/>
      <c r="U146" s="25"/>
      <c r="V146" s="25"/>
      <c r="W146" s="25"/>
      <c r="X146" s="25"/>
      <c r="Y146" s="25"/>
      <c r="Z146" s="25"/>
      <c r="AA146" s="25"/>
      <c r="AB146" s="25"/>
      <c r="AC146" s="25"/>
    </row>
    <row r="147">
      <c r="A147" s="41" t="str">
        <f>'DE ( Tarik barang retur )'!AC124</f>
        <v>AWBR-4471-15-05-26-C01</v>
      </c>
      <c r="B147" s="24" t="str">
        <f>'DE ( Tarik barang retur )'!F124</f>
        <v>Apotek Rahayu Medika 4471</v>
      </c>
      <c r="C147" s="24">
        <f>'DE ( Tarik barang retur )'!G124</f>
        <v>81380094078</v>
      </c>
      <c r="D147" s="24" t="str">
        <f>'DE ( Tarik barang retur )'!H124</f>
        <v>Grand Residence City Blok RR No.73 Desa/Kelurahan Cijengkol Kecamatan Setu Kabupaten Bekasi 17320</v>
      </c>
      <c r="E147" s="24" t="str">
        <f>'DE ( Tarik barang retur )'!D124</f>
        <v>TMP-4471-15-05-2026</v>
      </c>
      <c r="F147" s="24" t="str">
        <f>'DE ( Tarik barang retur )'!R124</f>
        <v>TMP-4471-15/05/2026Tarik Faktur/Total invoices =5</v>
      </c>
      <c r="G147" s="36">
        <f>'DE ( Tarik barang retur )'!AF124</f>
        <v>46161</v>
      </c>
      <c r="H147" s="22">
        <v>46162.0</v>
      </c>
      <c r="I147" s="22">
        <v>46162.0</v>
      </c>
      <c r="J147" s="21" t="s">
        <v>5294</v>
      </c>
      <c r="K147" s="24"/>
      <c r="L147" s="25"/>
      <c r="M147" s="25"/>
      <c r="N147" s="25"/>
      <c r="O147" s="25"/>
      <c r="P147" s="25"/>
      <c r="Q147" s="25"/>
      <c r="R147" s="25"/>
      <c r="S147" s="25"/>
      <c r="T147" s="25"/>
      <c r="U147" s="25"/>
      <c r="V147" s="25"/>
      <c r="W147" s="25"/>
      <c r="X147" s="25"/>
      <c r="Y147" s="25"/>
      <c r="Z147" s="25"/>
      <c r="AA147" s="25"/>
      <c r="AB147" s="25"/>
      <c r="AC147" s="25"/>
    </row>
    <row r="148">
      <c r="A148" s="41" t="str">
        <f>'DE ( Tarik barang retur )'!AC125</f>
        <v>AWBR-1515-15-05-26-C01</v>
      </c>
      <c r="B148" s="24" t="str">
        <f>'DE ( Tarik barang retur )'!F125</f>
        <v>Apotek Giri Jaya Farma</v>
      </c>
      <c r="C148" s="24">
        <f>'DE ( Tarik barang retur )'!G125</f>
        <v>83877483103</v>
      </c>
      <c r="D148" s="24" t="str">
        <f>'DE ( Tarik barang retur )'!H125</f>
        <v>Jalan Setiadarma I RT 01 RW 02 Desa Setiadarma Kecamatan Tambun Selatan Bekasi 17510</v>
      </c>
      <c r="E148" s="24" t="str">
        <f>'DE ( Tarik barang retur )'!D125</f>
        <v>TMP-1515-15-05-2026</v>
      </c>
      <c r="F148" s="24" t="str">
        <f>'DE ( Tarik barang retur )'!R125</f>
        <v>TMP-1515-15/05/2026Tarik Faktur/Total invoices =5</v>
      </c>
      <c r="G148" s="36">
        <f>'DE ( Tarik barang retur )'!AF125</f>
        <v>46161</v>
      </c>
      <c r="H148" s="22">
        <v>46183.0</v>
      </c>
      <c r="I148" s="22">
        <v>46183.0</v>
      </c>
      <c r="J148" s="21" t="s">
        <v>5294</v>
      </c>
      <c r="K148" s="24"/>
      <c r="L148" s="25"/>
      <c r="M148" s="25"/>
      <c r="N148" s="25"/>
      <c r="O148" s="25"/>
      <c r="P148" s="25"/>
      <c r="Q148" s="25"/>
      <c r="R148" s="25"/>
      <c r="S148" s="25"/>
      <c r="T148" s="25"/>
      <c r="U148" s="25"/>
      <c r="V148" s="25"/>
      <c r="W148" s="25"/>
      <c r="X148" s="25"/>
      <c r="Y148" s="25"/>
      <c r="Z148" s="25"/>
      <c r="AA148" s="25"/>
      <c r="AB148" s="25"/>
      <c r="AC148" s="25"/>
    </row>
    <row r="149">
      <c r="A149" s="24" t="str">
        <f>'DE ( Tarik barang retur )'!AC126</f>
        <v>AWBR-11670-2026-5-19-01</v>
      </c>
      <c r="B149" s="24" t="str">
        <f>'DE ( Tarik barang retur )'!F126</f>
        <v>Apotek Qiana Jatipunggur Lengkong</v>
      </c>
      <c r="C149" s="35">
        <f>'DE ( Tarik barang retur )'!G126</f>
        <v>6.28573E+17</v>
      </c>
      <c r="D149" s="24" t="str">
        <f>'DE ( Tarik barang retur )'!H126</f>
        <v>Jl. Rimba Mulya RT. 04 RW.01,Desa/Kelurahan Jati Punggur, Kecamatan Lengkong, Kabupaten Nganjuk,Jawa Timur,64393</v>
      </c>
      <c r="E149" s="24" t="str">
        <f>'DE ( Tarik barang retur )'!D126</f>
        <v>26051404220975SH4HwNiMaw</v>
      </c>
      <c r="F149" s="24" t="str">
        <f>'DE ( Tarik barang retur )'!R126</f>
        <v>TMP-INV-2026/05/15/ 2749119 / BABY HUKI PURE COTTON BUDS / Tarik Barang Retur</v>
      </c>
      <c r="G149" s="36">
        <f>'DE ( Tarik barang retur )'!AF126</f>
        <v>46161</v>
      </c>
      <c r="H149" s="21"/>
      <c r="I149" s="21"/>
      <c r="J149" s="21" t="s">
        <v>5371</v>
      </c>
      <c r="K149" s="24"/>
      <c r="L149" s="25">
        <f>COUNTIFS(A:A,A149)</f>
        <v>1</v>
      </c>
      <c r="M149" s="25" t="str">
        <f>GET_LOCATION(D149,"city")</f>
        <v>Kabupaten Nganjuk</v>
      </c>
      <c r="N149" s="25" t="str">
        <f>GET_LOCATION(D149,"province")</f>
        <v>Jawa Timur</v>
      </c>
      <c r="O149" s="25" t="str">
        <f>VLOOKUP(M149,'Mapping Area'!A:C,3,0)</f>
        <v>EJ</v>
      </c>
      <c r="P149" s="25"/>
      <c r="Q149" s="25"/>
      <c r="R149" s="25"/>
      <c r="S149" s="25"/>
      <c r="T149" s="25"/>
      <c r="U149" s="25"/>
      <c r="V149" s="25"/>
      <c r="W149" s="25"/>
      <c r="X149" s="25"/>
      <c r="Y149" s="25"/>
      <c r="Z149" s="25"/>
      <c r="AA149" s="25"/>
      <c r="AB149" s="25"/>
      <c r="AC149" s="25"/>
    </row>
    <row r="150">
      <c r="A150" s="24" t="str">
        <f>'DE ( Tarik barang retur )'!AC127</f>
        <v>AWBR-16966-2026-5-8-1-01</v>
      </c>
      <c r="B150" s="24" t="str">
        <f>'DE ( Tarik barang retur )'!F127</f>
        <v>Apotek Zelmira Farma Babakan Tenjo</v>
      </c>
      <c r="C150" s="35">
        <f>'DE ( Tarik barang retur )'!G127</f>
        <v>6.28578E+16</v>
      </c>
      <c r="D150" s="24" t="str">
        <f>'DE ( Tarik barang retur )'!H127</f>
        <v>Ruko Lavender Arcade Blok A No. 11 Kota Podomoro Tenjo Desa Babakan Kecamatan Tenjo Kabupaten Bogor</v>
      </c>
      <c r="E150" s="24" t="str">
        <f>'DE ( Tarik barang retur )'!D127</f>
        <v>26050302421026u5AFMCcD2k</v>
      </c>
      <c r="F150" s="24" t="str">
        <f>'DE ( Tarik barang retur )'!R127</f>
        <v>TMP-INV-2026/05/03/ 2703470 - CELECOXIB Nulab KAPSUL 100 MG DUS, 5 STRIP @ 10 KAPSUL - Tarik Barang Retur</v>
      </c>
      <c r="G150" s="36">
        <f>'DE ( Tarik barang retur )'!AF127</f>
        <v>46163</v>
      </c>
      <c r="H150" s="22">
        <v>46182.0</v>
      </c>
      <c r="I150" s="22">
        <v>46183.0</v>
      </c>
      <c r="J150" s="21" t="s">
        <v>5294</v>
      </c>
      <c r="K150" s="24"/>
      <c r="L150" s="25"/>
      <c r="M150" s="25"/>
      <c r="N150" s="25"/>
      <c r="O150" s="25"/>
      <c r="P150" s="25"/>
      <c r="Q150" s="25"/>
      <c r="R150" s="25"/>
      <c r="S150" s="25"/>
      <c r="T150" s="25"/>
      <c r="U150" s="25"/>
      <c r="V150" s="25"/>
      <c r="W150" s="25"/>
      <c r="X150" s="25"/>
      <c r="Y150" s="25"/>
      <c r="Z150" s="25"/>
      <c r="AA150" s="25"/>
      <c r="AB150" s="25"/>
      <c r="AC150" s="25"/>
    </row>
    <row r="151">
      <c r="A151" s="24" t="str">
        <f>'DE ( Tarik barang retur )'!AC128</f>
        <v>AWBR-1043-2026-4-22-01</v>
      </c>
      <c r="B151" s="24" t="str">
        <f>'DE ( Tarik barang retur )'!F128</f>
        <v>Apotek AgrataVia</v>
      </c>
      <c r="C151" s="24">
        <f>'DE ( Tarik barang retur )'!G128</f>
        <v>87808713439</v>
      </c>
      <c r="D151" s="24" t="str">
        <f>'DE ( Tarik barang retur )'!H128</f>
        <v>Kampung Ciakar RT 002 RW 004 Desa Cicalengka Kecamatan Pagedangan Kabupaten Tangerang 15336</v>
      </c>
      <c r="E151" s="24" t="str">
        <f>'DE ( Tarik barang retur )'!D128</f>
        <v>26040108511968kPnAh8mMCb</v>
      </c>
      <c r="F151" s="24" t="str">
        <f>'DE ( Tarik barang retur )'!R128</f>
        <v>TMP-INV-2026/04/02/ 2593356 CURCUMA FORCE Soho TABLET DUS, 10 BLISTER @ 12 TABLET SALUT SELAPUT Tarik Barang Retur</v>
      </c>
      <c r="G151" s="36">
        <f>'DE ( Tarik barang retur )'!AF128</f>
        <v>46164</v>
      </c>
      <c r="H151" s="22">
        <v>46164.0</v>
      </c>
      <c r="I151" s="22">
        <v>46165.0</v>
      </c>
      <c r="J151" s="21" t="s">
        <v>5294</v>
      </c>
      <c r="K151" s="24"/>
      <c r="L151" s="25"/>
      <c r="M151" s="25"/>
      <c r="N151" s="25"/>
      <c r="O151" s="25"/>
      <c r="P151" s="25"/>
      <c r="Q151" s="25"/>
      <c r="R151" s="25"/>
      <c r="S151" s="25"/>
      <c r="T151" s="25"/>
      <c r="U151" s="25"/>
      <c r="V151" s="25"/>
      <c r="W151" s="25"/>
      <c r="X151" s="25"/>
      <c r="Y151" s="25"/>
      <c r="Z151" s="25"/>
      <c r="AA151" s="25"/>
      <c r="AB151" s="25"/>
      <c r="AC151" s="25"/>
    </row>
    <row r="152">
      <c r="A152" s="24" t="str">
        <f>'DE ( Tarik barang retur )'!AC129</f>
        <v>AWBR-6382-2026-5-22-01</v>
      </c>
      <c r="B152" s="24" t="str">
        <f>'DE ( Tarik barang retur )'!F129</f>
        <v>Apotek Alodia Farma</v>
      </c>
      <c r="C152" s="24">
        <f>'DE ( Tarik barang retur )'!G129</f>
        <v>82111139669</v>
      </c>
      <c r="D152" s="24" t="str">
        <f>'DE ( Tarik barang retur )'!H129</f>
        <v>Jalan Pekapuran Raya No. 125 RT. 001 RW. 003 Kel. Sukatani Kec. Tapos Kota Depok 16454</v>
      </c>
      <c r="E152" s="24" t="str">
        <f>'DE ( Tarik barang retur )'!D129</f>
        <v>26032301562440pU0ytPDkHm</v>
      </c>
      <c r="F152" s="24" t="str">
        <f>'DE ( Tarik barang retur )'!R129</f>
        <v>TMP-INV-2026/03/23/ 2557146 / DIONICOL Ifars SIRUP KERING DUS, 1 BOTOL @ 60 ML / PROMAG Kalbe TABLET DUS, 3 BLISTER @ 10 TABLET KUNYAH / Tarik Barang Retur</v>
      </c>
      <c r="G152" s="36">
        <f>'DE ( Tarik barang retur )'!AF129</f>
        <v>46164</v>
      </c>
      <c r="H152" s="22">
        <v>46165.0</v>
      </c>
      <c r="I152" s="22">
        <v>46166.0</v>
      </c>
      <c r="J152" s="21" t="s">
        <v>5294</v>
      </c>
      <c r="K152" s="24"/>
      <c r="L152" s="25"/>
      <c r="M152" s="25"/>
      <c r="N152" s="25"/>
      <c r="O152" s="25"/>
      <c r="P152" s="25"/>
      <c r="Q152" s="25"/>
      <c r="R152" s="25"/>
      <c r="S152" s="25"/>
      <c r="T152" s="25"/>
      <c r="U152" s="25"/>
      <c r="V152" s="25"/>
      <c r="W152" s="25"/>
      <c r="X152" s="25"/>
      <c r="Y152" s="25"/>
      <c r="Z152" s="25"/>
      <c r="AA152" s="25"/>
      <c r="AB152" s="25"/>
      <c r="AC152" s="25"/>
    </row>
    <row r="153">
      <c r="A153" s="24" t="str">
        <f>'DE ( Tarik barang retur )'!AC130</f>
        <v>AWBR-734-2026-5-22-01</v>
      </c>
      <c r="B153" s="24" t="str">
        <f>'DE ( Tarik barang retur )'!F130</f>
        <v>Apotek Amandara</v>
      </c>
      <c r="C153" s="24">
        <f>'DE ( Tarik barang retur )'!G130</f>
        <v>8121925699</v>
      </c>
      <c r="D153" s="24" t="str">
        <f>'DE ( Tarik barang retur )'!H130</f>
        <v>Jalan Siliwangi No.3 Kelurahan Depok, Kecamatan Pancoranmas, Kota Depok 16431</v>
      </c>
      <c r="E153" s="24" t="str">
        <f>'DE ( Tarik barang retur )'!D130</f>
        <v>26042301571508gYBL2wXn44</v>
      </c>
      <c r="F153" s="24" t="str">
        <f>'DE ( Tarik barang retur )'!R130</f>
        <v>TMP-INV-2026/04/23/ 2670402 / MINYAK GANDAPURA Eagle Indo DUS, BOTOL KACA 30 ML / Tarik Barang Damaged</v>
      </c>
      <c r="G153" s="36">
        <f>'DE ( Tarik barang retur )'!AF130</f>
        <v>46164</v>
      </c>
      <c r="H153" s="22">
        <v>46165.0</v>
      </c>
      <c r="I153" s="22">
        <v>46166.0</v>
      </c>
      <c r="J153" s="21" t="s">
        <v>5294</v>
      </c>
      <c r="K153" s="24"/>
      <c r="L153" s="25"/>
      <c r="M153" s="25"/>
      <c r="N153" s="25"/>
      <c r="O153" s="25"/>
      <c r="P153" s="25"/>
      <c r="Q153" s="25"/>
      <c r="R153" s="25"/>
      <c r="S153" s="25"/>
      <c r="T153" s="25"/>
      <c r="U153" s="25"/>
      <c r="V153" s="25"/>
      <c r="W153" s="25"/>
      <c r="X153" s="25"/>
      <c r="Y153" s="25"/>
      <c r="Z153" s="25"/>
      <c r="AA153" s="25"/>
      <c r="AB153" s="25"/>
      <c r="AC153" s="25"/>
    </row>
    <row r="154">
      <c r="A154" s="24" t="str">
        <f>'DE ( Tarik barang retur )'!AC131</f>
        <v>AWBR-1240-2026-5-22-01</v>
      </c>
      <c r="B154" s="24" t="str">
        <f>'DE ( Tarik barang retur )'!F131</f>
        <v>Apotek Satrio Intermoda BSD</v>
      </c>
      <c r="C154" s="24">
        <f>'DE ( Tarik barang retur )'!G131</f>
        <v>87879355780</v>
      </c>
      <c r="D154" s="24" t="str">
        <f>'DE ( Tarik barang retur )'!H131</f>
        <v>Ruko Pasar Modern Blok A No.6 Kelurahan Sampora Kecamatan Cisauk Kabupaten Tangerang 15345</v>
      </c>
      <c r="E154" s="24" t="str">
        <f>'DE ( Tarik barang retur )'!D131</f>
        <v>26050500324850rZID8zFNH</v>
      </c>
      <c r="F154" s="24" t="str">
        <f>'DE ( Tarik barang retur )'!R131</f>
        <v>TMP-INV-2026/05/05/ 2711095 / CURCUMA PLUS EMULSION GROW RASA ORANGE Soho EMULSI DUS, BOTOL PLASTIK @ 200 ML / IMBOOST KIDS Soho SIRUP DUS, BOTOL KACA @ 120 ML / Tarik Barang Damaged</v>
      </c>
      <c r="G154" s="36">
        <f>'DE ( Tarik barang retur )'!AF131</f>
        <v>46164</v>
      </c>
      <c r="H154" s="22">
        <v>46164.0</v>
      </c>
      <c r="I154" s="22">
        <v>46165.0</v>
      </c>
      <c r="J154" s="21" t="s">
        <v>5294</v>
      </c>
      <c r="K154" s="24"/>
      <c r="L154" s="25"/>
      <c r="M154" s="25"/>
      <c r="N154" s="25"/>
      <c r="O154" s="25"/>
      <c r="P154" s="25"/>
      <c r="Q154" s="25"/>
      <c r="R154" s="25"/>
      <c r="S154" s="25"/>
      <c r="T154" s="25"/>
      <c r="U154" s="25"/>
      <c r="V154" s="25"/>
      <c r="W154" s="25"/>
      <c r="X154" s="25"/>
      <c r="Y154" s="25"/>
      <c r="Z154" s="25"/>
      <c r="AA154" s="25"/>
      <c r="AB154" s="25"/>
      <c r="AC154" s="25"/>
    </row>
    <row r="155">
      <c r="A155" s="24" t="str">
        <f>'DE ( Tarik barang retur )'!AC132</f>
        <v>AWBR-667-2026-5-23-01</v>
      </c>
      <c r="B155" s="24" t="str">
        <f>'DE ( Tarik barang retur )'!F132</f>
        <v>Apotek Berlian Farma</v>
      </c>
      <c r="C155" s="24">
        <f>'DE ( Tarik barang retur )'!G132</f>
        <v>85374101944</v>
      </c>
      <c r="D155" s="24" t="str">
        <f>'DE ( Tarik barang retur )'!H132</f>
        <v>Komplek Permata Jasindo Lestari Blok A6/14 RT.007 RW.004 Kelurahan Mekarsari, Kecamatan Cimanggis, Kota Depok 16452</v>
      </c>
      <c r="E155" s="24" t="str">
        <f>'DE ( Tarik barang retur )'!D132</f>
        <v>26050200564487THrSVGlOB</v>
      </c>
      <c r="F155" s="24" t="str">
        <f>'DE ( Tarik barang retur )'!R132</f>
        <v>TMP-INV-2026/05/02/ 2701189SAGESTAM Sanbe SALEP MATA DUS, 1 TUBE @ 3,5 GRAMTarik Barang Retur</v>
      </c>
      <c r="G155" s="36">
        <f>'DE ( Tarik barang retur )'!AF132</f>
        <v>46165</v>
      </c>
      <c r="H155" s="22">
        <v>46165.0</v>
      </c>
      <c r="I155" s="22">
        <v>46166.0</v>
      </c>
      <c r="J155" s="21" t="s">
        <v>5294</v>
      </c>
      <c r="K155" s="24"/>
      <c r="L155" s="25"/>
      <c r="M155" s="25"/>
      <c r="N155" s="25"/>
      <c r="O155" s="25"/>
      <c r="P155" s="25"/>
      <c r="Q155" s="25"/>
      <c r="R155" s="25"/>
      <c r="S155" s="25"/>
      <c r="T155" s="25"/>
      <c r="U155" s="25"/>
      <c r="V155" s="25"/>
      <c r="W155" s="25"/>
      <c r="X155" s="25"/>
      <c r="Y155" s="25"/>
      <c r="Z155" s="25"/>
      <c r="AA155" s="25"/>
      <c r="AB155" s="25"/>
      <c r="AC155" s="25"/>
    </row>
    <row r="156">
      <c r="A156" s="24" t="str">
        <f>'DE ( Tarik barang retur )'!AC133</f>
        <v>AWBR-2080-2026-5-23-01</v>
      </c>
      <c r="B156" s="24" t="str">
        <f>'DE ( Tarik barang retur )'!F133</f>
        <v>Apotek Imani</v>
      </c>
      <c r="C156" s="24">
        <f>'DE ( Tarik barang retur )'!G133</f>
        <v>8176684929</v>
      </c>
      <c r="D156" s="24" t="str">
        <f>'DE ( Tarik barang retur )'!H133</f>
        <v>Jalan KH. M. Usman No. 17 RT 004 RW 002 Kelurahan Kukusan Kecamatan Beji Kota Depok 16425</v>
      </c>
      <c r="E156" s="24" t="str">
        <f>'DE ( Tarik barang retur )'!D133</f>
        <v>26050603325899cG0PCxzd6</v>
      </c>
      <c r="F156" s="24" t="str">
        <f>'DE ( Tarik barang retur )'!R133</f>
        <v>TMP-INV-2026/05/06/ 2716401VITAQUIN Surya Dermato KRIM 5 % DUS, TUBE @ 15 GRAMTarik Barang Retur</v>
      </c>
      <c r="G156" s="36">
        <f>'DE ( Tarik barang retur )'!AF133</f>
        <v>46165</v>
      </c>
      <c r="H156" s="22">
        <v>46165.0</v>
      </c>
      <c r="I156" s="22">
        <v>46166.0</v>
      </c>
      <c r="J156" s="21" t="s">
        <v>5294</v>
      </c>
      <c r="K156" s="24"/>
      <c r="L156" s="25"/>
      <c r="M156" s="25"/>
      <c r="N156" s="25"/>
      <c r="O156" s="25"/>
      <c r="P156" s="25"/>
      <c r="Q156" s="25"/>
      <c r="R156" s="25"/>
      <c r="S156" s="25"/>
      <c r="T156" s="25"/>
      <c r="U156" s="25"/>
      <c r="V156" s="25"/>
      <c r="W156" s="25"/>
      <c r="X156" s="25"/>
      <c r="Y156" s="25"/>
      <c r="Z156" s="25"/>
      <c r="AA156" s="25"/>
      <c r="AB156" s="25"/>
      <c r="AC156" s="25"/>
    </row>
    <row r="157">
      <c r="A157" s="24" t="str">
        <f>'DE ( Tarik barang retur )'!AC134</f>
        <v>AWBR-13565-2026-5-23-01</v>
      </c>
      <c r="B157" s="24" t="str">
        <f>'DE ( Tarik barang retur )'!F134</f>
        <v>Apotek Sabi Pharma Cilangkap Cipayung</v>
      </c>
      <c r="C157" s="35">
        <f>'DE ( Tarik barang retur )'!G134</f>
        <v>6.28121E+17</v>
      </c>
      <c r="D157" s="24" t="str">
        <f>'DE ( Tarik barang retur )'!H134</f>
        <v>Jl. Cilangkap Baru Blok R No. 3 RT 001 RW 001 Kel. Cilangkap Kec. Cipayung Kota Jakarta Timur</v>
      </c>
      <c r="E157" s="24" t="str">
        <f>'DE ( Tarik barang retur )'!D134</f>
        <v>26050302261122j2mX24C2wI</v>
      </c>
      <c r="F157" s="24" t="str">
        <f>'DE ( Tarik barang retur )'!R134</f>
        <v>TMP-INV-2026/05/03/ 2703576NEPHRISOL D Sanghiang RASA CAPPUCCINO DUS, 3 SACHET @ 70 GTarik Barang Retur</v>
      </c>
      <c r="G157" s="36">
        <f>'DE ( Tarik barang retur )'!AF134</f>
        <v>46165</v>
      </c>
      <c r="H157" s="22">
        <v>46166.0</v>
      </c>
      <c r="I157" s="22">
        <v>46166.0</v>
      </c>
      <c r="J157" s="21" t="s">
        <v>5294</v>
      </c>
      <c r="K157" s="24"/>
      <c r="L157" s="25"/>
      <c r="M157" s="25"/>
      <c r="N157" s="25"/>
      <c r="O157" s="25"/>
      <c r="P157" s="25"/>
      <c r="Q157" s="25"/>
      <c r="R157" s="25"/>
      <c r="S157" s="25"/>
      <c r="T157" s="25"/>
      <c r="U157" s="25"/>
      <c r="V157" s="25"/>
      <c r="W157" s="25"/>
      <c r="X157" s="25"/>
      <c r="Y157" s="25"/>
      <c r="Z157" s="25"/>
      <c r="AA157" s="25"/>
      <c r="AB157" s="25"/>
      <c r="AC157" s="25"/>
    </row>
    <row r="158">
      <c r="A158" s="24" t="str">
        <f>'DE ( Tarik barang retur )'!AC135</f>
        <v>AWBR-15096-2026-5-23-01</v>
      </c>
      <c r="B158" s="24" t="str">
        <f>'DE ( Tarik barang retur )'!F135</f>
        <v>Apotek Thara Jatibening Baru Pondok Gede</v>
      </c>
      <c r="C158" s="35">
        <f>'DE ( Tarik barang retur )'!G135</f>
        <v>6.28222E+17</v>
      </c>
      <c r="D158" s="24" t="str">
        <f>'DE ( Tarik barang retur )'!H135</f>
        <v>Jalan Lampiri Raya, Rt.004 Rw.002 no. 12C, Desa/Kelurahan Jatibening Baru, Kec. Pondokgede, Kota Bekasi</v>
      </c>
      <c r="E158" s="24" t="str">
        <f>'DE ( Tarik barang retur )'!D135</f>
        <v>26042701421278qlN4IzcBv</v>
      </c>
      <c r="F158" s="24" t="str">
        <f>'DE ( Tarik barang retur )'!R135</f>
        <v>TMP-INV-2026/04/27/ 2683019DECOLGEN FX Darya-Varia KAPLET DUS, 10 AMPLOP @ 1 BLISTER @ 10 KAPLETTarik Barang Retur</v>
      </c>
      <c r="G158" s="36">
        <f>'DE ( Tarik barang retur )'!AF135</f>
        <v>46165</v>
      </c>
      <c r="H158" s="22">
        <v>46166.0</v>
      </c>
      <c r="I158" s="22">
        <v>46166.0</v>
      </c>
      <c r="J158" s="21" t="s">
        <v>5294</v>
      </c>
      <c r="K158" s="24"/>
      <c r="L158" s="25"/>
      <c r="M158" s="25"/>
      <c r="N158" s="25"/>
      <c r="O158" s="25"/>
      <c r="P158" s="25"/>
      <c r="Q158" s="25"/>
      <c r="R158" s="25"/>
      <c r="S158" s="25"/>
      <c r="T158" s="25"/>
      <c r="U158" s="25"/>
      <c r="V158" s="25"/>
      <c r="W158" s="25"/>
      <c r="X158" s="25"/>
      <c r="Y158" s="25"/>
      <c r="Z158" s="25"/>
      <c r="AA158" s="25"/>
      <c r="AB158" s="25"/>
      <c r="AC158" s="25"/>
    </row>
    <row r="159">
      <c r="A159" s="24" t="str">
        <f>'DE ( Tarik barang retur )'!AC136</f>
        <v>AWBR-13457-2026-5-23-01</v>
      </c>
      <c r="B159" s="24" t="str">
        <f>'DE ( Tarik barang retur )'!F136</f>
        <v>Apotek Firas Ciater Serpong</v>
      </c>
      <c r="C159" s="35">
        <f>'DE ( Tarik barang retur )'!G136</f>
        <v>6.28138E+17</v>
      </c>
      <c r="D159" s="24" t="str">
        <f>'DE ( Tarik barang retur )'!H136</f>
        <v>Jalan Kelurahan Ciater No. 57 RT 009 RW 007, Desa/Kel. Ciater, Kec. Serpong, Kota Tangerang Selatan</v>
      </c>
      <c r="E159" s="24" t="str">
        <f>'DE ( Tarik barang retur )'!D136</f>
        <v>26050310463717tGN3TkOhct</v>
      </c>
      <c r="F159" s="24" t="str">
        <f>'DE ( Tarik barang retur )'!R136</f>
        <v>TMP-INV-2026/05/04/ 2704365FLIMTY Anugrah Original BLACKCURRANT DUS, 240g / 16 SACHET @ 15 gTarik Barang Retur</v>
      </c>
      <c r="G159" s="36">
        <f>'DE ( Tarik barang retur )'!AF136</f>
        <v>46165</v>
      </c>
      <c r="H159" s="22">
        <v>46165.0</v>
      </c>
      <c r="I159" s="22">
        <v>46166.0</v>
      </c>
      <c r="J159" s="21" t="s">
        <v>5294</v>
      </c>
      <c r="K159" s="24"/>
      <c r="L159" s="25"/>
      <c r="M159" s="25"/>
      <c r="N159" s="25"/>
      <c r="O159" s="25"/>
      <c r="P159" s="25"/>
      <c r="Q159" s="25"/>
      <c r="R159" s="25"/>
      <c r="S159" s="25"/>
      <c r="T159" s="25"/>
      <c r="U159" s="25"/>
      <c r="V159" s="25"/>
      <c r="W159" s="25"/>
      <c r="X159" s="25"/>
      <c r="Y159" s="25"/>
      <c r="Z159" s="25"/>
      <c r="AA159" s="25"/>
      <c r="AB159" s="25"/>
      <c r="AC159" s="25"/>
    </row>
    <row r="160">
      <c r="A160" s="24" t="str">
        <f>'DE ( Tarik barang retur )'!AC137</f>
        <v>AWBR-2288-2026-5-23-01</v>
      </c>
      <c r="B160" s="24" t="str">
        <f>'DE ( Tarik barang retur )'!F137</f>
        <v>Apotek Ainun</v>
      </c>
      <c r="C160" s="24">
        <f>'DE ( Tarik barang retur )'!G137</f>
        <v>81314522941</v>
      </c>
      <c r="D160" s="24" t="str">
        <f>'DE ( Tarik barang retur )'!H137</f>
        <v>Jalan Raya Parung Gunung Sindur No. 23 Desa Parung Kecamatan Parung Kabupaten Bogor 16330</v>
      </c>
      <c r="E160" s="24" t="str">
        <f>'DE ( Tarik barang retur )'!D137</f>
        <v>260504023032326TpqaO3yQ1</v>
      </c>
      <c r="F160" s="24" t="str">
        <f>'DE ( Tarik barang retur )'!R137</f>
        <v>TMP-INV-2026/05/04/ 2706517 / TMP-INV-2026/05/04/ 2707209VENTOLIN NEBULES Gsk CAIRAN INHALASI 2.5 MG DUS, 4X5 AMPUL PLASTIK (NEBULES) @ 2.5 ML / BODREX MIGRA Tempo Scan KAPLET DUS, 25 BLISTER @ 4 KAPLETTarik Barang Retur</v>
      </c>
      <c r="G160" s="36">
        <f>'DE ( Tarik barang retur )'!AF137</f>
        <v>46165</v>
      </c>
      <c r="H160" s="22">
        <v>46165.0</v>
      </c>
      <c r="I160" s="22">
        <v>46166.0</v>
      </c>
      <c r="J160" s="21" t="s">
        <v>5294</v>
      </c>
      <c r="K160" s="24"/>
      <c r="L160" s="25"/>
      <c r="M160" s="25"/>
      <c r="N160" s="25"/>
      <c r="O160" s="25"/>
      <c r="P160" s="25"/>
      <c r="Q160" s="25"/>
      <c r="R160" s="25"/>
      <c r="S160" s="25"/>
      <c r="T160" s="25"/>
      <c r="U160" s="25"/>
      <c r="V160" s="25"/>
      <c r="W160" s="25"/>
      <c r="X160" s="25"/>
      <c r="Y160" s="25"/>
      <c r="Z160" s="25"/>
      <c r="AA160" s="25"/>
      <c r="AB160" s="25"/>
      <c r="AC160" s="25"/>
    </row>
    <row r="161">
      <c r="A161" s="24" t="str">
        <f>'DE ( Tarik barang retur )'!AC138</f>
        <v>AWBR-13036-2026-5-23-01</v>
      </c>
      <c r="B161" s="24" t="str">
        <f>'DE ( Tarik barang retur )'!F138</f>
        <v>Apotek Harrison Legenda Wisata Nagrak Gunung Putri</v>
      </c>
      <c r="C161" s="35">
        <f>'DE ( Tarik barang retur )'!G138</f>
        <v>6.28213E+17</v>
      </c>
      <c r="D161" s="24" t="str">
        <f>'DE ( Tarik barang retur )'!H138</f>
        <v>Ruko Lumibiz Legenda Wisata Blok. U12 No. 20-21 , Desa/Kel. Nagrak, Kec. Gunung Putri, Kab. Bogor</v>
      </c>
      <c r="E161" s="24" t="str">
        <f>'DE ( Tarik barang retur )'!D138</f>
        <v>26050404451985vPHE1QnHa</v>
      </c>
      <c r="F161" s="24" t="str">
        <f>'DE ( Tarik barang retur )'!R138</f>
        <v>TMP-INV-2026/05/05/ 2711848ALERZIN 10 Sampharindo TABLET 10 MG DUS, 10 AMPLOP @ 1 STRIP @ 10 TABLET SALUT SELAPUT /ZITANID Novell TABLET 2 MG DUS, 3 STRIP @ 10 TABLETTarik Barang Retur</v>
      </c>
      <c r="G161" s="36">
        <f>'DE ( Tarik barang retur )'!AF138</f>
        <v>46165</v>
      </c>
      <c r="H161" s="22">
        <v>46165.0</v>
      </c>
      <c r="I161" s="22">
        <v>46166.0</v>
      </c>
      <c r="J161" s="21" t="s">
        <v>5294</v>
      </c>
      <c r="K161" s="24"/>
      <c r="L161" s="25"/>
      <c r="M161" s="25"/>
      <c r="N161" s="25"/>
      <c r="O161" s="25"/>
      <c r="P161" s="25"/>
      <c r="Q161" s="25"/>
      <c r="R161" s="25"/>
      <c r="S161" s="25"/>
      <c r="T161" s="25"/>
      <c r="U161" s="25"/>
      <c r="V161" s="25"/>
      <c r="W161" s="25"/>
      <c r="X161" s="25"/>
      <c r="Y161" s="25"/>
      <c r="Z161" s="25"/>
      <c r="AA161" s="25"/>
      <c r="AB161" s="25"/>
      <c r="AC161" s="25"/>
    </row>
    <row r="162">
      <c r="A162" s="24" t="str">
        <f>'DE ( Tarik barang retur )'!AC139</f>
        <v>AWBR-11847-2026-5-23-01</v>
      </c>
      <c r="B162" s="24" t="str">
        <f>'DE ( Tarik barang retur )'!F139</f>
        <v>Apotek K24 Metland Transyogi Limus Nunggal Cileungsi</v>
      </c>
      <c r="C162" s="35">
        <f>'DE ( Tarik barang retur )'!G139</f>
        <v>6.28198E+16</v>
      </c>
      <c r="D162" s="24" t="str">
        <f>'DE ( Tarik barang retur )'!H139</f>
        <v>Ruko Perumahan Taman Metropolitan Blok PTM 2 No. 10 Desa Limusnunggal Kec. Cileungsi Kab. Bogor</v>
      </c>
      <c r="E162" s="24" t="str">
        <f>'DE ( Tarik barang retur )'!D139</f>
        <v>26020702284482BypW1lEXVm</v>
      </c>
      <c r="F162" s="24" t="str">
        <f>'DE ( Tarik barang retur )'!R139</f>
        <v>TMP-INV-2026/02/07/ 2407654OXYCAN GREEN Samator Gas KALENG, 500 CCTarik Barang Damaged</v>
      </c>
      <c r="G162" s="36">
        <f>'DE ( Tarik barang retur )'!AF139</f>
        <v>46165</v>
      </c>
      <c r="H162" s="22">
        <v>46165.0</v>
      </c>
      <c r="I162" s="22">
        <v>46166.0</v>
      </c>
      <c r="J162" s="21" t="s">
        <v>5294</v>
      </c>
      <c r="K162" s="24"/>
      <c r="L162" s="25"/>
      <c r="M162" s="25"/>
      <c r="N162" s="25"/>
      <c r="O162" s="25"/>
      <c r="P162" s="25"/>
      <c r="Q162" s="25"/>
      <c r="R162" s="25"/>
      <c r="S162" s="25"/>
      <c r="T162" s="25"/>
      <c r="U162" s="25"/>
      <c r="V162" s="25"/>
      <c r="W162" s="25"/>
      <c r="X162" s="25"/>
      <c r="Y162" s="25"/>
      <c r="Z162" s="25"/>
      <c r="AA162" s="25"/>
      <c r="AB162" s="25"/>
      <c r="AC162" s="25"/>
    </row>
    <row r="163">
      <c r="A163" s="24" t="str">
        <f>'DE ( Tarik barang retur )'!AC140</f>
        <v>AWBR-12655-2026-5-23-01</v>
      </c>
      <c r="B163" s="24" t="str">
        <f>'DE ( Tarik barang retur )'!F140</f>
        <v>Apotek Azifa Jayamukti Cikarang Pusat</v>
      </c>
      <c r="C163" s="35">
        <f>'DE ( Tarik barang retur )'!G140</f>
        <v>6.28516E+17</v>
      </c>
      <c r="D163" s="24" t="str">
        <f>'DE ( Tarik barang retur )'!H140</f>
        <v>Ruko Grand Pasadena Jl. Tarum Barat 1 No.2-3 Blok Q1 Desa Jaya Mukti Kecamatan Cikarang Pusat Kabupaten Bekasi</v>
      </c>
      <c r="E163" s="24" t="str">
        <f>'DE ( Tarik barang retur )'!D140</f>
        <v>26050408385277KTmpmVdzQ</v>
      </c>
      <c r="F163" s="24" t="str">
        <f>'DE ( Tarik barang retur )'!R140</f>
        <v>TMP-INV-2026/05/05/ 2710195HEMOBION Merck KAPSUL DUS, 10 STRIP @ 10 KAPSULTarik Barang Retur</v>
      </c>
      <c r="G163" s="36">
        <f>'DE ( Tarik barang retur )'!AF140</f>
        <v>46165</v>
      </c>
      <c r="H163" s="22">
        <v>46180.0</v>
      </c>
      <c r="I163" s="22">
        <v>46180.0</v>
      </c>
      <c r="J163" s="21" t="s">
        <v>5294</v>
      </c>
      <c r="K163" s="24"/>
      <c r="L163" s="25"/>
      <c r="M163" s="25"/>
      <c r="N163" s="25"/>
      <c r="O163" s="25"/>
      <c r="P163" s="25"/>
      <c r="Q163" s="25"/>
      <c r="R163" s="25"/>
      <c r="S163" s="25"/>
      <c r="T163" s="25"/>
      <c r="U163" s="25"/>
      <c r="V163" s="25"/>
      <c r="W163" s="25"/>
      <c r="X163" s="25"/>
      <c r="Y163" s="25"/>
      <c r="Z163" s="25"/>
      <c r="AA163" s="25"/>
      <c r="AB163" s="25"/>
      <c r="AC163" s="25"/>
    </row>
    <row r="164">
      <c r="A164" s="24" t="str">
        <f>'DE ( Tarik barang retur )'!AC141</f>
        <v>AWBR-16730-2026-5-23-01</v>
      </c>
      <c r="B164" s="24" t="str">
        <f>'DE ( Tarik barang retur )'!F141</f>
        <v>Apotek Berkah Saadah Wanajaya Cibitung</v>
      </c>
      <c r="C164" s="35">
        <f>'DE ( Tarik barang retur )'!G141</f>
        <v>6.28528E+17</v>
      </c>
      <c r="D164" s="24" t="str">
        <f>'DE ( Tarik barang retur )'!H141</f>
        <v>Kp. Selang Jati RT 002 RW 003 Desa Wanajaya Kec Cibitung Kab Bekasi</v>
      </c>
      <c r="E164" s="24" t="str">
        <f>'DE ( Tarik barang retur )'!D141</f>
        <v>26042806020771kPGuAZ701z</v>
      </c>
      <c r="F164" s="24" t="str">
        <f>'DE ( Tarik barang retur )'!R141</f>
        <v>TMP-INV-2026/04/29/ 2688271IMBOOST COUGH KIDS Soho RASA CHERRY DUS, BOTOL KACA @ 60 MLTarik Barang Retur</v>
      </c>
      <c r="G164" s="36">
        <f>'DE ( Tarik barang retur )'!AF141</f>
        <v>46165</v>
      </c>
      <c r="H164" s="22">
        <v>46178.0</v>
      </c>
      <c r="I164" s="22">
        <v>46179.0</v>
      </c>
      <c r="J164" s="21" t="s">
        <v>5294</v>
      </c>
      <c r="K164" s="24"/>
      <c r="L164" s="25"/>
      <c r="M164" s="25"/>
      <c r="N164" s="25"/>
      <c r="O164" s="25"/>
      <c r="P164" s="25"/>
      <c r="Q164" s="25"/>
      <c r="R164" s="25"/>
      <c r="S164" s="25"/>
      <c r="T164" s="25"/>
      <c r="U164" s="25"/>
      <c r="V164" s="25"/>
      <c r="W164" s="25"/>
      <c r="X164" s="25"/>
      <c r="Y164" s="25"/>
      <c r="Z164" s="25"/>
      <c r="AA164" s="25"/>
      <c r="AB164" s="25"/>
      <c r="AC164" s="25"/>
    </row>
    <row r="165">
      <c r="A165" s="24" t="str">
        <f>'DE ( Tarik barang retur )'!AC142</f>
        <v>AWBR-12377-2026-5-23-01</v>
      </c>
      <c r="B165" s="24" t="str">
        <f>'DE ( Tarik barang retur )'!F142</f>
        <v>Apotek Bintang Sehat Sukaragam Serang Baru</v>
      </c>
      <c r="C165" s="35">
        <f>'DE ( Tarik barang retur )'!G142</f>
        <v>6.28125E+17</v>
      </c>
      <c r="D165" s="24" t="str">
        <f>'DE ( Tarik barang retur )'!H142</f>
        <v>Perum Mega Regency Blok H1 No. 30 Desa Sukaragam Kec. Serang Baru Kab. Bekasi</v>
      </c>
      <c r="E165" s="24" t="str">
        <f>'DE ( Tarik barang retur )'!D142</f>
        <v>26050402383270RbneRWMAoG</v>
      </c>
      <c r="F165" s="24" t="str">
        <f>'DE ( Tarik barang retur )'!R142</f>
        <v>TMP-INV-2026/05/04/ 2706090 &amp; TMP-INV-2026/05/06/ 2714705SALONPAS HOT Hisamitsu DUS, 10 KANTONG @ 10 LEMBAR (6.5 CM X 4.2 CM) / AMH JAHE MERAH Aneka Boga BUBUK KARTON, PLASTIK @ 5 SACHETTarik Barang Retur</v>
      </c>
      <c r="G165" s="36">
        <f>'DE ( Tarik barang retur )'!AF142</f>
        <v>46165</v>
      </c>
      <c r="H165" s="22">
        <v>46179.0</v>
      </c>
      <c r="I165" s="22">
        <v>46179.0</v>
      </c>
      <c r="J165" s="21" t="s">
        <v>5294</v>
      </c>
      <c r="K165" s="24"/>
      <c r="L165" s="25"/>
      <c r="M165" s="25"/>
      <c r="N165" s="25"/>
      <c r="O165" s="25"/>
      <c r="P165" s="25"/>
      <c r="Q165" s="25"/>
      <c r="R165" s="25"/>
      <c r="S165" s="25"/>
      <c r="T165" s="25"/>
      <c r="U165" s="25"/>
      <c r="V165" s="25"/>
      <c r="W165" s="25"/>
      <c r="X165" s="25"/>
      <c r="Y165" s="25"/>
      <c r="Z165" s="25"/>
      <c r="AA165" s="25"/>
      <c r="AB165" s="25"/>
      <c r="AC165" s="25"/>
    </row>
    <row r="166">
      <c r="A166" s="24" t="str">
        <f>'DE ( Tarik barang retur )'!AC143</f>
        <v>AWBR-12428-2026-5-23-01</v>
      </c>
      <c r="B166" s="24" t="str">
        <f>'DE ( Tarik barang retur )'!F143</f>
        <v>Apotek Agam Farma Pitu Pitu</v>
      </c>
      <c r="C166" s="35">
        <f>'DE ( Tarik barang retur )'!G143</f>
        <v>6.28784E+17</v>
      </c>
      <c r="D166" s="24" t="str">
        <f>'DE ( Tarik barang retur )'!H143</f>
        <v>Ds. Ngambong,RT.002 RW 002,Desa/Kelurahan Pitu,Kecamatan Pitu,Kabupaten Ngawi,Jawa Timur,63252</v>
      </c>
      <c r="E166" s="24" t="str">
        <f>'DE ( Tarik barang retur )'!D143</f>
        <v>260519082712876jTLscrDE</v>
      </c>
      <c r="F166" s="24" t="str">
        <f>'DE ( Tarik barang retur )'!R143</f>
        <v>TMP-INV-2026/05/20/ 2767077 - ANTIMO ANAK (RASA JERUK) Phapros SIRUP
CALCIUM LACTATE Mersi TABLET
FLAMAR Sanbe EMULGEL
ANDALAN FE Harsen TABLET 0.15/0.03 MG
HERBORIST MINYAK ZAITUN Victoria Care / TARIK BARANG RETUR</v>
      </c>
      <c r="G166" s="36">
        <f>'DE ( Tarik barang retur )'!AF143</f>
        <v>46165</v>
      </c>
      <c r="H166" s="22">
        <v>46166.0</v>
      </c>
      <c r="I166" s="22">
        <v>46168.0</v>
      </c>
      <c r="J166" s="21" t="s">
        <v>5294</v>
      </c>
      <c r="K166" s="24"/>
      <c r="L166" s="25"/>
      <c r="M166" s="25"/>
      <c r="N166" s="25"/>
      <c r="O166" s="25"/>
      <c r="P166" s="25"/>
      <c r="Q166" s="25"/>
      <c r="R166" s="25"/>
      <c r="S166" s="25"/>
      <c r="T166" s="25"/>
      <c r="U166" s="25"/>
      <c r="V166" s="25"/>
      <c r="W166" s="25"/>
      <c r="X166" s="25"/>
      <c r="Y166" s="25"/>
      <c r="Z166" s="25"/>
      <c r="AA166" s="25"/>
      <c r="AB166" s="25"/>
      <c r="AC166" s="25"/>
    </row>
    <row r="167">
      <c r="A167" s="24" t="str">
        <f>'DE ( Tarik barang retur )'!AC144</f>
        <v>AWBR-2080-2026-5-24-01</v>
      </c>
      <c r="B167" s="24" t="str">
        <f>'DE ( Tarik barang retur )'!F144</f>
        <v>Apotek Imani</v>
      </c>
      <c r="C167" s="24">
        <f>'DE ( Tarik barang retur )'!G144</f>
        <v>8176684929</v>
      </c>
      <c r="D167" s="24" t="str">
        <f>'DE ( Tarik barang retur )'!H144</f>
        <v>Jalan KH. M. Usman No. 17 RT 004 RW 002 Kelurahan Kukusan Kecamatan Beji Kota Depok 16425</v>
      </c>
      <c r="E167" s="24" t="str">
        <f>'DE ( Tarik barang retur )'!D144</f>
        <v>26050200564487THrSVGlOB</v>
      </c>
      <c r="F167" s="24" t="str">
        <f>'DE ( Tarik barang retur )'!R144</f>
        <v>TMP-INV-2026/05/07/ 2720476SILADEX COUGH and FLU Konimex SIRUP DUS, 1 BOTOL PLASTIK @ 60 MLTarik Barang Retur</v>
      </c>
      <c r="G167" s="36">
        <f>'DE ( Tarik barang retur )'!AF144</f>
        <v>46166</v>
      </c>
      <c r="H167" s="22">
        <v>46180.0</v>
      </c>
      <c r="I167" s="22">
        <v>46182.0</v>
      </c>
      <c r="J167" s="21" t="s">
        <v>5294</v>
      </c>
      <c r="K167" s="24"/>
      <c r="L167" s="25"/>
      <c r="M167" s="25"/>
      <c r="N167" s="25"/>
      <c r="O167" s="25"/>
      <c r="P167" s="25"/>
      <c r="Q167" s="25"/>
      <c r="R167" s="25"/>
      <c r="S167" s="25"/>
      <c r="T167" s="25"/>
      <c r="U167" s="25"/>
      <c r="V167" s="25"/>
      <c r="W167" s="25"/>
      <c r="X167" s="25"/>
      <c r="Y167" s="25"/>
      <c r="Z167" s="25"/>
      <c r="AA167" s="25"/>
      <c r="AB167" s="25"/>
      <c r="AC167" s="25"/>
    </row>
    <row r="168">
      <c r="A168" s="24" t="str">
        <f>'DE ( Tarik barang retur )'!AC145</f>
        <v>AWBR-196-2026-5-24-01</v>
      </c>
      <c r="B168" s="24" t="str">
        <f>'DE ( Tarik barang retur )'!F145</f>
        <v>Apotek Sulthan Elidas</v>
      </c>
      <c r="C168" s="24">
        <f>'DE ( Tarik barang retur )'!G145</f>
        <v>218410085</v>
      </c>
      <c r="D168" s="24" t="str">
        <f>'DE ( Tarik barang retur )'!H145</f>
        <v>Jl. Raya Centex No. 29, RT. 011 / RW. 003, Kelurahan Ciracas, Kecamatan Ciracas, Jakarta Timur, DKI Jakarta 13740</v>
      </c>
      <c r="E168" s="24" t="str">
        <f>'DE ( Tarik barang retur )'!D145</f>
        <v>26050603325899cG0PCxzd6</v>
      </c>
      <c r="F168" s="24" t="str">
        <f>'DE ( Tarik barang retur )'!R145</f>
        <v>TMP-INV-2026/05/06/ 2716493BURNAZIN Darya-Varia KRIM DUS, 1 TUBE @ 35 G
METCOVAZIN GREEN Bidara Medika KRIM DUS, TUBE 25 G
METCOVAZIN RED Bidara Medika KRIM DUS, TUBE 25 G
OTSU-NS Otsuka INFUS 0.9% SODIUM CHLORIDE BOTOL PLASTIK 100 ML
PRIMOLUT N Bayer TABLET 5 MG DUS, 2 BLISTER @ 15 TABLET
SULFADIAZINE SILVER Darya-Varia KRIM DUS, TUBE @ 35 GTarik Barang Retur</v>
      </c>
      <c r="G168" s="36">
        <f>'DE ( Tarik barang retur )'!AF145</f>
        <v>46166</v>
      </c>
      <c r="H168" s="22">
        <v>46167.0</v>
      </c>
      <c r="I168" s="22">
        <v>46169.0</v>
      </c>
      <c r="J168" s="21" t="s">
        <v>5294</v>
      </c>
      <c r="K168" s="24"/>
      <c r="L168" s="25"/>
      <c r="M168" s="25"/>
      <c r="N168" s="25"/>
      <c r="O168" s="25"/>
      <c r="P168" s="25"/>
      <c r="Q168" s="25"/>
      <c r="R168" s="25"/>
      <c r="S168" s="25"/>
      <c r="T168" s="25"/>
      <c r="U168" s="25"/>
      <c r="V168" s="25"/>
      <c r="W168" s="25"/>
      <c r="X168" s="25"/>
      <c r="Y168" s="25"/>
      <c r="Z168" s="25"/>
      <c r="AA168" s="25"/>
      <c r="AB168" s="25"/>
      <c r="AC168" s="25"/>
    </row>
    <row r="169">
      <c r="A169" s="24" t="str">
        <f>'DE ( Tarik barang retur )'!AC146</f>
        <v>AWBR-11761-2026-5-24-01</v>
      </c>
      <c r="B169" s="24" t="str">
        <f>'DE ( Tarik barang retur )'!F146</f>
        <v>Klinik Pratama Kalya Lena Curug Gn Sindur</v>
      </c>
      <c r="C169" s="35">
        <f>'DE ( Tarik barang retur )'!G146</f>
        <v>6.28822E+17</v>
      </c>
      <c r="D169" s="24" t="str">
        <f>'DE ( Tarik barang retur )'!H146</f>
        <v>Klinik Pratama Rawat Inap Kalya Lena, Jl. Intan 1, RT. 001 RW. 001, Desa/Kel. Curug, Kec. Gunung Sindur, Kab. Bogor</v>
      </c>
      <c r="E169" s="24" t="str">
        <f>'DE ( Tarik barang retur )'!D146</f>
        <v>26050302261122j2mX24C2wI</v>
      </c>
      <c r="F169" s="24" t="str">
        <f>'DE ( Tarik barang retur )'!R146</f>
        <v>TMP-INV-2026/05/08/ 2724295CITICOLINE SODIUM Hexpharm INJEKSI DUS, 1 BLISTER @ 5 AMPUL @ 4 MLTarik Barang Retur</v>
      </c>
      <c r="G169" s="36">
        <f>'DE ( Tarik barang retur )'!AF146</f>
        <v>46166</v>
      </c>
      <c r="H169" s="22">
        <v>46167.0</v>
      </c>
      <c r="I169" s="22">
        <v>46169.0</v>
      </c>
      <c r="J169" s="21" t="s">
        <v>5294</v>
      </c>
      <c r="K169" s="24"/>
      <c r="L169" s="25"/>
      <c r="M169" s="25"/>
      <c r="N169" s="25"/>
      <c r="O169" s="25"/>
      <c r="P169" s="25"/>
      <c r="Q169" s="25"/>
      <c r="R169" s="25"/>
      <c r="S169" s="25"/>
      <c r="T169" s="25"/>
      <c r="U169" s="25"/>
      <c r="V169" s="25"/>
      <c r="W169" s="25"/>
      <c r="X169" s="25"/>
      <c r="Y169" s="25"/>
      <c r="Z169" s="25"/>
      <c r="AA169" s="25"/>
      <c r="AB169" s="25"/>
      <c r="AC169" s="25"/>
    </row>
    <row r="170">
      <c r="A170" s="24" t="str">
        <f>'DE ( Tarik barang retur )'!AC147</f>
        <v>AWBR-3901-2026-5-25-01</v>
      </c>
      <c r="B170" s="24" t="str">
        <f>'DE ( Tarik barang retur )'!F147</f>
        <v>Apotek Syafiya Sengon Jombang</v>
      </c>
      <c r="C170" s="35">
        <f>'DE ( Tarik barang retur )'!G147</f>
        <v>6.28226E+17</v>
      </c>
      <c r="D170" s="24" t="str">
        <f>'DE ( Tarik barang retur )'!H147</f>
        <v>Jl. Pattimura No. 57, Desa/Kelurahan Sengon , Kec. Jombang, Kab. Jombang, Jawa Timur, 61418</v>
      </c>
      <c r="E170" s="24" t="str">
        <f>'DE ( Tarik barang retur )'!D147</f>
        <v>26052200495469Fj6vRwDZd</v>
      </c>
      <c r="F170" s="24" t="str">
        <f>'DE ( Tarik barang retur )'!R147</f>
        <v>TMP-INV-2026/05/22/ 2774483 / BLACKMORES BIO D3 1000 IU Kalbe KAPSUL / Tarik barang retur</v>
      </c>
      <c r="G170" s="36">
        <f>'DE ( Tarik barang retur )'!AF147</f>
        <v>46167</v>
      </c>
      <c r="H170" s="22">
        <v>46167.0</v>
      </c>
      <c r="I170" s="22">
        <v>46169.0</v>
      </c>
      <c r="J170" s="21" t="s">
        <v>5294</v>
      </c>
      <c r="K170" s="24"/>
      <c r="L170" s="25"/>
      <c r="M170" s="25"/>
      <c r="N170" s="25"/>
      <c r="O170" s="25"/>
      <c r="P170" s="25"/>
      <c r="Q170" s="25"/>
      <c r="R170" s="25"/>
      <c r="S170" s="25"/>
      <c r="T170" s="25"/>
      <c r="U170" s="25"/>
      <c r="V170" s="25"/>
      <c r="W170" s="25"/>
      <c r="X170" s="25"/>
      <c r="Y170" s="25"/>
      <c r="Z170" s="25"/>
      <c r="AA170" s="25"/>
      <c r="AB170" s="25"/>
      <c r="AC170" s="25"/>
    </row>
    <row r="171">
      <c r="A171" s="24" t="str">
        <f>'DE ( Tarik barang retur )'!AC148</f>
        <v>AWBR-5547-2026-5-26-01</v>
      </c>
      <c r="B171" s="24" t="str">
        <f>'DE ( Tarik barang retur )'!F148</f>
        <v>Apotek Asli</v>
      </c>
      <c r="C171" s="24">
        <f>'DE ( Tarik barang retur )'!G148</f>
        <v>85647789448</v>
      </c>
      <c r="D171" s="24" t="str">
        <f>'DE ( Tarik barang retur )'!H148</f>
        <v>Jalan Cipto Mangunkusumo No. 11 Temanggung 1 Kabupaten Temanggung, Jawa Tengah 56212</v>
      </c>
      <c r="E171" s="24" t="str">
        <f>'DE ( Tarik barang retur )'!D148</f>
        <v>25072903080956JVg4q99snO</v>
      </c>
      <c r="F171" s="24" t="str">
        <f>'DE ( Tarik barang retur )'!R148</f>
        <v>TMP-INV-2025/07/29/ 1781386 / ANDALAN NUTRIFEMME FOLAMOM Hermed KAPLET / Tarik Barang Retur</v>
      </c>
      <c r="G171" s="36">
        <f>'DE ( Tarik barang retur )'!AF148</f>
        <v>46170</v>
      </c>
      <c r="H171" s="22">
        <v>46171.0</v>
      </c>
      <c r="I171" s="22">
        <v>46173.0</v>
      </c>
      <c r="J171" s="21" t="s">
        <v>5294</v>
      </c>
      <c r="K171" s="24"/>
      <c r="L171" s="25"/>
      <c r="M171" s="25"/>
      <c r="N171" s="25"/>
      <c r="O171" s="25"/>
      <c r="P171" s="25"/>
      <c r="Q171" s="25"/>
      <c r="R171" s="25"/>
      <c r="S171" s="25"/>
      <c r="T171" s="25"/>
      <c r="U171" s="25"/>
      <c r="V171" s="25"/>
      <c r="W171" s="25"/>
      <c r="X171" s="25"/>
      <c r="Y171" s="25"/>
      <c r="Z171" s="25"/>
      <c r="AA171" s="25"/>
      <c r="AB171" s="25"/>
      <c r="AC171" s="25"/>
    </row>
    <row r="172">
      <c r="A172" s="24" t="str">
        <f>'DE ( Tarik barang retur )'!AC149</f>
        <v>AWBR-12377-2026-5-26-01</v>
      </c>
      <c r="B172" s="24" t="str">
        <f>'DE ( Tarik barang retur )'!F149</f>
        <v>Apotek Bintang Sehat Sukaragam Serang Baru</v>
      </c>
      <c r="C172" s="35">
        <f>'DE ( Tarik barang retur )'!G149</f>
        <v>6.28125E+17</v>
      </c>
      <c r="D172" s="24" t="str">
        <f>'DE ( Tarik barang retur )'!H149</f>
        <v>Perum Mega Regency Blok H1 No. 30 Desa Sukaragam Kec. Serang Baru Kab. Bekasi</v>
      </c>
      <c r="E172" s="24" t="str">
        <f>'DE ( Tarik barang retur )'!D149</f>
        <v>26051103405125kjdtr2v65x</v>
      </c>
      <c r="F172" s="24" t="str">
        <f>'DE ( Tarik barang retur )'!R149</f>
        <v>TMP-INV-2026/05/11/ 2733082 / TMP-INV-2026/05/11/ 2732929SUPERHOID Triman SUPPOSITORIA DUS, 1 BLISTER @ 6 SUPPOSITORIA / VITAMIN B12 Holi TABLET DUS, 10 BLISTER @ 10 TABLETTarik Barang Retur</v>
      </c>
      <c r="G172" s="36">
        <f>'DE ( Tarik barang retur )'!AF149</f>
        <v>46170</v>
      </c>
      <c r="H172" s="22">
        <v>46175.0</v>
      </c>
      <c r="I172" s="22">
        <v>46175.0</v>
      </c>
      <c r="J172" s="21" t="s">
        <v>5294</v>
      </c>
      <c r="K172" s="24"/>
      <c r="L172" s="25"/>
      <c r="M172" s="25"/>
      <c r="N172" s="25"/>
      <c r="O172" s="25"/>
      <c r="P172" s="25"/>
      <c r="Q172" s="25"/>
      <c r="R172" s="25"/>
      <c r="S172" s="25"/>
      <c r="T172" s="25"/>
      <c r="U172" s="25"/>
      <c r="V172" s="25"/>
      <c r="W172" s="25"/>
      <c r="X172" s="25"/>
      <c r="Y172" s="25"/>
      <c r="Z172" s="25"/>
      <c r="AA172" s="25"/>
      <c r="AB172" s="25"/>
      <c r="AC172" s="25"/>
    </row>
    <row r="173">
      <c r="A173" s="24" t="str">
        <f>'DE ( Tarik barang retur )'!AC150</f>
        <v>AWBR-11287-2026-5-26-01</v>
      </c>
      <c r="B173" s="24" t="str">
        <f>'DE ( Tarik barang retur )'!F150</f>
        <v>Apotek Cibarusah Farma Sukasari Serang Baru</v>
      </c>
      <c r="C173" s="35">
        <f>'DE ( Tarik barang retur )'!G150</f>
        <v>6.2822E+16</v>
      </c>
      <c r="D173" s="24" t="str">
        <f>'DE ( Tarik barang retur )'!H150</f>
        <v>Kp. Pasirandu RT/RW 06/03, Desa/Kelurahan Sukasari, Kec. Serang Baru, Kab. Bekasi, 17330</v>
      </c>
      <c r="E173" s="24" t="str">
        <f>'DE ( Tarik barang retur )'!D150</f>
        <v>26042902473946TTTafzHiU7</v>
      </c>
      <c r="F173" s="24" t="str">
        <f>'DE ( Tarik barang retur )'!R150</f>
        <v>TMP-INV-2026/04/29/ 2689765MOISDERM 20% Interbat KRIM DUS, TUBE @ 20 GRAMTarik Barang Retur</v>
      </c>
      <c r="G173" s="36">
        <f>'DE ( Tarik barang retur )'!AF150</f>
        <v>46170</v>
      </c>
      <c r="H173" s="22">
        <v>46175.0</v>
      </c>
      <c r="I173" s="22">
        <v>46175.0</v>
      </c>
      <c r="J173" s="21" t="s">
        <v>5294</v>
      </c>
      <c r="K173" s="24"/>
      <c r="L173" s="25"/>
      <c r="M173" s="25"/>
      <c r="N173" s="25"/>
      <c r="O173" s="25"/>
      <c r="P173" s="25"/>
      <c r="Q173" s="25"/>
      <c r="R173" s="25"/>
      <c r="S173" s="25"/>
      <c r="T173" s="25"/>
      <c r="U173" s="25"/>
      <c r="V173" s="25"/>
      <c r="W173" s="25"/>
      <c r="X173" s="25"/>
      <c r="Y173" s="25"/>
      <c r="Z173" s="25"/>
      <c r="AA173" s="25"/>
      <c r="AB173" s="25"/>
      <c r="AC173" s="25"/>
    </row>
    <row r="174">
      <c r="A174" s="24" t="str">
        <f>'DE ( Tarik barang retur )'!AC151</f>
        <v>AWBR-10645-2026-5-26-01</v>
      </c>
      <c r="B174" s="24" t="str">
        <f>'DE ( Tarik barang retur )'!F151</f>
        <v>Apotek Habiby Muktiwari Cibitung</v>
      </c>
      <c r="C174" s="35">
        <f>'DE ( Tarik barang retur )'!G151</f>
        <v>6.28584E+17</v>
      </c>
      <c r="D174" s="24" t="str">
        <f>'DE ( Tarik barang retur )'!H151</f>
        <v>Perumahan Permata Muktiwari Residence Blok A1 No. 05 Desa/Kelurahan Muktiwari, Kecamatan Cibitung, Kabupaten Bekasi, Jawa Barat 17519</v>
      </c>
      <c r="E174" s="24" t="str">
        <f>'DE ( Tarik barang retur )'!D151</f>
        <v>25072908423414K5fHejQYAG</v>
      </c>
      <c r="F174" s="24" t="str">
        <f>'DE ( Tarik barang retur )'!R151</f>
        <v>TMP-INV-2025/07/30/ 1784741FOROTIC Hexpharm TETES TELINGA 3 MG DUS, 1 BOTOL PLASTIK @ 5 MLTarik Barang Retur</v>
      </c>
      <c r="G174" s="36">
        <f>'DE ( Tarik barang retur )'!AF151</f>
        <v>46170</v>
      </c>
      <c r="H174" s="22">
        <v>46175.0</v>
      </c>
      <c r="I174" s="22">
        <v>46175.0</v>
      </c>
      <c r="J174" s="21" t="s">
        <v>5294</v>
      </c>
      <c r="K174" s="24"/>
      <c r="L174" s="25"/>
      <c r="M174" s="25"/>
      <c r="N174" s="25"/>
      <c r="O174" s="25"/>
      <c r="P174" s="25"/>
      <c r="Q174" s="25"/>
      <c r="R174" s="25"/>
      <c r="S174" s="25"/>
      <c r="T174" s="25"/>
      <c r="U174" s="25"/>
      <c r="V174" s="25"/>
      <c r="W174" s="25"/>
      <c r="X174" s="25"/>
      <c r="Y174" s="25"/>
      <c r="Z174" s="25"/>
      <c r="AA174" s="25"/>
      <c r="AB174" s="25"/>
      <c r="AC174" s="25"/>
    </row>
    <row r="175">
      <c r="A175" s="24" t="str">
        <f>'DE ( Tarik barang retur )'!AC152</f>
        <v>AWBR-1249-2026-5-26-01</v>
      </c>
      <c r="B175" s="24" t="str">
        <f>'DE ( Tarik barang retur )'!F152</f>
        <v>Apotek K24 Anggrek Cikarang Baru</v>
      </c>
      <c r="C175" s="24">
        <f>'DE ( Tarik barang retur )'!G152</f>
        <v>87877209076</v>
      </c>
      <c r="D175" s="24" t="str">
        <f>'DE ( Tarik barang retur )'!H152</f>
        <v>Jalan Anggrek Kaviling B1 No.23 Kelurahan Mekarmukti Kecamatan Cikarang Utara Kabupaten Bekasi 17530</v>
      </c>
      <c r="E175" s="24" t="str">
        <f>'DE ( Tarik barang retur )'!D152</f>
        <v>26051109185867lMoCGmPTb</v>
      </c>
      <c r="F175" s="24" t="str">
        <f>'DE ( Tarik barang retur )'!R152</f>
        <v>TMP-INV-2026/05/12/ 2736291THROMECON Etercon GEL 200 IU/g DUS @ TUBE 20 gTarik Barang Retur</v>
      </c>
      <c r="G175" s="36">
        <f>'DE ( Tarik barang retur )'!AF152</f>
        <v>46170</v>
      </c>
      <c r="H175" s="22">
        <v>46170.0</v>
      </c>
      <c r="I175" s="22">
        <v>46171.0</v>
      </c>
      <c r="J175" s="21" t="s">
        <v>5294</v>
      </c>
      <c r="K175" s="24"/>
      <c r="L175" s="25"/>
      <c r="M175" s="25"/>
      <c r="N175" s="25"/>
      <c r="O175" s="25"/>
      <c r="P175" s="25"/>
      <c r="Q175" s="25"/>
      <c r="R175" s="25"/>
      <c r="S175" s="25"/>
      <c r="T175" s="25"/>
      <c r="U175" s="25"/>
      <c r="V175" s="25"/>
      <c r="W175" s="25"/>
      <c r="X175" s="25"/>
      <c r="Y175" s="25"/>
      <c r="Z175" s="25"/>
      <c r="AA175" s="25"/>
      <c r="AB175" s="25"/>
      <c r="AC175" s="25"/>
    </row>
    <row r="176">
      <c r="A176" s="24" t="str">
        <f>'DE ( Tarik barang retur )'!AC153</f>
        <v>AWBR-1090-2026-5-26-01</v>
      </c>
      <c r="B176" s="24" t="str">
        <f>'DE ( Tarik barang retur )'!F153</f>
        <v>Apotek K24 Grand Permata City</v>
      </c>
      <c r="C176" s="24">
        <f>'DE ( Tarik barang retur )'!G153</f>
        <v>85294437759</v>
      </c>
      <c r="D176" s="24" t="str">
        <f>'DE ( Tarik barang retur )'!H153</f>
        <v>Ruko Grand Permata City Kav B1 No.10 Jalan Pilar Sukatani Kelurahan Karang Setia Kecamatan Karang Bahagia Cikarang Bekasi 17530</v>
      </c>
      <c r="E176" s="24" t="str">
        <f>'DE ( Tarik barang retur )'!D153</f>
        <v>26030606335954uBALwLjNxA</v>
      </c>
      <c r="F176" s="24" t="str">
        <f>'DE ( Tarik barang retur )'!R153</f>
        <v>TMP-INV-2026/03/06/ 2503942INLACTA GOLD DHA Interbat KAPSUL DUS, BOTOL PLASTIK @ 50 KAPSULTarik Barang Retur</v>
      </c>
      <c r="G176" s="36">
        <f>'DE ( Tarik barang retur )'!AF153</f>
        <v>46170</v>
      </c>
      <c r="H176" s="22">
        <v>46170.0</v>
      </c>
      <c r="I176" s="22">
        <v>46171.0</v>
      </c>
      <c r="J176" s="21" t="s">
        <v>5294</v>
      </c>
      <c r="K176" s="24"/>
      <c r="L176" s="25"/>
      <c r="M176" s="25"/>
      <c r="N176" s="25"/>
      <c r="O176" s="25"/>
      <c r="P176" s="25"/>
      <c r="Q176" s="25"/>
      <c r="R176" s="25"/>
      <c r="S176" s="25"/>
      <c r="T176" s="25"/>
      <c r="U176" s="25"/>
      <c r="V176" s="25"/>
      <c r="W176" s="25"/>
      <c r="X176" s="25"/>
      <c r="Y176" s="25"/>
      <c r="Z176" s="25"/>
      <c r="AA176" s="25"/>
      <c r="AB176" s="25"/>
      <c r="AC176" s="25"/>
    </row>
    <row r="177">
      <c r="A177" s="24" t="str">
        <f>'DE ( Tarik barang retur )'!AC154</f>
        <v>AWBR-12839-2026-5-26-01</v>
      </c>
      <c r="B177" s="24" t="str">
        <f>'DE ( Tarik barang retur )'!F154</f>
        <v>Apotek Ninda Farma Sirnajaya Serang Baru</v>
      </c>
      <c r="C177" s="35">
        <f>'DE ( Tarik barang retur )'!G154</f>
        <v>6.28589E+17</v>
      </c>
      <c r="D177" s="24" t="str">
        <f>'DE ( Tarik barang retur )'!H154</f>
        <v>Kp Cilangkara RT/RW 007/004 Desa Sirnajaya Kec. Serang Baru Kabupaten Bekasi</v>
      </c>
      <c r="E177" s="24" t="str">
        <f>'DE ( Tarik barang retur )'!D154</f>
        <v>26050214021595f80sXSqcnx</v>
      </c>
      <c r="F177" s="24" t="str">
        <f>'DE ( Tarik barang retur )'!R154</f>
        <v>TMP-INV-2026/05/03/ 2702668ACICLOVIR Phapros TABLET 200 MG DUS, 5 STRIP @ 10 TABLETTarik Barang Retur</v>
      </c>
      <c r="G177" s="36">
        <f>'DE ( Tarik barang retur )'!AF154</f>
        <v>46170</v>
      </c>
      <c r="H177" s="22">
        <v>46175.0</v>
      </c>
      <c r="I177" s="22">
        <v>46175.0</v>
      </c>
      <c r="J177" s="21" t="s">
        <v>5294</v>
      </c>
      <c r="K177" s="24"/>
      <c r="L177" s="25"/>
      <c r="M177" s="25"/>
      <c r="N177" s="25"/>
      <c r="O177" s="25"/>
      <c r="P177" s="25"/>
      <c r="Q177" s="25"/>
      <c r="R177" s="25"/>
      <c r="S177" s="25"/>
      <c r="T177" s="25"/>
      <c r="U177" s="25"/>
      <c r="V177" s="25"/>
      <c r="W177" s="25"/>
      <c r="X177" s="25"/>
      <c r="Y177" s="25"/>
      <c r="Z177" s="25"/>
      <c r="AA177" s="25"/>
      <c r="AB177" s="25"/>
      <c r="AC177" s="25"/>
    </row>
    <row r="178">
      <c r="A178" s="24" t="str">
        <f>'DE ( Tarik barang retur )'!AC155</f>
        <v>AWBR-2043-2026-5-26-01</v>
      </c>
      <c r="B178" s="24" t="str">
        <f>'DE ( Tarik barang retur )'!F155</f>
        <v>Apotek Adzra</v>
      </c>
      <c r="C178" s="24">
        <f>'DE ( Tarik barang retur )'!G155</f>
        <v>6281286536306</v>
      </c>
      <c r="D178" s="24" t="str">
        <f>'DE ( Tarik barang retur )'!H155</f>
        <v>Jalan Boulevard Raya Ruko Milan Avenue Blok CE No. 25 RT 004 RW 008 Kelurahan Sawangan Kecamatan Sawangan Depok 16511</v>
      </c>
      <c r="E178" s="24" t="str">
        <f>'DE ( Tarik barang retur )'!D155</f>
        <v>25040510300001GNyirqUm</v>
      </c>
      <c r="F178" s="24" t="str">
        <f>'DE ( Tarik barang retur )'!R155</f>
        <v>TMP-INV-2025/04/06/ 1476842 / TMP-INV-2025/09/10/ 1914104 LIPROLAC BABY Kalbe DROPS DUS, BOTOL KACA 8 ML / BLACKMORES PREGNANCY &amp; BREAST-FEEDING GOLD Kalbe KAPSUL BOTOL KACA @ 20 KAPSUL LUNAKTarik Barang Retur</v>
      </c>
      <c r="G178" s="36">
        <f>'DE ( Tarik barang retur )'!AF155</f>
        <v>46170</v>
      </c>
      <c r="H178" s="22">
        <v>46170.0</v>
      </c>
      <c r="I178" s="22">
        <v>46171.0</v>
      </c>
      <c r="J178" s="21" t="s">
        <v>5294</v>
      </c>
      <c r="K178" s="24"/>
      <c r="L178" s="25"/>
      <c r="M178" s="25"/>
      <c r="N178" s="25"/>
      <c r="O178" s="25"/>
      <c r="P178" s="25"/>
      <c r="Q178" s="25"/>
      <c r="R178" s="25"/>
      <c r="S178" s="25"/>
      <c r="T178" s="25"/>
      <c r="U178" s="25"/>
      <c r="V178" s="25"/>
      <c r="W178" s="25"/>
      <c r="X178" s="25"/>
      <c r="Y178" s="25"/>
      <c r="Z178" s="25"/>
      <c r="AA178" s="25"/>
      <c r="AB178" s="25"/>
      <c r="AC178" s="25"/>
    </row>
    <row r="179">
      <c r="A179" s="24" t="str">
        <f>'DE ( Tarik barang retur )'!AC156</f>
        <v>AWBR-16836-2026-5-26-01</v>
      </c>
      <c r="B179" s="24" t="str">
        <f>'DE ( Tarik barang retur )'!F156</f>
        <v>Apotek Aura Jatibening Pondokgede</v>
      </c>
      <c r="C179" s="35">
        <f>'DE ( Tarik barang retur )'!G156</f>
        <v>6.28122E+17</v>
      </c>
      <c r="D179" s="24" t="str">
        <f>'DE ( Tarik barang retur )'!H156</f>
        <v>Jl. Raya Jatibening Estate No. 34, Kel.Jatibening, Kec. Pondok Gede, Kota Bekasi</v>
      </c>
      <c r="E179" s="24" t="str">
        <f>'DE ( Tarik barang retur )'!D156</f>
        <v>26051502300020aTqkGQS8AW</v>
      </c>
      <c r="F179" s="24" t="str">
        <f>'DE ( Tarik barang retur )'!R156</f>
        <v>TMP-INV-2026/05/15/ 2749210 / TMP-INV-2026/05/15/ 2749508 / MINYAK ANGIN CAP KAPAK Yahi Utama DUS, 12 BOTOL KACA @ 28 ML &amp; 5 MLTarik Barang Retur</v>
      </c>
      <c r="G179" s="36">
        <f>'DE ( Tarik barang retur )'!AF156</f>
        <v>46170</v>
      </c>
      <c r="H179" s="22">
        <v>46171.0</v>
      </c>
      <c r="I179" s="22">
        <v>46171.0</v>
      </c>
      <c r="J179" s="21" t="s">
        <v>5294</v>
      </c>
      <c r="K179" s="24"/>
      <c r="L179" s="25"/>
      <c r="M179" s="25"/>
      <c r="N179" s="25"/>
      <c r="O179" s="25"/>
      <c r="P179" s="25"/>
      <c r="Q179" s="25"/>
      <c r="R179" s="25"/>
      <c r="S179" s="25"/>
      <c r="T179" s="25"/>
      <c r="U179" s="25"/>
      <c r="V179" s="25"/>
      <c r="W179" s="25"/>
      <c r="X179" s="25"/>
      <c r="Y179" s="25"/>
      <c r="Z179" s="25"/>
      <c r="AA179" s="25"/>
      <c r="AB179" s="25"/>
      <c r="AC179" s="25"/>
    </row>
    <row r="180">
      <c r="A180" s="24" t="str">
        <f>'DE ( Tarik barang retur )'!AC157</f>
        <v>AWBR-11770-2026-5-26-01</v>
      </c>
      <c r="B180" s="24" t="str">
        <f>'DE ( Tarik barang retur )'!F157</f>
        <v>Apotek Ayesa Farma Sukmajaya Sukmajaya</v>
      </c>
      <c r="C180" s="35">
        <f>'DE ( Tarik barang retur )'!G157</f>
        <v>6.28786E+17</v>
      </c>
      <c r="D180" s="24" t="str">
        <f>'DE ( Tarik barang retur )'!H157</f>
        <v>Jl. Kemang Raya No 5 Kel. Sukmajaya Kec. Sukmajaya Kota Depok</v>
      </c>
      <c r="E180" s="24" t="str">
        <f>'DE ( Tarik barang retur )'!D157</f>
        <v>26051912345537knnZqNhld</v>
      </c>
      <c r="F180" s="24" t="str">
        <f>'DE ( Tarik barang retur )'!R157</f>
        <v>TMP-INV-2026/05/20/ 2766924VENTOLIN NEBULES Gsk CAIRAN INHALASI 2.5 MG DUS, 4X5 AMPUL PLASTIK (NEBULES) @ 2.5 MLTarik Barang Retur</v>
      </c>
      <c r="G180" s="36">
        <f>'DE ( Tarik barang retur )'!AF157</f>
        <v>46170</v>
      </c>
      <c r="H180" s="22">
        <v>46170.0</v>
      </c>
      <c r="I180" s="22">
        <v>46171.0</v>
      </c>
      <c r="J180" s="21" t="s">
        <v>5294</v>
      </c>
      <c r="K180" s="24"/>
      <c r="L180" s="25"/>
      <c r="M180" s="25"/>
      <c r="N180" s="25"/>
      <c r="O180" s="25"/>
      <c r="P180" s="25"/>
      <c r="Q180" s="25"/>
      <c r="R180" s="25"/>
      <c r="S180" s="25"/>
      <c r="T180" s="25"/>
      <c r="U180" s="25"/>
      <c r="V180" s="25"/>
      <c r="W180" s="25"/>
      <c r="X180" s="25"/>
      <c r="Y180" s="25"/>
      <c r="Z180" s="25"/>
      <c r="AA180" s="25"/>
      <c r="AB180" s="25"/>
      <c r="AC180" s="25"/>
    </row>
    <row r="181">
      <c r="A181" s="24" t="str">
        <f>'DE ( Tarik barang retur )'!AC158</f>
        <v>AWBR-667-2026-5-26-01</v>
      </c>
      <c r="B181" s="24" t="str">
        <f>'DE ( Tarik barang retur )'!F158</f>
        <v>Apotek Berlian Farma</v>
      </c>
      <c r="C181" s="24">
        <f>'DE ( Tarik barang retur )'!G158</f>
        <v>85374101944</v>
      </c>
      <c r="D181" s="24" t="str">
        <f>'DE ( Tarik barang retur )'!H158</f>
        <v>Komplek Permata Jasindo Lestari Blok A6/14 RT.007 RW.004 Kelurahan Mekarsari, Kecamatan Cimanggis, Kota Depok 16452</v>
      </c>
      <c r="E181" s="24" t="str">
        <f>'DE ( Tarik barang retur )'!D158</f>
        <v>26052100114509I6yX698x8v</v>
      </c>
      <c r="F181" s="24" t="str">
        <f>'DE ( Tarik barang retur )'!R158</f>
        <v>TMP-INV-2026/05/21/ 2770768HOLISTICARE SUPER ESTER C Indocare TABLET DUS, BOTOL PLASTIK @ 90 TABLETTarik Barang Retur</v>
      </c>
      <c r="G181" s="36">
        <f>'DE ( Tarik barang retur )'!AF158</f>
        <v>46170</v>
      </c>
      <c r="H181" s="22">
        <v>46170.0</v>
      </c>
      <c r="I181" s="22">
        <v>46172.0</v>
      </c>
      <c r="J181" s="21" t="s">
        <v>5294</v>
      </c>
      <c r="K181" s="24"/>
      <c r="L181" s="25"/>
      <c r="M181" s="25"/>
      <c r="N181" s="25"/>
      <c r="O181" s="25"/>
      <c r="P181" s="25"/>
      <c r="Q181" s="25"/>
      <c r="R181" s="25"/>
      <c r="S181" s="25"/>
      <c r="T181" s="25"/>
      <c r="U181" s="25"/>
      <c r="V181" s="25"/>
      <c r="W181" s="25"/>
      <c r="X181" s="25"/>
      <c r="Y181" s="25"/>
      <c r="Z181" s="25"/>
      <c r="AA181" s="25"/>
      <c r="AB181" s="25"/>
      <c r="AC181" s="25"/>
    </row>
    <row r="182">
      <c r="A182" s="24" t="str">
        <f>'DE ( Tarik barang retur )'!AC159</f>
        <v>AWBR-724-2026-5-26-01</v>
      </c>
      <c r="B182" s="24" t="str">
        <f>'DE ( Tarik barang retur )'!F159</f>
        <v>Apotek Dewi Farma</v>
      </c>
      <c r="C182" s="24">
        <f>'DE ( Tarik barang retur )'!G159</f>
        <v>85283705505</v>
      </c>
      <c r="D182" s="24" t="str">
        <f>'DE ( Tarik barang retur )'!H159</f>
        <v>Jalan Mess AL Kranggan Wetan RT.001/RW.012, Kelurahan Jatirangga, Kecamatan Jatisampurna, Kota Bekasi 17434</v>
      </c>
      <c r="E182" s="24" t="str">
        <f>'DE ( Tarik barang retur )'!D159</f>
        <v>26051102481372bLFUaYo3p</v>
      </c>
      <c r="F182" s="24" t="str">
        <f>'DE ( Tarik barang retur )'!R159</f>
        <v>TMP-INV-2026/05/11/ 2734033DERMOVATE Gsk KRIM 0.05 % DUS, TUBE @ 10 GTarik Barang Retur</v>
      </c>
      <c r="G182" s="36">
        <f>'DE ( Tarik barang retur )'!AF159</f>
        <v>46170</v>
      </c>
      <c r="H182" s="22">
        <v>46173.0</v>
      </c>
      <c r="I182" s="22">
        <v>46173.0</v>
      </c>
      <c r="J182" s="21" t="s">
        <v>5294</v>
      </c>
      <c r="K182" s="24"/>
      <c r="L182" s="25"/>
      <c r="M182" s="25"/>
      <c r="N182" s="25"/>
      <c r="O182" s="25"/>
      <c r="P182" s="25"/>
      <c r="Q182" s="25"/>
      <c r="R182" s="25"/>
      <c r="S182" s="25"/>
      <c r="T182" s="25"/>
      <c r="U182" s="25"/>
      <c r="V182" s="25"/>
      <c r="W182" s="25"/>
      <c r="X182" s="25"/>
      <c r="Y182" s="25"/>
      <c r="Z182" s="25"/>
      <c r="AA182" s="25"/>
      <c r="AB182" s="25"/>
      <c r="AC182" s="25"/>
    </row>
    <row r="183">
      <c r="A183" s="24" t="str">
        <f>'DE ( Tarik barang retur )'!AC160</f>
        <v>AWBR-15419-2026-5-26-01</v>
      </c>
      <c r="B183" s="24" t="str">
        <f>'DE ( Tarik barang retur )'!F160</f>
        <v>Apotek Farhana 2 Kelapa Dua Wetan Ciracas</v>
      </c>
      <c r="C183" s="35">
        <f>'DE ( Tarik barang retur )'!G160</f>
        <v>6.28211E+17</v>
      </c>
      <c r="D183" s="24" t="str">
        <f>'DE ( Tarik barang retur )'!H160</f>
        <v>Jl. Kelapa Dua Wetan Raya No.22 RT01 RW07 Kel. Kepala Dua Wetan Kec. Ciracas Kota Jakarta Timur</v>
      </c>
      <c r="E183" s="24" t="str">
        <f>'DE ( Tarik barang retur )'!D160</f>
        <v>26050208022602iYJJ8R0Hy</v>
      </c>
      <c r="F183" s="24" t="str">
        <f>'DE ( Tarik barang retur )'!R160</f>
        <v>TMP-INV-2026/05/03/ 2703572HOTIN KOYO AROMATHERAPY Ultrasakti DUS, 12 SACHET @ 10 LEMBATarik Barang Retur</v>
      </c>
      <c r="G183" s="36">
        <f>'DE ( Tarik barang retur )'!AF160</f>
        <v>46170</v>
      </c>
      <c r="H183" s="22">
        <v>46170.0</v>
      </c>
      <c r="I183" s="22">
        <v>46171.0</v>
      </c>
      <c r="J183" s="21" t="s">
        <v>5294</v>
      </c>
      <c r="K183" s="24"/>
      <c r="L183" s="25"/>
      <c r="M183" s="25"/>
      <c r="N183" s="25"/>
      <c r="O183" s="25"/>
      <c r="P183" s="25"/>
      <c r="Q183" s="25"/>
      <c r="R183" s="25"/>
      <c r="S183" s="25"/>
      <c r="T183" s="25"/>
      <c r="U183" s="25"/>
      <c r="V183" s="25"/>
      <c r="W183" s="25"/>
      <c r="X183" s="25"/>
      <c r="Y183" s="25"/>
      <c r="Z183" s="25"/>
      <c r="AA183" s="25"/>
      <c r="AB183" s="25"/>
      <c r="AC183" s="25"/>
    </row>
    <row r="184">
      <c r="A184" s="24" t="str">
        <f>'DE ( Tarik barang retur )'!AC161</f>
        <v>AWBR-16587-2026-5-26-01</v>
      </c>
      <c r="B184" s="24" t="str">
        <f>'DE ( Tarik barang retur )'!F161</f>
        <v>Apotek Fatih Jatibening Baru Pondok Gede</v>
      </c>
      <c r="C184" s="35">
        <f>'DE ( Tarik barang retur )'!G161</f>
        <v>6.28121E+17</v>
      </c>
      <c r="D184" s="24" t="str">
        <f>'DE ( Tarik barang retur )'!H161</f>
        <v>Jl. Lampiri Raya No.108 B Desa/Kelurahan Jatibening Baru,Kecamatan Pondok Gede, Kota Bekasi, Jawa Barat, 17412</v>
      </c>
      <c r="E184" s="24" t="str">
        <f>'DE ( Tarik barang retur )'!D161</f>
        <v>260514023241033huVfzaOU</v>
      </c>
      <c r="F184" s="24" t="str">
        <f>'DE ( Tarik barang retur )'!R161</f>
        <v>TMP-INV-2026/05/14/ 2746025 / TMP-INV-2026/05/20/ 2767087 / MELOXICAM Novell TABLET 7.5 MG DUS, 5 STRIP @ 10 TABLET &amp; BLACKMORES BIO D3 1000 IU Kalbe KAPSUL BOTOL KACA @ 30 KAPSUL LUNAK &amp; BLACKMORES PREGNANCY &amp; BREAST-FEEDING GOLD Kalbe KAPSUL BOTOL KACA @ 20 KAPSUL LUNAKTarik Barang Retur</v>
      </c>
      <c r="G184" s="36">
        <f>'DE ( Tarik barang retur )'!AF161</f>
        <v>46170</v>
      </c>
      <c r="H184" s="22">
        <v>46171.0</v>
      </c>
      <c r="I184" s="22">
        <v>46171.0</v>
      </c>
      <c r="J184" s="21" t="s">
        <v>5294</v>
      </c>
      <c r="K184" s="24"/>
      <c r="L184" s="25"/>
      <c r="M184" s="25"/>
      <c r="N184" s="25"/>
      <c r="O184" s="25"/>
      <c r="P184" s="25"/>
      <c r="Q184" s="25"/>
      <c r="R184" s="25"/>
      <c r="S184" s="25"/>
      <c r="T184" s="25"/>
      <c r="U184" s="25"/>
      <c r="V184" s="25"/>
      <c r="W184" s="25"/>
      <c r="X184" s="25"/>
      <c r="Y184" s="25"/>
      <c r="Z184" s="25"/>
      <c r="AA184" s="25"/>
      <c r="AB184" s="25"/>
      <c r="AC184" s="25"/>
    </row>
    <row r="185">
      <c r="A185" s="24" t="str">
        <f>'DE ( Tarik barang retur )'!AC162</f>
        <v>AWBR-10722-2026-5-26-01</v>
      </c>
      <c r="B185" s="24" t="str">
        <f>'DE ( Tarik barang retur )'!F162</f>
        <v>Apotek Fikri Setu Cipayung</v>
      </c>
      <c r="C185" s="35">
        <f>'DE ( Tarik barang retur )'!G162</f>
        <v>6.28177E+16</v>
      </c>
      <c r="D185" s="24" t="str">
        <f>'DE ( Tarik barang retur )'!H162</f>
        <v>Jalan Terusan Mabes Hankam RT 007 RW 004, Desa/Kelurahan Setu, Kecamatan Cipayung, Kota Administrasi Jakarta Timur, DKI Jakarta 13880</v>
      </c>
      <c r="E185" s="24" t="str">
        <f>'DE ( Tarik barang retur )'!D162</f>
        <v>26052003530699mkptDHrrW8</v>
      </c>
      <c r="F185" s="24" t="str">
        <f>'DE ( Tarik barang retur )'!R162</f>
        <v>TMP-INV-2026/05/20/ 2766977YUSIMOX FORTE Ifars SIRUP KERING DUS, 1 BOTOL @ 60 MLTarik Barang Retur</v>
      </c>
      <c r="G185" s="36">
        <f>'DE ( Tarik barang retur )'!AF162</f>
        <v>46170</v>
      </c>
      <c r="H185" s="22">
        <v>46170.0</v>
      </c>
      <c r="I185" s="22">
        <v>46171.0</v>
      </c>
      <c r="J185" s="21" t="s">
        <v>5294</v>
      </c>
      <c r="K185" s="24"/>
      <c r="L185" s="25"/>
      <c r="M185" s="25"/>
      <c r="N185" s="25"/>
      <c r="O185" s="25"/>
      <c r="P185" s="25"/>
      <c r="Q185" s="25"/>
      <c r="R185" s="25"/>
      <c r="S185" s="25"/>
      <c r="T185" s="25"/>
      <c r="U185" s="25"/>
      <c r="V185" s="25"/>
      <c r="W185" s="25"/>
      <c r="X185" s="25"/>
      <c r="Y185" s="25"/>
      <c r="Z185" s="25"/>
      <c r="AA185" s="25"/>
      <c r="AB185" s="25"/>
      <c r="AC185" s="25"/>
    </row>
    <row r="186">
      <c r="A186" s="24" t="str">
        <f>'DE ( Tarik barang retur )'!AC163</f>
        <v>AWBR-2080-2026-5-26-01</v>
      </c>
      <c r="B186" s="24" t="str">
        <f>'DE ( Tarik barang retur )'!F163</f>
        <v>Apotek Imani</v>
      </c>
      <c r="C186" s="24">
        <f>'DE ( Tarik barang retur )'!G163</f>
        <v>8176684929</v>
      </c>
      <c r="D186" s="24" t="str">
        <f>'DE ( Tarik barang retur )'!H163</f>
        <v>Jalan KH. M. Usman No. 17 RT 004 RW 002 Kelurahan Kukusan Kecamatan Beji Kota Depok 16425</v>
      </c>
      <c r="E186" s="24" t="str">
        <f>'DE ( Tarik barang retur )'!D163</f>
        <v>26051309220780wnRM5nXtH</v>
      </c>
      <c r="F186" s="24" t="str">
        <f>'DE ( Tarik barang retur )'!R163</f>
        <v>TMP-INV-2026/05/14/ 2745966LAPIFED DM Lapi SIRUP DUS, 1 BOTOL @ 100 ML &amp; LAPIFED EXPECTORANT Lapi SIRUP DUS, BOTOL @ 60 MLTarik Barang Retur</v>
      </c>
      <c r="G186" s="36">
        <f>'DE ( Tarik barang retur )'!AF163</f>
        <v>46170</v>
      </c>
      <c r="H186" s="22">
        <v>46176.0</v>
      </c>
      <c r="I186" s="22">
        <v>46177.0</v>
      </c>
      <c r="J186" s="21" t="s">
        <v>5294</v>
      </c>
      <c r="K186" s="24"/>
      <c r="L186" s="36"/>
      <c r="M186" s="21"/>
      <c r="N186" s="21"/>
      <c r="O186" s="21"/>
      <c r="P186" s="25"/>
      <c r="Q186" s="25"/>
      <c r="R186" s="25"/>
      <c r="S186" s="25"/>
      <c r="T186" s="25"/>
      <c r="U186" s="25"/>
      <c r="V186" s="25"/>
      <c r="W186" s="25"/>
      <c r="X186" s="25"/>
      <c r="Y186" s="25"/>
      <c r="Z186" s="25"/>
      <c r="AA186" s="25"/>
      <c r="AB186" s="25"/>
      <c r="AC186" s="25"/>
    </row>
    <row r="187">
      <c r="A187" s="24" t="str">
        <f>'DE ( Tarik barang retur )'!AC164</f>
        <v>AWBR-2590-2026-5-26-01</v>
      </c>
      <c r="B187" s="24" t="str">
        <f>'DE ( Tarik barang retur )'!F164</f>
        <v>Apotek Jaya Farma 2590</v>
      </c>
      <c r="C187" s="24">
        <f>'DE ( Tarik barang retur )'!G164</f>
        <v>85778058208</v>
      </c>
      <c r="D187" s="24" t="str">
        <f>'DE ( Tarik barang retur )'!H164</f>
        <v>Perumahan Cluster Puri Pesona Jalan Cipayung No. 1 RT 004 RW 009 Kelurahan Bojong Pondok Terong Kecamatan Cipayung Kota Depok 16436</v>
      </c>
      <c r="E187" s="24" t="str">
        <f>'DE ( Tarik barang retur )'!D164</f>
        <v>26051212365247L31mH6rS7Z</v>
      </c>
      <c r="F187" s="24" t="str">
        <f>'DE ( Tarik barang retur )'!R164</f>
        <v>TMP-INV-2026/05/13/ 2742846ASEPSO FRESH SOAP Pan Pacific PADAT DUS, 80 gTarik Barang Retur</v>
      </c>
      <c r="G187" s="36">
        <f>'DE ( Tarik barang retur )'!AF164</f>
        <v>46170</v>
      </c>
      <c r="H187" s="22">
        <v>46170.0</v>
      </c>
      <c r="I187" s="22">
        <v>46171.0</v>
      </c>
      <c r="J187" s="21" t="s">
        <v>5294</v>
      </c>
      <c r="K187" s="24"/>
      <c r="L187" s="25"/>
      <c r="M187" s="25"/>
      <c r="N187" s="25"/>
      <c r="O187" s="25"/>
      <c r="P187" s="25"/>
      <c r="Q187" s="25"/>
      <c r="R187" s="25"/>
      <c r="S187" s="25"/>
      <c r="T187" s="25"/>
      <c r="U187" s="25"/>
      <c r="V187" s="25"/>
      <c r="W187" s="25"/>
      <c r="X187" s="25"/>
      <c r="Y187" s="25"/>
      <c r="Z187" s="25"/>
      <c r="AA187" s="25"/>
      <c r="AB187" s="25"/>
      <c r="AC187" s="25"/>
    </row>
    <row r="188">
      <c r="A188" s="24" t="str">
        <f>'DE ( Tarik barang retur )'!AC165</f>
        <v>AWBR-16017-2026-5-26-01</v>
      </c>
      <c r="B188" s="24" t="str">
        <f>'DE ( Tarik barang retur )'!F165</f>
        <v>Apotek Kiray Farma Cimpaeun Tapos</v>
      </c>
      <c r="C188" s="35">
        <f>'DE ( Tarik barang retur )'!G165</f>
        <v>6.28132E+17</v>
      </c>
      <c r="D188" s="24" t="str">
        <f>'DE ( Tarik barang retur )'!H165</f>
        <v>Jalan Raya Tapos RT 003 RW 02, Desa/Kelurahan Cimpaeun, Kec.Tapos, Kota Depok</v>
      </c>
      <c r="E188" s="24" t="str">
        <f>'DE ( Tarik barang retur )'!D165</f>
        <v>26051203220476jJ62QDNh3</v>
      </c>
      <c r="F188" s="24" t="str">
        <f>'DE ( Tarik barang retur )'!R165</f>
        <v>TMP-INV-2026/05/12/ 2738959NEUROBION 5000 Darya-Varia CAIRAN INJEKSI DUS, 20 PASANG AMPUL @ 1 MLTarik Barang Retur</v>
      </c>
      <c r="G188" s="36">
        <f>'DE ( Tarik barang retur )'!AF165</f>
        <v>46170</v>
      </c>
      <c r="H188" s="22">
        <v>46170.0</v>
      </c>
      <c r="I188" s="22">
        <v>46172.0</v>
      </c>
      <c r="J188" s="21" t="s">
        <v>5294</v>
      </c>
      <c r="K188" s="24"/>
      <c r="L188" s="25"/>
      <c r="M188" s="25"/>
      <c r="N188" s="25"/>
      <c r="O188" s="25"/>
      <c r="P188" s="25"/>
      <c r="Q188" s="25"/>
      <c r="R188" s="25"/>
      <c r="S188" s="25"/>
      <c r="T188" s="25"/>
      <c r="U188" s="25"/>
      <c r="V188" s="25"/>
      <c r="W188" s="25"/>
      <c r="X188" s="25"/>
      <c r="Y188" s="25"/>
      <c r="Z188" s="25"/>
      <c r="AA188" s="25"/>
      <c r="AB188" s="25"/>
      <c r="AC188" s="25"/>
    </row>
    <row r="189">
      <c r="A189" s="24" t="str">
        <f>'DE ( Tarik barang retur )'!AC166</f>
        <v>AWBR-12667-2026-5-26-01</v>
      </c>
      <c r="B189" s="24" t="str">
        <f>'DE ( Tarik barang retur )'!F166</f>
        <v>Apotek Kopkar One Gedong Pasar Rebo</v>
      </c>
      <c r="C189" s="35">
        <f>'DE ( Tarik barang retur )'!G166</f>
        <v>6.28521E+17</v>
      </c>
      <c r="D189" s="24" t="str">
        <f>'DE ( Tarik barang retur )'!H166</f>
        <v>Jalan Dana Karya No. 04 Rt. 003 Rw 008, Desa/Kel. Gedong, Kec. Pasar Rebo, Kota Adm. Jakarta Timur</v>
      </c>
      <c r="E189" s="24" t="str">
        <f>'DE ( Tarik barang retur )'!D166</f>
        <v>26050817322958GpMahDFbG3</v>
      </c>
      <c r="F189" s="24" t="str">
        <f>'DE ( Tarik barang retur )'!R166</f>
        <v>TMP-INV-2026/05/09/ 2728206MEDIFLEX PLUS Kalbe KRIM DUS, TUBE @ 75 GRAMTarik Barang Retur</v>
      </c>
      <c r="G189" s="36">
        <f>'DE ( Tarik barang retur )'!AF166</f>
        <v>46170</v>
      </c>
      <c r="H189" s="22">
        <v>46170.0</v>
      </c>
      <c r="I189" s="22">
        <v>46171.0</v>
      </c>
      <c r="J189" s="21" t="s">
        <v>5294</v>
      </c>
      <c r="K189" s="24"/>
      <c r="L189" s="25"/>
      <c r="M189" s="25"/>
      <c r="N189" s="25"/>
      <c r="O189" s="25"/>
      <c r="P189" s="25"/>
      <c r="Q189" s="25"/>
      <c r="R189" s="25"/>
      <c r="S189" s="25"/>
      <c r="T189" s="25"/>
      <c r="U189" s="25"/>
      <c r="V189" s="25"/>
      <c r="W189" s="25"/>
      <c r="X189" s="25"/>
      <c r="Y189" s="25"/>
      <c r="Z189" s="25"/>
      <c r="AA189" s="25"/>
      <c r="AB189" s="25"/>
      <c r="AC189" s="25"/>
    </row>
    <row r="190">
      <c r="A190" s="24" t="str">
        <f>'DE ( Tarik barang retur )'!AC167</f>
        <v>AWBR-1725-2026-5-26-01</v>
      </c>
      <c r="B190" s="24" t="str">
        <f>'DE ( Tarik barang retur )'!F167</f>
        <v>Apotek Makmur Sehat</v>
      </c>
      <c r="C190" s="24">
        <f>'DE ( Tarik barang retur )'!G167</f>
        <v>81354877771</v>
      </c>
      <c r="D190" s="24" t="str">
        <f>'DE ( Tarik barang retur )'!H167</f>
        <v>Jalan Raya Pondok Petir No. 38 RT. 004/005 Kelurahan Pondok Petir Kecamatan Bojongsari Kota Depok 16516</v>
      </c>
      <c r="E190" s="24" t="str">
        <f>'DE ( Tarik barang retur )'!D167</f>
        <v>24120705353807JffVbbBDRU</v>
      </c>
      <c r="F190" s="24" t="str">
        <f>'DE ( Tarik barang retur )'!R167</f>
        <v>TMP-INV-2024/12/07/ 1190248NASONEX Organon SEMPROT HIDUNG 50 MCG/DOSIS DUS, 1 BOTOL PLASTIK @ 60 DOSISTarik Barang Retur</v>
      </c>
      <c r="G190" s="36">
        <f>'DE ( Tarik barang retur )'!AF167</f>
        <v>46170</v>
      </c>
      <c r="H190" s="22">
        <v>46170.0</v>
      </c>
      <c r="I190" s="22">
        <v>46171.0</v>
      </c>
      <c r="J190" s="21" t="s">
        <v>5294</v>
      </c>
      <c r="K190" s="24"/>
      <c r="L190" s="25"/>
      <c r="M190" s="25"/>
      <c r="N190" s="25"/>
      <c r="O190" s="25"/>
      <c r="P190" s="25"/>
      <c r="Q190" s="25"/>
      <c r="R190" s="25"/>
      <c r="S190" s="25"/>
      <c r="T190" s="25"/>
      <c r="U190" s="25"/>
      <c r="V190" s="25"/>
      <c r="W190" s="25"/>
      <c r="X190" s="25"/>
      <c r="Y190" s="25"/>
      <c r="Z190" s="25"/>
      <c r="AA190" s="25"/>
      <c r="AB190" s="25"/>
      <c r="AC190" s="25"/>
    </row>
    <row r="191">
      <c r="A191" s="24" t="str">
        <f>'DE ( Tarik barang retur )'!AC168</f>
        <v>AWBR-11328-2026-5-26-01</v>
      </c>
      <c r="B191" s="24" t="str">
        <f>'DE ( Tarik barang retur )'!F168</f>
        <v>Apotek Marlasria 2 Jatirangga Jatisampurna</v>
      </c>
      <c r="C191" s="35">
        <f>'DE ( Tarik barang retur )'!G168</f>
        <v>6.2813E+16</v>
      </c>
      <c r="D191" s="24" t="str">
        <f>'DE ( Tarik barang retur )'!H168</f>
        <v>Jl. Kranggan Permai Raya S6 No.13, RT.011/RW.015, Desa/Kel. Jatirangga, Kec. Jatisampurna, Kota Bekasi, 17433</v>
      </c>
      <c r="E191" s="24" t="str">
        <f>'DE ( Tarik barang retur )'!D168</f>
        <v>26042911000620erm6dT7F</v>
      </c>
      <c r="F191" s="24" t="str">
        <f>'DE ( Tarik barang retur )'!R168</f>
        <v>TMP-INV-2026/04/30/ 2695185 / TMP-INV-2026/05/15/ 2749110RHINOFED Dexa Medica SIRUP DUS, 1 BOTOL @ 60 ML / TRINORDIOL-28 Sunthi TABLET DUS, 2 BLISTER @ 28 TABLET SALUT GULATarik Barang Retur</v>
      </c>
      <c r="G191" s="36">
        <f>'DE ( Tarik barang retur )'!AF168</f>
        <v>46170</v>
      </c>
      <c r="H191" s="22">
        <v>46171.0</v>
      </c>
      <c r="I191" s="22">
        <v>46171.0</v>
      </c>
      <c r="J191" s="21" t="s">
        <v>5294</v>
      </c>
      <c r="K191" s="24"/>
      <c r="L191" s="25"/>
      <c r="M191" s="25"/>
      <c r="N191" s="25"/>
      <c r="O191" s="25"/>
      <c r="P191" s="25"/>
      <c r="Q191" s="25"/>
      <c r="R191" s="25"/>
      <c r="S191" s="25"/>
      <c r="T191" s="25"/>
      <c r="U191" s="25"/>
      <c r="V191" s="25"/>
      <c r="W191" s="25"/>
      <c r="X191" s="25"/>
      <c r="Y191" s="25"/>
      <c r="Z191" s="25"/>
      <c r="AA191" s="25"/>
      <c r="AB191" s="25"/>
      <c r="AC191" s="25"/>
    </row>
    <row r="192">
      <c r="A192" s="24" t="str">
        <f>'DE ( Tarik barang retur )'!AC169</f>
        <v>AWBR-10650-2026-5-26-01</v>
      </c>
      <c r="B192" s="24" t="str">
        <f>'DE ( Tarik barang retur )'!F169</f>
        <v>Apotek Medpharm GDC Tirtajaya Sukmajaya</v>
      </c>
      <c r="C192" s="35">
        <f>'DE ( Tarik barang retur )'!G169</f>
        <v>6.28138E+17</v>
      </c>
      <c r="D192" s="24" t="str">
        <f>'DE ( Tarik barang retur )'!H169</f>
        <v>Ruko Gardenia, Grand Depok City, Grand Depok City, Jalan KSU Parung Serab, Kelurahan Tirtajaya, Kecamatan Sukmajaya, Kota Depok, Jawa Barat 16412</v>
      </c>
      <c r="E192" s="24" t="str">
        <f>'DE ( Tarik barang retur )'!D169</f>
        <v>260506035933908uorbwWGLR</v>
      </c>
      <c r="F192" s="24" t="str">
        <f>'DE ( Tarik barang retur )'!R169</f>
        <v>TMP-INV-2026/05/06/ 2716260 &amp; TMP-INV-2026/05/15/ 2749418 &amp; TMP-INV-2026/05/16/ 2751779 &amp; TMP-INV-2026/05/18/ 2758749 &amp; TMP-INV-2026/05/19/ 2763115RITEZ Dexa Medica DROPS (ED DEKAT - EXTRA DISC) DUS, 1 BOTOL @ 10 ML + DROPPER
SIMVASTATIN Hexpharm TABLET 20 MG Dus, 10 BLISTER @ 10 TABLET SALUT SELAPUT
HANSAPLAST SALEP LUKA Beiersdorf TUBE @ 50 G
TRINORDIOL-28 Sunthi TABLET DUS, 2 BLISTER @ 28 TABLET SALUT GULA
Semua Barang di Faktur TMP-INV-2026/05/19/ 2763115
ACTOS 30 Takeda TABLET DUS, 2 BLISTER @ 7 TABLET
Tarik Barang Retur</v>
      </c>
      <c r="G192" s="36">
        <f>'DE ( Tarik barang retur )'!AF169</f>
        <v>46170</v>
      </c>
      <c r="H192" s="22">
        <v>46170.0</v>
      </c>
      <c r="I192" s="22">
        <v>46171.0</v>
      </c>
      <c r="J192" s="21" t="s">
        <v>5294</v>
      </c>
      <c r="K192" s="24"/>
      <c r="L192" s="25"/>
      <c r="M192" s="25"/>
      <c r="N192" s="25"/>
      <c r="O192" s="25"/>
      <c r="P192" s="25"/>
      <c r="Q192" s="25"/>
      <c r="R192" s="25"/>
      <c r="S192" s="25"/>
      <c r="T192" s="25"/>
      <c r="U192" s="25"/>
      <c r="V192" s="25"/>
      <c r="W192" s="25"/>
      <c r="X192" s="25"/>
      <c r="Y192" s="25"/>
      <c r="Z192" s="25"/>
      <c r="AA192" s="25"/>
      <c r="AB192" s="25"/>
      <c r="AC192" s="25"/>
    </row>
    <row r="193">
      <c r="A193" s="24" t="str">
        <f>'DE ( Tarik barang retur )'!AC170</f>
        <v>AWBR-334-2026-5-26-01</v>
      </c>
      <c r="B193" s="24" t="str">
        <f>'DE ( Tarik barang retur )'!F170</f>
        <v>Apotek Merapi</v>
      </c>
      <c r="C193" s="24">
        <f>'DE ( Tarik barang retur )'!G170</f>
        <v>2177833109</v>
      </c>
      <c r="D193" s="24" t="str">
        <f>'DE ( Tarik barang retur )'!H170</f>
        <v>Jalan Kejayaan Blok X No. 9 RT 006/ RW 012 Kelurahan Abadijaya, Kecamatan Sukmajaya Kota Depok 16417</v>
      </c>
      <c r="E193" s="24" t="str">
        <f>'DE ( Tarik barang retur )'!D170</f>
        <v>26051306162691rOdEX4IEf</v>
      </c>
      <c r="F193" s="24" t="str">
        <f>'DE ( Tarik barang retur )'!R170</f>
        <v>TMP-INV-2026/05/14/ 2745960 / TMP-INV-2026/05/15/ 2749347 / TMP-INV-2026/05/16/ 2753116 ACTOS 30 Takeda TABLET DUS, 2 BLISTER @ 7 TABLET
CALADINE BABY Galenium LIQUID POWDER TUBE 100 GR
CALADINE BABY Galenium RASH CREAM TUBE 50 g
Tarik Barang Retur</v>
      </c>
      <c r="G193" s="36">
        <f>'DE ( Tarik barang retur )'!AF170</f>
        <v>46170</v>
      </c>
      <c r="H193" s="22">
        <v>46170.0</v>
      </c>
      <c r="I193" s="22">
        <v>46171.0</v>
      </c>
      <c r="J193" s="21" t="s">
        <v>5294</v>
      </c>
      <c r="K193" s="24"/>
      <c r="L193" s="25"/>
      <c r="M193" s="25"/>
      <c r="N193" s="25"/>
      <c r="O193" s="25"/>
      <c r="P193" s="25"/>
      <c r="Q193" s="25"/>
      <c r="R193" s="25"/>
      <c r="S193" s="25"/>
      <c r="T193" s="25"/>
      <c r="U193" s="25"/>
      <c r="V193" s="25"/>
      <c r="W193" s="25"/>
      <c r="X193" s="25"/>
      <c r="Y193" s="25"/>
      <c r="Z193" s="25"/>
      <c r="AA193" s="25"/>
      <c r="AB193" s="25"/>
      <c r="AC193" s="25"/>
    </row>
    <row r="194">
      <c r="A194" s="24" t="str">
        <f>'DE ( Tarik barang retur )'!AC171</f>
        <v>AWBR-740-2026-5-26-01</v>
      </c>
      <c r="B194" s="24" t="str">
        <f>'DE ( Tarik barang retur )'!F171</f>
        <v>Apotek Rasyifa</v>
      </c>
      <c r="C194" s="24">
        <f>'DE ( Tarik barang retur )'!G171</f>
        <v>81221043334</v>
      </c>
      <c r="D194" s="24" t="str">
        <f>'DE ( Tarik barang retur )'!H171</f>
        <v>Jl. Terusan H Nawi Malik No.25 RT.002 RW. 004, Desa/Kelurahan Pondok Petir, Kecamatan Bojongsari, Kota Depok,Jawa Barat,16517</v>
      </c>
      <c r="E194" s="24" t="str">
        <f>'DE ( Tarik barang retur )'!D171</f>
        <v>26050311432345Zip745GF</v>
      </c>
      <c r="F194" s="24" t="str">
        <f>'DE ( Tarik barang retur )'!R171</f>
        <v>TMP-INV-2026/05/04/ 2707351MALTOFER Combiphar DROPS DUS, 1 BOTOL @ 30 MLTarik Barang Retur</v>
      </c>
      <c r="G194" s="36">
        <f>'DE ( Tarik barang retur )'!AF171</f>
        <v>46170</v>
      </c>
      <c r="H194" s="22">
        <v>46170.0</v>
      </c>
      <c r="I194" s="22">
        <v>46171.0</v>
      </c>
      <c r="J194" s="21" t="s">
        <v>5294</v>
      </c>
      <c r="K194" s="24"/>
      <c r="L194" s="25"/>
      <c r="M194" s="25"/>
      <c r="N194" s="25"/>
      <c r="O194" s="25"/>
      <c r="P194" s="25"/>
      <c r="Q194" s="25"/>
      <c r="R194" s="25"/>
      <c r="S194" s="25"/>
      <c r="T194" s="25"/>
      <c r="U194" s="25"/>
      <c r="V194" s="25"/>
      <c r="W194" s="25"/>
      <c r="X194" s="25"/>
      <c r="Y194" s="25"/>
      <c r="Z194" s="25"/>
      <c r="AA194" s="25"/>
      <c r="AB194" s="25"/>
      <c r="AC194" s="25"/>
    </row>
    <row r="195">
      <c r="A195" s="24" t="str">
        <f>'DE ( Tarik barang retur )'!AC172</f>
        <v>AWBR-13565-2026-5-26-01</v>
      </c>
      <c r="B195" s="24" t="str">
        <f>'DE ( Tarik barang retur )'!F172</f>
        <v>Apotek Sabi Pharma Cilangkap Cipayung</v>
      </c>
      <c r="C195" s="35">
        <f>'DE ( Tarik barang retur )'!G172</f>
        <v>6.28121E+17</v>
      </c>
      <c r="D195" s="24" t="str">
        <f>'DE ( Tarik barang retur )'!H172</f>
        <v>Jl. Cilangkap Baru Blok R No. 3 RT 001 RW 001 Kel. Cilangkap Kec. Cipayung Kota Jakarta Timur</v>
      </c>
      <c r="E195" s="24" t="str">
        <f>'DE ( Tarik barang retur )'!D172</f>
        <v>26051101245018VKlrK6RZZA</v>
      </c>
      <c r="F195" s="24" t="str">
        <f>'DE ( Tarik barang retur )'!R172</f>
        <v>TMP-INV-2026/05/11/ 2733927OXOFERIN Pharos CAIRAN OBAT LUAR DUS, 1 BOTOL PLASTIK @ 30 MLTarik Barang Retur</v>
      </c>
      <c r="G195" s="36">
        <f>'DE ( Tarik barang retur )'!AF172</f>
        <v>46170</v>
      </c>
      <c r="H195" s="22">
        <v>46178.0</v>
      </c>
      <c r="I195" s="22">
        <v>46179.0</v>
      </c>
      <c r="J195" s="21" t="s">
        <v>5294</v>
      </c>
      <c r="K195" s="24"/>
      <c r="L195" s="25"/>
      <c r="M195" s="25"/>
      <c r="N195" s="25"/>
      <c r="O195" s="25"/>
      <c r="P195" s="25"/>
      <c r="Q195" s="25"/>
      <c r="R195" s="25"/>
      <c r="S195" s="25"/>
      <c r="T195" s="25"/>
      <c r="U195" s="25"/>
      <c r="V195" s="25"/>
      <c r="W195" s="25"/>
      <c r="X195" s="25"/>
      <c r="Y195" s="25"/>
      <c r="Z195" s="25"/>
      <c r="AA195" s="25"/>
      <c r="AB195" s="25"/>
      <c r="AC195" s="25"/>
    </row>
    <row r="196">
      <c r="A196" s="24" t="str">
        <f>'DE ( Tarik barang retur )'!AC173</f>
        <v>AWBR-13267-2026-5-26-01</v>
      </c>
      <c r="B196" s="24" t="str">
        <f>'DE ( Tarik barang retur )'!F173</f>
        <v>Apotek Sehat Milenial Sukamaju Baru Tapos</v>
      </c>
      <c r="C196" s="35">
        <f>'DE ( Tarik barang retur )'!G173</f>
        <v>6.28962E+17</v>
      </c>
      <c r="D196" s="24" t="str">
        <f>'DE ( Tarik barang retur )'!H173</f>
        <v>Ruko De���Khirani Village 2 T5, Kp. Sindangkarsa RT. 004 RW.006,Desa/Kelurahan Sukamaju Baru,Kecamatan Tapos,Kota Depok,Jawa Barat,</v>
      </c>
      <c r="E196" s="24" t="str">
        <f>'DE ( Tarik barang retur )'!D173</f>
        <v>24122308145782vHkJ3GV5a</v>
      </c>
      <c r="F196" s="24" t="str">
        <f>'DE ( Tarik barang retur )'!R173</f>
        <v>TMP-INV-2024/12/24/ 1226730SUTRA LUBRICANT DKT TUBE, 120 MLTarik Barang Retur</v>
      </c>
      <c r="G196" s="36">
        <f>'DE ( Tarik barang retur )'!AF173</f>
        <v>46170</v>
      </c>
      <c r="H196" s="22">
        <v>46171.0</v>
      </c>
      <c r="I196" s="22">
        <v>46172.0</v>
      </c>
      <c r="J196" s="21" t="s">
        <v>5294</v>
      </c>
      <c r="K196" s="24"/>
      <c r="L196" s="25"/>
      <c r="M196" s="25"/>
      <c r="N196" s="25"/>
      <c r="O196" s="25"/>
      <c r="P196" s="25"/>
      <c r="Q196" s="25"/>
      <c r="R196" s="25"/>
      <c r="S196" s="25"/>
      <c r="T196" s="25"/>
      <c r="U196" s="25"/>
      <c r="V196" s="25"/>
      <c r="W196" s="25"/>
      <c r="X196" s="25"/>
      <c r="Y196" s="25"/>
      <c r="Z196" s="25"/>
      <c r="AA196" s="25"/>
      <c r="AB196" s="25"/>
      <c r="AC196" s="25"/>
    </row>
    <row r="197">
      <c r="A197" s="24" t="str">
        <f>'DE ( Tarik barang retur )'!AC174</f>
        <v>AWBR-12751-2026-5-26-01</v>
      </c>
      <c r="B197" s="24" t="str">
        <f>'DE ( Tarik barang retur )'!F174</f>
        <v>Apotek Shila Bojongsari Lama Bojongsari</v>
      </c>
      <c r="C197" s="35">
        <f>'DE ( Tarik barang retur )'!G174</f>
        <v>6.28566E+17</v>
      </c>
      <c r="D197" s="24" t="str">
        <f>'DE ( Tarik barang retur )'!H174</f>
        <v>Sinsa District Blok D6 No. 5, Desa/Kel. Bojongsari, Kec. Bojongsari, Kota Depok</v>
      </c>
      <c r="E197" s="24" t="str">
        <f>'DE ( Tarik barang retur )'!D174</f>
        <v>26051202082867WG0TVM8Yix</v>
      </c>
      <c r="F197" s="24" t="str">
        <f>'DE ( Tarik barang retur )'!R174</f>
        <v>TMP-INV-2026/05/12/ 2738565MEDIXON Dexa Medica TABLET 4 MG DUS, 10 BLISTER @ 10 TABLETTarik Barang Retur</v>
      </c>
      <c r="G197" s="36">
        <f>'DE ( Tarik barang retur )'!AF174</f>
        <v>46170</v>
      </c>
      <c r="H197" s="22">
        <v>46170.0</v>
      </c>
      <c r="I197" s="22">
        <v>46171.0</v>
      </c>
      <c r="J197" s="21" t="s">
        <v>5294</v>
      </c>
      <c r="K197" s="24"/>
      <c r="L197" s="25"/>
      <c r="M197" s="25"/>
      <c r="N197" s="25"/>
      <c r="O197" s="25"/>
      <c r="P197" s="25"/>
      <c r="Q197" s="25"/>
      <c r="R197" s="25"/>
      <c r="S197" s="25"/>
      <c r="T197" s="25"/>
      <c r="U197" s="25"/>
      <c r="V197" s="25"/>
      <c r="W197" s="25"/>
      <c r="X197" s="25"/>
      <c r="Y197" s="25"/>
      <c r="Z197" s="25"/>
      <c r="AA197" s="25"/>
      <c r="AB197" s="25"/>
      <c r="AC197" s="25"/>
    </row>
    <row r="198">
      <c r="A198" s="24" t="str">
        <f>'DE ( Tarik barang retur )'!AC175</f>
        <v>AWBR-13413-2026-5-26-01</v>
      </c>
      <c r="B198" s="24" t="str">
        <f>'DE ( Tarik barang retur )'!F175</f>
        <v>Apotek Anugerah Pasir Mukti Citeureup</v>
      </c>
      <c r="C198" s="35">
        <f>'DE ( Tarik barang retur )'!G175</f>
        <v>6.28132E+17</v>
      </c>
      <c r="D198" s="24" t="str">
        <f>'DE ( Tarik barang retur )'!H175</f>
        <v>Ruko Perumahan Puri Harmoni Pasir Mukti Blok H No. 40, Desa/Kelurahan Pasirmukti, Kec. Citeureup, Kab. Bogor</v>
      </c>
      <c r="E198" s="24" t="str">
        <f>'DE ( Tarik barang retur )'!D175</f>
        <v>24122804284949gEohSApr</v>
      </c>
      <c r="F198" s="24" t="str">
        <f>'DE ( Tarik barang retur )'!R175</f>
        <v>TMP-INV-2024/12/29/ 1239591 / TMP-INV-2026/05/20/ 2766658NELLCO SPESIAL OBH PE UNTUK ANAK-ANAK Nellco SIRUP RASA STRAWBERRY DUS, 1 BOTOL GELAS @ 55 ML / BISOLVON Aventis SOLUTION DUS, 1 BOTOL @ 50 MLTarik Barang Retur</v>
      </c>
      <c r="G198" s="36">
        <f>'DE ( Tarik barang retur )'!AF175</f>
        <v>46170</v>
      </c>
      <c r="H198" s="22">
        <v>46170.0</v>
      </c>
      <c r="I198" s="22">
        <v>46171.0</v>
      </c>
      <c r="J198" s="21" t="s">
        <v>5294</v>
      </c>
      <c r="K198" s="24"/>
      <c r="L198" s="25"/>
      <c r="M198" s="25"/>
      <c r="N198" s="25"/>
      <c r="O198" s="25"/>
      <c r="P198" s="25"/>
      <c r="Q198" s="25"/>
      <c r="R198" s="25"/>
      <c r="S198" s="25"/>
      <c r="T198" s="25"/>
      <c r="U198" s="25"/>
      <c r="V198" s="25"/>
      <c r="W198" s="25"/>
      <c r="X198" s="25"/>
      <c r="Y198" s="25"/>
      <c r="Z198" s="25"/>
      <c r="AA198" s="25"/>
      <c r="AB198" s="25"/>
      <c r="AC198" s="25"/>
    </row>
    <row r="199">
      <c r="A199" s="24" t="str">
        <f>'DE ( Tarik barang retur )'!AC176</f>
        <v>AWBR-2931-2026-5-26-01</v>
      </c>
      <c r="B199" s="24" t="str">
        <f>'DE ( Tarik barang retur )'!F176</f>
        <v>Apotek Bilabong Farma</v>
      </c>
      <c r="C199" s="24">
        <f>'DE ( Tarik barang retur )'!G176</f>
        <v>89636702380</v>
      </c>
      <c r="D199" s="24" t="str">
        <f>'DE ( Tarik barang retur )'!H176</f>
        <v>Jalan Raya Tonjong Ruko Bilabong Permai B1 No. 65/66 Desa Cimanggis Kecamatan Bojonggede Kabupaten Bogor 16920</v>
      </c>
      <c r="E199" s="24" t="str">
        <f>'DE ( Tarik barang retur )'!D176</f>
        <v>26051103332052ylGh7CxFRD</v>
      </c>
      <c r="F199" s="24" t="str">
        <f>'DE ( Tarik barang retur )'!R176</f>
        <v>TMP-INV-2026/05/11/ 2733634ALOCLAIR PLUS MOUTHWASH Enseval OBAT KUMUR BOTOL 60 MLTarik Barang Retur</v>
      </c>
      <c r="G199" s="36">
        <f>'DE ( Tarik barang retur )'!AF176</f>
        <v>46170</v>
      </c>
      <c r="H199" s="22">
        <v>46171.0</v>
      </c>
      <c r="I199" s="22">
        <v>46173.0</v>
      </c>
      <c r="J199" s="21" t="s">
        <v>5294</v>
      </c>
      <c r="K199" s="24"/>
      <c r="L199" s="25"/>
      <c r="M199" s="25"/>
      <c r="N199" s="25"/>
      <c r="O199" s="25"/>
      <c r="P199" s="25"/>
      <c r="Q199" s="25"/>
      <c r="R199" s="25"/>
      <c r="S199" s="25"/>
      <c r="T199" s="25"/>
      <c r="U199" s="25"/>
      <c r="V199" s="25"/>
      <c r="W199" s="25"/>
      <c r="X199" s="25"/>
      <c r="Y199" s="25"/>
      <c r="Z199" s="25"/>
      <c r="AA199" s="25"/>
      <c r="AB199" s="25"/>
      <c r="AC199" s="25"/>
    </row>
    <row r="200">
      <c r="A200" s="24" t="str">
        <f>'DE ( Tarik barang retur )'!AC177</f>
        <v>AWBR-1130-2026-5-26-01</v>
      </c>
      <c r="B200" s="24" t="str">
        <f>'DE ( Tarik barang retur )'!F177</f>
        <v>Apotek Bukit Asri</v>
      </c>
      <c r="C200" s="24">
        <f>'DE ( Tarik barang retur )'!G177</f>
        <v>8128125437</v>
      </c>
      <c r="D200" s="24" t="str">
        <f>'DE ( Tarik barang retur )'!H177</f>
        <v>Ruko Perumahan Bukit Asri Baru Blok A No.6 Kelurahan Pabuaran Kecamatan Cibinong Bogor 16916</v>
      </c>
      <c r="E200" s="24" t="str">
        <f>'DE ( Tarik barang retur )'!D177</f>
        <v>260516070021388nkP8eXLn</v>
      </c>
      <c r="F200" s="24" t="str">
        <f>'DE ( Tarik barang retur )'!R177</f>
        <v>TMP-INV-2026/05/16/ 2753345 / TMP-INV-2026/05/18/ 2759499CALADINE Galenium CAIRAN OBAT LUAR BOTOL PLASTIK @ 60 ML
CALCIUM LACTATE Mersi TABLET DUS, 10 BLISTER @ 10 TABLET
CAVIPLEX CDEZ Erela KAPLET DUS, 10 STRIP @ 10 KAPLET SALUT SELAPUT
DEGIROL Darya-Varia TABLET HISAP 0.25 MG DUS, 10 AMPLOP @ 1 STRIP @ 10 TABLET HISAP
ENKASARI HERBAL Kimia Farma CAIRAN KUMUR DUS, BOTOL @ 120 ML
ERLAMYCETIN PLUS Erela TETES MATA DUS, 1 BOTOL PLASTIK @ 5 ML
KETOCONAZOLE Dexa Medica TABLET 200 MG DUS, 5 STRIP @ 10 TABLET BETADINE ANTISEPTIC SOLUTION Mbf CAIRAN OBAT LUAR 10 % DUS, 6 BOTOL PLASTIK 5 ML
Tarik Barang Retur</v>
      </c>
      <c r="G200" s="36">
        <f>'DE ( Tarik barang retur )'!AF177</f>
        <v>46170</v>
      </c>
      <c r="H200" s="22">
        <v>46170.0</v>
      </c>
      <c r="I200" s="22">
        <v>46171.0</v>
      </c>
      <c r="J200" s="21" t="s">
        <v>5294</v>
      </c>
      <c r="K200" s="24"/>
      <c r="L200" s="25"/>
      <c r="M200" s="25"/>
      <c r="N200" s="25"/>
      <c r="O200" s="25"/>
      <c r="P200" s="25"/>
      <c r="Q200" s="25"/>
      <c r="R200" s="25"/>
      <c r="S200" s="25"/>
      <c r="T200" s="25"/>
      <c r="U200" s="25"/>
      <c r="V200" s="25"/>
      <c r="W200" s="25"/>
      <c r="X200" s="25"/>
      <c r="Y200" s="25"/>
      <c r="Z200" s="25"/>
      <c r="AA200" s="25"/>
      <c r="AB200" s="25"/>
      <c r="AC200" s="25"/>
    </row>
    <row r="201">
      <c r="A201" s="24" t="str">
        <f>'DE ( Tarik barang retur )'!AC178</f>
        <v>AWBR-13710-2026-5-26-01</v>
      </c>
      <c r="B201" s="24" t="str">
        <f>'DE ( Tarik barang retur )'!F178</f>
        <v>Apotek Daata Farma Pakansari Cibinong</v>
      </c>
      <c r="C201" s="35">
        <f>'DE ( Tarik barang retur )'!G178</f>
        <v>6.28129E+17</v>
      </c>
      <c r="D201" s="24" t="str">
        <f>'DE ( Tarik barang retur )'!H178</f>
        <v>Jl. Raya Jakarta-Bogor KM. 44 Kp. Curug RT 003 RW 012,Desa/Kelurahan Pakansari,Kecamatan Cibinong,Kabupaten Bogor,Jawa Barat,16915</v>
      </c>
      <c r="E201" s="24" t="str">
        <f>'DE ( Tarik barang retur )'!D178</f>
        <v>26051602333987KOVBGjIYa8</v>
      </c>
      <c r="F201" s="24" t="str">
        <f>'DE ( Tarik barang retur )'!R178</f>
        <v>TMP-INV-2026/05/16/ 2752290IMBOOST FORCE ES Soho KAPLET DUS, 3 STRIP @ 10 KAPLET SALUT SELAPUTTarik Barang Retur</v>
      </c>
      <c r="G201" s="36">
        <f>'DE ( Tarik barang retur )'!AF178</f>
        <v>46170</v>
      </c>
      <c r="H201" s="22">
        <v>46170.0</v>
      </c>
      <c r="I201" s="22">
        <v>46171.0</v>
      </c>
      <c r="J201" s="21" t="s">
        <v>5294</v>
      </c>
      <c r="K201" s="24"/>
      <c r="L201" s="25"/>
      <c r="M201" s="25"/>
      <c r="N201" s="25"/>
      <c r="O201" s="25"/>
      <c r="P201" s="25"/>
      <c r="Q201" s="25"/>
      <c r="R201" s="25"/>
      <c r="S201" s="25"/>
      <c r="T201" s="25"/>
      <c r="U201" s="25"/>
      <c r="V201" s="25"/>
      <c r="W201" s="25"/>
      <c r="X201" s="25"/>
      <c r="Y201" s="25"/>
      <c r="Z201" s="25"/>
      <c r="AA201" s="25"/>
      <c r="AB201" s="25"/>
      <c r="AC201" s="25"/>
    </row>
    <row r="202">
      <c r="A202" s="24" t="str">
        <f>'DE ( Tarik barang retur )'!AC179</f>
        <v>AWBR-1133-2026-5-26-01</v>
      </c>
      <c r="B202" s="24" t="str">
        <f>'DE ( Tarik barang retur )'!F179</f>
        <v>Apotek Detta Farma</v>
      </c>
      <c r="C202" s="24">
        <f>'DE ( Tarik barang retur )'!G179</f>
        <v>87870537553</v>
      </c>
      <c r="D202" s="24" t="str">
        <f>'DE ( Tarik barang retur )'!H179</f>
        <v>: Ruko ATC Blok A No.9 Desa Parung Kecamatan Parung Kabupaten Bogor 16330</v>
      </c>
      <c r="E202" s="24" t="str">
        <f>'DE ( Tarik barang retur )'!D179</f>
        <v>240327074656411m9kfhsEb</v>
      </c>
      <c r="F202" s="24" t="str">
        <f>'DE ( Tarik barang retur )'!R179</f>
        <v>TMP-INV-2024/03/28/ 700689TRIAMINIC EKSPEKTORAN dan PILEK (RASA LEMON) Sterling SIRUP DUS, BOTOL PLASTIK @ 60 MLTarik Barang Retur</v>
      </c>
      <c r="G202" s="36">
        <f>'DE ( Tarik barang retur )'!AF179</f>
        <v>46170</v>
      </c>
      <c r="H202" s="22">
        <v>46170.0</v>
      </c>
      <c r="I202" s="22">
        <v>46171.0</v>
      </c>
      <c r="J202" s="21" t="s">
        <v>5294</v>
      </c>
      <c r="K202" s="24"/>
      <c r="L202" s="25"/>
      <c r="M202" s="25"/>
      <c r="N202" s="25"/>
      <c r="O202" s="25"/>
      <c r="P202" s="25"/>
      <c r="Q202" s="25"/>
      <c r="R202" s="25"/>
      <c r="S202" s="25"/>
      <c r="T202" s="25"/>
      <c r="U202" s="25"/>
      <c r="V202" s="25"/>
      <c r="W202" s="25"/>
      <c r="X202" s="25"/>
      <c r="Y202" s="25"/>
      <c r="Z202" s="25"/>
      <c r="AA202" s="25"/>
      <c r="AB202" s="25"/>
      <c r="AC202" s="25"/>
    </row>
    <row r="203">
      <c r="A203" s="24" t="str">
        <f>'DE ( Tarik barang retur )'!AC180</f>
        <v>AWBR-1148-2026-5-26-01</v>
      </c>
      <c r="B203" s="24" t="str">
        <f>'DE ( Tarik barang retur )'!F180</f>
        <v>Apotek Harrison Jonggol</v>
      </c>
      <c r="C203" s="24">
        <f>'DE ( Tarik barang retur )'!G180</f>
        <v>81350752017</v>
      </c>
      <c r="D203" s="24" t="str">
        <f>'DE ( Tarik barang retur )'!H180</f>
        <v>Jalan Raya Letkol Murlin Kp Menan RT 001 RW 004 Desa Sukamaju Kecamatan Jonggol Kab Bogor 16830</v>
      </c>
      <c r="E203" s="24" t="str">
        <f>'DE ( Tarik barang retur )'!D180</f>
        <v>250603033109475Nu9NEgv</v>
      </c>
      <c r="F203" s="24" t="str">
        <f>'DE ( Tarik barang retur )'!R180</f>
        <v>TMP-INV-2025/06/03/ 1628576NOROID Soho SOOTHING KRIM TUBE 80 MLTarik Barang Retur</v>
      </c>
      <c r="G203" s="36">
        <f>'DE ( Tarik barang retur )'!AF180</f>
        <v>46170</v>
      </c>
      <c r="H203" s="22">
        <v>46170.0</v>
      </c>
      <c r="I203" s="22">
        <v>46171.0</v>
      </c>
      <c r="J203" s="21" t="s">
        <v>5294</v>
      </c>
      <c r="K203" s="24"/>
      <c r="L203" s="25"/>
      <c r="M203" s="25"/>
      <c r="N203" s="25"/>
      <c r="O203" s="25"/>
      <c r="P203" s="25"/>
      <c r="Q203" s="25"/>
      <c r="R203" s="25"/>
      <c r="S203" s="25"/>
      <c r="T203" s="25"/>
      <c r="U203" s="25"/>
      <c r="V203" s="25"/>
      <c r="W203" s="25"/>
      <c r="X203" s="25"/>
      <c r="Y203" s="25"/>
      <c r="Z203" s="25"/>
      <c r="AA203" s="25"/>
      <c r="AB203" s="25"/>
      <c r="AC203" s="25"/>
    </row>
    <row r="204">
      <c r="A204" s="24" t="str">
        <f>'DE ( Tarik barang retur )'!AC181</f>
        <v>AWBR-1091-2026-5-26-01</v>
      </c>
      <c r="B204" s="24" t="str">
        <f>'DE ( Tarik barang retur )'!F181</f>
        <v>Apotek Harrison Pasir Angin</v>
      </c>
      <c r="C204" s="24">
        <f>'DE ( Tarik barang retur )'!G181</f>
        <v>82125602710</v>
      </c>
      <c r="D204" s="24" t="str">
        <f>'DE ( Tarik barang retur )'!H181</f>
        <v>Kampung Cinyosog RT 001 RW 001 Desa Pasir Angin Kecamatan Cileungsi Kaupaten Bogor 16820</v>
      </c>
      <c r="E204" s="24" t="str">
        <f>'DE ( Tarik barang retur )'!D181</f>
        <v>260508020035337Ht1yrTwZ</v>
      </c>
      <c r="F204" s="24" t="str">
        <f>'DE ( Tarik barang retur )'!R181</f>
        <v>TMP-INV-2026/05/08/ 2723849BIOCORE Interbat KAPSUL DUS, 3 BLISTER @ 10 KAPSULTarik Barang Retur</v>
      </c>
      <c r="G204" s="36">
        <f>'DE ( Tarik barang retur )'!AF181</f>
        <v>46170</v>
      </c>
      <c r="H204" s="22">
        <v>46170.0</v>
      </c>
      <c r="I204" s="22">
        <v>46172.0</v>
      </c>
      <c r="J204" s="21" t="s">
        <v>5294</v>
      </c>
      <c r="K204" s="24"/>
      <c r="L204" s="25"/>
      <c r="M204" s="25"/>
      <c r="N204" s="25"/>
      <c r="O204" s="25"/>
      <c r="P204" s="25"/>
      <c r="Q204" s="25"/>
      <c r="R204" s="25"/>
      <c r="S204" s="25"/>
      <c r="T204" s="25"/>
      <c r="U204" s="25"/>
      <c r="V204" s="25"/>
      <c r="W204" s="25"/>
      <c r="X204" s="25"/>
      <c r="Y204" s="25"/>
      <c r="Z204" s="25"/>
      <c r="AA204" s="25"/>
      <c r="AB204" s="25"/>
      <c r="AC204" s="25"/>
    </row>
    <row r="205">
      <c r="A205" s="24" t="str">
        <f>'DE ( Tarik barang retur )'!AC182</f>
        <v>AWBR-13494-2026-5-26-01</v>
      </c>
      <c r="B205" s="24" t="str">
        <f>'DE ( Tarik barang retur )'!F182</f>
        <v>Apotek Jes Farma Bojong Klapa Nunggal</v>
      </c>
      <c r="C205" s="35">
        <f>'DE ( Tarik barang retur )'!G182</f>
        <v>6.28218E+17</v>
      </c>
      <c r="D205" s="24" t="str">
        <f>'DE ( Tarik barang retur )'!H182</f>
        <v>Perumahan Pesona Kahuripan Blok Toko B No. 6 Desa Bojong Kec. Klapa Nunggal Kab. Bogor</v>
      </c>
      <c r="E205" s="24" t="str">
        <f>'DE ( Tarik barang retur )'!D182</f>
        <v>26051204083697GPIBqyms</v>
      </c>
      <c r="F205" s="24" t="str">
        <f>'DE ( Tarik barang retur )'!R182</f>
        <v>TMP-INV-2026/05/13/ 2742297FENRIS Interbat SUSPENSI DUS, BOTOL 60 MLTarik Barang Retur</v>
      </c>
      <c r="G205" s="36">
        <f>'DE ( Tarik barang retur )'!AF182</f>
        <v>46170</v>
      </c>
      <c r="H205" s="22">
        <v>46170.0</v>
      </c>
      <c r="I205" s="22">
        <v>46171.0</v>
      </c>
      <c r="J205" s="21" t="s">
        <v>5294</v>
      </c>
      <c r="K205" s="24"/>
      <c r="L205" s="25"/>
      <c r="M205" s="25"/>
      <c r="N205" s="25"/>
      <c r="O205" s="25"/>
      <c r="P205" s="25"/>
      <c r="Q205" s="25"/>
      <c r="R205" s="25"/>
      <c r="S205" s="25"/>
      <c r="T205" s="25"/>
      <c r="U205" s="25"/>
      <c r="V205" s="25"/>
      <c r="W205" s="25"/>
      <c r="X205" s="25"/>
      <c r="Y205" s="25"/>
      <c r="Z205" s="25"/>
      <c r="AA205" s="25"/>
      <c r="AB205" s="25"/>
      <c r="AC205" s="25"/>
    </row>
    <row r="206">
      <c r="A206" s="24" t="str">
        <f>'DE ( Tarik barang retur )'!AC183</f>
        <v>AWBR-10700-2026-5-26-01</v>
      </c>
      <c r="B206" s="24" t="str">
        <f>'DE ( Tarik barang retur )'!F183</f>
        <v>Apotek K24 Citra Indah 2 Sukamaju Jonggol</v>
      </c>
      <c r="C206" s="35">
        <f>'DE ( Tarik barang retur )'!G183</f>
        <v>6.28139E+17</v>
      </c>
      <c r="D206" s="24" t="str">
        <f>'DE ( Tarik barang retur )'!H183</f>
        <v>Ruko Citra Indah Jonggol Blok SS 05 No. 3, Perum Citra Indah Desa/Kelurahan Sukamaju, Kecamatan Jonggol, Kabupaten Bogor, Jawa Barat 16830</v>
      </c>
      <c r="E206" s="24" t="str">
        <f>'DE ( Tarik barang retur )'!D183</f>
        <v>26051803144680WiRuEZRxq4</v>
      </c>
      <c r="F206" s="24" t="str">
        <f>'DE ( Tarik barang retur )'!R183</f>
        <v>TMP-INV-2026/05/18/ 2758207DOPAMET Actavis TABLET 250 MG DUS, 10 STRIP @ 10 TABLET SALUT SELAPUT / TRINORDIOL-28 Sunthi TABLET DUS, 2 BLISTER @ 28 TABLET SALUT GULATarik Barang Retur</v>
      </c>
      <c r="G206" s="36">
        <f>'DE ( Tarik barang retur )'!AF183</f>
        <v>46170</v>
      </c>
      <c r="H206" s="22">
        <v>46170.0</v>
      </c>
      <c r="I206" s="22">
        <v>46172.0</v>
      </c>
      <c r="J206" s="21" t="s">
        <v>5294</v>
      </c>
      <c r="K206" s="24"/>
      <c r="L206" s="25"/>
      <c r="M206" s="25"/>
      <c r="N206" s="25"/>
      <c r="O206" s="25"/>
      <c r="P206" s="25"/>
      <c r="Q206" s="25"/>
      <c r="R206" s="25"/>
      <c r="S206" s="25"/>
      <c r="T206" s="25"/>
      <c r="U206" s="25"/>
      <c r="V206" s="25"/>
      <c r="W206" s="25"/>
      <c r="X206" s="25"/>
      <c r="Y206" s="25"/>
      <c r="Z206" s="25"/>
      <c r="AA206" s="25"/>
      <c r="AB206" s="25"/>
      <c r="AC206" s="25"/>
    </row>
    <row r="207">
      <c r="A207" s="24" t="str">
        <f>'DE ( Tarik barang retur )'!AC184</f>
        <v>AWBR-11847-2026-5-26-01</v>
      </c>
      <c r="B207" s="24" t="str">
        <f>'DE ( Tarik barang retur )'!F184</f>
        <v>Apotek K24 Metland Transyogi Limus Nunggal Cileungsi</v>
      </c>
      <c r="C207" s="35">
        <f>'DE ( Tarik barang retur )'!G184</f>
        <v>6.28198E+16</v>
      </c>
      <c r="D207" s="24" t="str">
        <f>'DE ( Tarik barang retur )'!H184</f>
        <v>Ruko Perumahan Taman Metropolitan Blok PTM 2 No. 10 Desa Limusnunggal Kec. Cileungsi Kab. Bogor</v>
      </c>
      <c r="E207" s="24" t="str">
        <f>'DE ( Tarik barang retur )'!D184</f>
        <v>260512014927717482j3Zb5</v>
      </c>
      <c r="F207" s="24" t="str">
        <f>'DE ( Tarik barang retur )'!R184</f>
        <v>TMP-INV-2026/05/12/ 2738452 &amp; TMP-INV-2026/05/12/ 2738273FENRIS Interbat SUSPENSI DUS, BOTOL 60 ML / TEMPRA (RASA ANGGUR) Taisho SIRUP 2-6 Tahun DUS, 1 BOTOL PLASTIK @ 60 MLTarik Barang Retur</v>
      </c>
      <c r="G207" s="36">
        <f>'DE ( Tarik barang retur )'!AF184</f>
        <v>46170</v>
      </c>
      <c r="H207" s="22">
        <v>46170.0</v>
      </c>
      <c r="I207" s="22">
        <v>46172.0</v>
      </c>
      <c r="J207" s="21" t="s">
        <v>5294</v>
      </c>
      <c r="K207" s="24"/>
      <c r="L207" s="25"/>
      <c r="M207" s="25"/>
      <c r="N207" s="25"/>
      <c r="O207" s="25"/>
      <c r="P207" s="25"/>
      <c r="Q207" s="25"/>
      <c r="R207" s="25"/>
      <c r="S207" s="25"/>
      <c r="T207" s="25"/>
      <c r="U207" s="25"/>
      <c r="V207" s="25"/>
      <c r="W207" s="25"/>
      <c r="X207" s="25"/>
      <c r="Y207" s="25"/>
      <c r="Z207" s="25"/>
      <c r="AA207" s="25"/>
      <c r="AB207" s="25"/>
      <c r="AC207" s="25"/>
    </row>
    <row r="208">
      <c r="A208" s="24" t="str">
        <f>'DE ( Tarik barang retur )'!AC185</f>
        <v>AWBR-12786-2026-5-26-01</v>
      </c>
      <c r="B208" s="24" t="str">
        <f>'DE ( Tarik barang retur )'!F185</f>
        <v>Apotek Mulia Situsari Setu Sari Cileungsi</v>
      </c>
      <c r="C208" s="35">
        <f>'DE ( Tarik barang retur )'!G185</f>
        <v>6.28956E+18</v>
      </c>
      <c r="D208" s="24" t="str">
        <f>'DE ( Tarik barang retur )'!H185</f>
        <v>Ruko Pesona Situsari Blok A1 RT 003 RW 007 Desa Situsari Kecamatan Cileungsi Kabupaten Bogor</v>
      </c>
      <c r="E208" s="24" t="str">
        <f>'DE ( Tarik barang retur )'!D185</f>
        <v>26051210483616VsCVu8zUT5</v>
      </c>
      <c r="F208" s="24" t="str">
        <f>'DE ( Tarik barang retur )'!R185</f>
        <v>TMP-INV-2026/05/13/ 2742035CATAFLAM D Novartis TABLET DISPERSIBLE DUS, 5 BLISTER @ 10 TABLET DISPERSIBLETarik Barang Retur</v>
      </c>
      <c r="G208" s="36">
        <f>'DE ( Tarik barang retur )'!AF185</f>
        <v>46170</v>
      </c>
      <c r="H208" s="22">
        <v>46170.0</v>
      </c>
      <c r="I208" s="22">
        <v>46171.0</v>
      </c>
      <c r="J208" s="21" t="s">
        <v>5294</v>
      </c>
      <c r="K208" s="24"/>
      <c r="L208" s="25"/>
      <c r="M208" s="25"/>
      <c r="N208" s="25"/>
      <c r="O208" s="25"/>
      <c r="P208" s="25"/>
      <c r="Q208" s="25"/>
      <c r="R208" s="25"/>
      <c r="S208" s="25"/>
      <c r="T208" s="25"/>
      <c r="U208" s="25"/>
      <c r="V208" s="25"/>
      <c r="W208" s="25"/>
      <c r="X208" s="25"/>
      <c r="Y208" s="25"/>
      <c r="Z208" s="25"/>
      <c r="AA208" s="25"/>
      <c r="AB208" s="25"/>
      <c r="AC208" s="25"/>
    </row>
    <row r="209">
      <c r="A209" s="24" t="str">
        <f>'DE ( Tarik barang retur )'!AC186</f>
        <v>AWBR-3042-2026-5-26-01</v>
      </c>
      <c r="B209" s="24" t="str">
        <f>'DE ( Tarik barang retur )'!F186</f>
        <v>Apotek Najah</v>
      </c>
      <c r="C209" s="35">
        <f>'DE ( Tarik barang retur )'!G186</f>
        <v>6.2859E+16</v>
      </c>
      <c r="D209" s="24" t="str">
        <f>'DE ( Tarik barang retur )'!H186</f>
        <v>Jl. Ruko Little China JD 20, Legenda Wisata Desa/Kelurahan Nagrak, Kecamatan Gunung Putri, Kabupaten Bogor, Jawa Barat, 16967</v>
      </c>
      <c r="E209" s="24" t="str">
        <f>'DE ( Tarik barang retur )'!D186</f>
        <v>26051514172269lPZDyjPbBw</v>
      </c>
      <c r="F209" s="24" t="str">
        <f>'DE ( Tarik barang retur )'!R186</f>
        <v>TMP-INV-2026/05/16/ 2752733ANTANGIN MINT Deltomed SIRUP DUS, 12 SACHET @ 15 MLTarik Barang Retur</v>
      </c>
      <c r="G209" s="36">
        <f>'DE ( Tarik barang retur )'!AF186</f>
        <v>46170</v>
      </c>
      <c r="H209" s="22">
        <v>46170.0</v>
      </c>
      <c r="I209" s="22">
        <v>46171.0</v>
      </c>
      <c r="J209" s="21" t="s">
        <v>5294</v>
      </c>
      <c r="K209" s="24"/>
      <c r="L209" s="25"/>
      <c r="M209" s="25"/>
      <c r="N209" s="25"/>
      <c r="O209" s="25"/>
      <c r="P209" s="25"/>
      <c r="Q209" s="25"/>
      <c r="R209" s="25"/>
      <c r="S209" s="25"/>
      <c r="T209" s="25"/>
      <c r="U209" s="25"/>
      <c r="V209" s="25"/>
      <c r="W209" s="25"/>
      <c r="X209" s="25"/>
      <c r="Y209" s="25"/>
      <c r="Z209" s="25"/>
      <c r="AA209" s="25"/>
      <c r="AB209" s="25"/>
      <c r="AC209" s="25"/>
    </row>
    <row r="210">
      <c r="A210" s="24" t="str">
        <f>'DE ( Tarik barang retur )'!AC187</f>
        <v>AWBR-15295-2026-5-26-01</v>
      </c>
      <c r="B210" s="24" t="str">
        <f>'DE ( Tarik barang retur )'!F187</f>
        <v>Apotek Alvadent Cihuni Pagedangan</v>
      </c>
      <c r="C210" s="35">
        <f>'DE ( Tarik barang retur )'!G187</f>
        <v>6.28829E+17</v>
      </c>
      <c r="D210" s="24" t="str">
        <f>'DE ( Tarik barang retur )'!H187</f>
        <v>Ruko Maggiore Grande Blok H No. 62 Desa/Kel. Cihuni Kec. Pagedangan Kabupaten Tangerang</v>
      </c>
      <c r="E210" s="24" t="str">
        <f>'DE ( Tarik barang retur )'!D187</f>
        <v>25080712051262AQoFTgm78</v>
      </c>
      <c r="F210" s="24" t="str">
        <f>'DE ( Tarik barang retur )'!R187</f>
        <v>TMP-INV-2025/08/08/ 1811820STIMUNO RASA ANGGUR Dexa Medica SIRUP DUS, BOTOL @ 60 MLTarik Barang Retur</v>
      </c>
      <c r="G210" s="36">
        <f>'DE ( Tarik barang retur )'!AF187</f>
        <v>46170</v>
      </c>
      <c r="H210" s="22">
        <v>46172.0</v>
      </c>
      <c r="I210" s="22">
        <v>46173.0</v>
      </c>
      <c r="J210" s="21" t="s">
        <v>5294</v>
      </c>
      <c r="K210" s="24"/>
      <c r="L210" s="25"/>
      <c r="M210" s="25"/>
      <c r="N210" s="25"/>
      <c r="O210" s="25"/>
      <c r="P210" s="25"/>
      <c r="Q210" s="25"/>
      <c r="R210" s="25"/>
      <c r="S210" s="25"/>
      <c r="T210" s="25"/>
      <c r="U210" s="25"/>
      <c r="V210" s="25"/>
      <c r="W210" s="25"/>
      <c r="X210" s="25"/>
      <c r="Y210" s="25"/>
      <c r="Z210" s="25"/>
      <c r="AA210" s="25"/>
      <c r="AB210" s="25"/>
      <c r="AC210" s="25"/>
    </row>
    <row r="211">
      <c r="A211" s="24" t="str">
        <f>'DE ( Tarik barang retur )'!AC188</f>
        <v>AWBR-1233-2026-5-26-01</v>
      </c>
      <c r="B211" s="24" t="str">
        <f>'DE ( Tarik barang retur )'!F188</f>
        <v>Apotek Awal Sehat</v>
      </c>
      <c r="C211" s="24">
        <f>'DE ( Tarik barang retur )'!G188</f>
        <v>82164247688</v>
      </c>
      <c r="D211" s="24" t="str">
        <f>'DE ( Tarik barang retur )'!H188</f>
        <v>Jalan Swadaya Raya,Gang Anggrek I No.1 Kelurahan Larangan Indah Kecamatan Larang Kota Tangerang 15154</v>
      </c>
      <c r="E211" s="24" t="str">
        <f>'DE ( Tarik barang retur )'!D188</f>
        <v>26051908283424Yomwae6Eo</v>
      </c>
      <c r="F211" s="24" t="str">
        <f>'DE ( Tarik barang retur )'!R188</f>
        <v>TMP-INV-2026/05/20/ 2766055BENOSON Bernofarm KRIM DUS, 1 TUBE @ 15 GTarik Barang Retur</v>
      </c>
      <c r="G211" s="36">
        <f>'DE ( Tarik barang retur )'!AF188</f>
        <v>46170</v>
      </c>
      <c r="H211" s="22">
        <v>46170.0</v>
      </c>
      <c r="I211" s="22">
        <v>46171.0</v>
      </c>
      <c r="J211" s="21" t="s">
        <v>5294</v>
      </c>
      <c r="K211" s="24"/>
      <c r="L211" s="25"/>
      <c r="M211" s="25"/>
      <c r="N211" s="25"/>
      <c r="O211" s="25"/>
      <c r="P211" s="25"/>
      <c r="Q211" s="25"/>
      <c r="R211" s="25"/>
      <c r="S211" s="25"/>
      <c r="T211" s="25"/>
      <c r="U211" s="25"/>
      <c r="V211" s="25"/>
      <c r="W211" s="25"/>
      <c r="X211" s="25"/>
      <c r="Y211" s="25"/>
      <c r="Z211" s="25"/>
      <c r="AA211" s="25"/>
      <c r="AB211" s="25"/>
      <c r="AC211" s="25"/>
    </row>
    <row r="212">
      <c r="A212" s="24" t="str">
        <f>'DE ( Tarik barang retur )'!AC189</f>
        <v>AWBR-11641-2026-5-26-01</v>
      </c>
      <c r="B212" s="24" t="str">
        <f>'DE ( Tarik barang retur )'!F189</f>
        <v>Apotek Delta Waras Sawah Baru Ciputat</v>
      </c>
      <c r="C212" s="35">
        <f>'DE ( Tarik barang retur )'!G189</f>
        <v>6.28518E+17</v>
      </c>
      <c r="D212" s="24" t="str">
        <f>'DE ( Tarik barang retur )'!H189</f>
        <v>Jalan Raya Tegal Rotan No.81,Desa/Kel. Sawah Baru, Kec. Ciputat, Kota Tangerang Selatan</v>
      </c>
      <c r="E212" s="24" t="str">
        <f>'DE ( Tarik barang retur )'!D189</f>
        <v>25050301353430mO5GSDxAIT</v>
      </c>
      <c r="F212" s="24" t="str">
        <f>'DE ( Tarik barang retur )'!R189</f>
        <v>TMP-INV-2025/05/03/ 1547004FINPRO Interbat TABLET 5 MG DUS, 3 STRIP @ 10 TABLETTarik Barang Retur</v>
      </c>
      <c r="G212" s="36">
        <f>'DE ( Tarik barang retur )'!AF189</f>
        <v>46170</v>
      </c>
      <c r="H212" s="22">
        <v>46171.0</v>
      </c>
      <c r="I212" s="22">
        <v>46172.0</v>
      </c>
      <c r="J212" s="21" t="s">
        <v>5294</v>
      </c>
      <c r="K212" s="24"/>
      <c r="L212" s="25"/>
      <c r="M212" s="25"/>
      <c r="N212" s="25"/>
      <c r="O212" s="25"/>
      <c r="P212" s="25"/>
      <c r="Q212" s="25"/>
      <c r="R212" s="25"/>
      <c r="S212" s="25"/>
      <c r="T212" s="25"/>
      <c r="U212" s="25"/>
      <c r="V212" s="25"/>
      <c r="W212" s="25"/>
      <c r="X212" s="25"/>
      <c r="Y212" s="25"/>
      <c r="Z212" s="25"/>
      <c r="AA212" s="25"/>
      <c r="AB212" s="25"/>
      <c r="AC212" s="25"/>
    </row>
    <row r="213">
      <c r="A213" s="24" t="str">
        <f>'DE ( Tarik barang retur )'!AC190</f>
        <v>AWBR-11830-2026-5-26-01</v>
      </c>
      <c r="B213" s="24" t="str">
        <f>'DE ( Tarik barang retur )'!F190</f>
        <v>Apotek Kita Jurang Mangu Barat Pondok Aren</v>
      </c>
      <c r="C213" s="35">
        <f>'DE ( Tarik barang retur )'!G190</f>
        <v>6.28132E+17</v>
      </c>
      <c r="D213" s="24" t="str">
        <f>'DE ( Tarik barang retur )'!H190</f>
        <v>Jl. PD Jati Raya RT 05/04 No 46B. Kel. Jurangmangu Barat, Kec. Pondok Aren. Kota Tangerang Selatan</v>
      </c>
      <c r="E213" s="24" t="str">
        <f>'DE ( Tarik barang retur )'!D190</f>
        <v>25031113141629xpU8sFMQR9</v>
      </c>
      <c r="F213" s="24" t="str">
        <f>'DE ( Tarik barang retur )'!R190</f>
        <v>TMP-INV-2025/03/12/ 1418447CURVIT Soho SIRUP DUS, BOTOL KACA @ 60 MLTarik Barang Retur</v>
      </c>
      <c r="G213" s="36">
        <f>'DE ( Tarik barang retur )'!AF190</f>
        <v>46170</v>
      </c>
      <c r="H213" s="22">
        <v>46170.0</v>
      </c>
      <c r="I213" s="22">
        <v>46171.0</v>
      </c>
      <c r="J213" s="21" t="s">
        <v>5294</v>
      </c>
      <c r="K213" s="24"/>
      <c r="L213" s="25"/>
      <c r="M213" s="25"/>
      <c r="N213" s="25"/>
      <c r="O213" s="25"/>
      <c r="P213" s="25"/>
      <c r="Q213" s="25"/>
      <c r="R213" s="25"/>
      <c r="S213" s="25"/>
      <c r="T213" s="25"/>
      <c r="U213" s="25"/>
      <c r="V213" s="25"/>
      <c r="W213" s="25"/>
      <c r="X213" s="25"/>
      <c r="Y213" s="25"/>
      <c r="Z213" s="25"/>
      <c r="AA213" s="25"/>
      <c r="AB213" s="25"/>
      <c r="AC213" s="25"/>
    </row>
    <row r="214">
      <c r="A214" s="24" t="str">
        <f>'DE ( Tarik barang retur )'!AC191</f>
        <v>AWBR-6413-2026-5-27-01</v>
      </c>
      <c r="B214" s="24" t="str">
        <f>'DE ( Tarik barang retur )'!F191</f>
        <v>Apotek Kinanti</v>
      </c>
      <c r="C214" s="35">
        <f>'DE ( Tarik barang retur )'!G191</f>
        <v>6.28213E+17</v>
      </c>
      <c r="D214" s="24" t="str">
        <f>'DE ( Tarik barang retur )'!H191</f>
        <v>Jl. Pasar Impres No.90 RT - RW - Kel/Desa Pamanukan Kec. Pamanukan Kabupaten Subang 41264</v>
      </c>
      <c r="E214" s="24" t="str">
        <f>'DE ( Tarik barang retur )'!D191</f>
        <v>26050111550686UvX1W1uoh</v>
      </c>
      <c r="F214" s="24" t="str">
        <f>'DE ( Tarik barang retur )'!R191</f>
        <v>TMP-INV-2026/05/02/ 2701630NECIBLOK Dankos SUSPENSI DUS, BOTOL 100 MLTarik Barang Retur</v>
      </c>
      <c r="G214" s="36">
        <f>'DE ( Tarik barang retur )'!AF191</f>
        <v>46170</v>
      </c>
      <c r="H214" s="22">
        <v>46171.0</v>
      </c>
      <c r="I214" s="22">
        <v>46172.0</v>
      </c>
      <c r="J214" s="21" t="s">
        <v>5294</v>
      </c>
      <c r="K214" s="24"/>
      <c r="L214" s="25"/>
      <c r="M214" s="25"/>
      <c r="N214" s="25"/>
      <c r="O214" s="25"/>
      <c r="P214" s="25"/>
      <c r="Q214" s="25"/>
      <c r="R214" s="25"/>
      <c r="S214" s="25"/>
      <c r="T214" s="25"/>
      <c r="U214" s="25"/>
      <c r="V214" s="25"/>
      <c r="W214" s="25"/>
      <c r="X214" s="25"/>
      <c r="Y214" s="25"/>
      <c r="Z214" s="25"/>
      <c r="AA214" s="25"/>
      <c r="AB214" s="25"/>
      <c r="AC214" s="25"/>
    </row>
    <row r="215">
      <c r="A215" s="24" t="str">
        <f>'DE ( Tarik barang retur )'!AC192</f>
        <v>AWBR-2144-2026-5-27-01</v>
      </c>
      <c r="B215" s="24" t="str">
        <f>'DE ( Tarik barang retur )'!F192</f>
        <v>Apotek Kreator Kesehatan</v>
      </c>
      <c r="C215" s="24">
        <f>'DE ( Tarik barang retur )'!G192</f>
        <v>81310304580</v>
      </c>
      <c r="D215" s="24" t="str">
        <f>'DE ( Tarik barang retur )'!H192</f>
        <v>Ruko Azores Banjar Wijaya Blok B-17A No. 33 Kelurahan Porsi Plawad Indah Kecamatan Cipondoh Kota Tangerang 15141</v>
      </c>
      <c r="E215" s="24" t="str">
        <f>'DE ( Tarik barang retur )'!D192</f>
        <v>25062509511145XA8upU48</v>
      </c>
      <c r="F215" s="24" t="str">
        <f>'DE ( Tarik barang retur )'!R192</f>
        <v>TMP-INV-2025/06/26/ 1688079 / TMP-INV-2025/08/28/ 1872810FIESTA INTIM COOL Dkt GEL DUS, TUBE 70 ML / VICKS BABYBALM DUS, POT 20 GTarik Barang Retur</v>
      </c>
      <c r="G215" s="36">
        <f>'DE ( Tarik barang retur )'!AF192</f>
        <v>46170</v>
      </c>
      <c r="H215" s="22">
        <v>46170.0</v>
      </c>
      <c r="I215" s="22">
        <v>46171.0</v>
      </c>
      <c r="J215" s="21" t="s">
        <v>5294</v>
      </c>
      <c r="K215" s="24"/>
      <c r="L215" s="25"/>
      <c r="M215" s="25"/>
      <c r="N215" s="25"/>
      <c r="O215" s="25"/>
      <c r="P215" s="25"/>
      <c r="Q215" s="25"/>
      <c r="R215" s="25"/>
      <c r="S215" s="25"/>
      <c r="T215" s="25"/>
      <c r="U215" s="25"/>
      <c r="V215" s="25"/>
      <c r="W215" s="25"/>
      <c r="X215" s="25"/>
      <c r="Y215" s="25"/>
      <c r="Z215" s="25"/>
      <c r="AA215" s="25"/>
      <c r="AB215" s="25"/>
      <c r="AC215" s="25"/>
    </row>
    <row r="216">
      <c r="A216" s="24" t="str">
        <f>'DE ( Tarik barang retur )'!AC193</f>
        <v>AWBR-1211-2026-5-27-01</v>
      </c>
      <c r="B216" s="24" t="str">
        <f>'DE ( Tarik barang retur )'!F193</f>
        <v>Apotek Prisma Farma</v>
      </c>
      <c r="C216" s="24">
        <f>'DE ( Tarik barang retur )'!G193</f>
        <v>82217371661</v>
      </c>
      <c r="D216" s="24" t="str">
        <f>'DE ( Tarik barang retur )'!H193</f>
        <v>Jalan Raya Binong No. 55 Curug Kampung Galuga Kelurahan Binong Kecamatan Curug Kabupaten Tangerang 15810</v>
      </c>
      <c r="E216" s="24" t="str">
        <f>'DE ( Tarik barang retur )'!D193</f>
        <v>260504021906532i0GSDYsf</v>
      </c>
      <c r="F216" s="24" t="str">
        <f>'DE ( Tarik barang retur )'!R193</f>
        <v>TMP-INV-2026/05/04/ 2706279RHINOFED Dexa Medica SIRUP DUS, 1 BOTOL @ 60 MLTarik Barang Retur</v>
      </c>
      <c r="G216" s="36">
        <f>'DE ( Tarik barang retur )'!AF193</f>
        <v>46170</v>
      </c>
      <c r="H216" s="22">
        <v>46170.0</v>
      </c>
      <c r="I216" s="22">
        <v>46171.0</v>
      </c>
      <c r="J216" s="21" t="s">
        <v>5294</v>
      </c>
      <c r="K216" s="24"/>
      <c r="L216" s="25"/>
      <c r="M216" s="25"/>
      <c r="N216" s="25"/>
      <c r="O216" s="25"/>
      <c r="P216" s="25"/>
      <c r="Q216" s="25"/>
      <c r="R216" s="25"/>
      <c r="S216" s="25"/>
      <c r="T216" s="25"/>
      <c r="U216" s="25"/>
      <c r="V216" s="25"/>
      <c r="W216" s="25"/>
      <c r="X216" s="25"/>
      <c r="Y216" s="25"/>
      <c r="Z216" s="25"/>
      <c r="AA216" s="25"/>
      <c r="AB216" s="25"/>
      <c r="AC216" s="25"/>
    </row>
    <row r="217">
      <c r="A217" s="24" t="str">
        <f>'DE ( Tarik barang retur )'!AC194</f>
        <v>AWBR-9086-2026-5-27-01</v>
      </c>
      <c r="B217" s="24" t="str">
        <f>'DE ( Tarik barang retur )'!F194</f>
        <v>Apotek Auliya Farma Banjar Sari Ciawi</v>
      </c>
      <c r="C217" s="24">
        <f>'DE ( Tarik barang retur )'!G194</f>
        <v>81318305911</v>
      </c>
      <c r="D217" s="24" t="str">
        <f>'DE ( Tarik barang retur )'!H194</f>
        <v>Jl. Veteran III RT. 13 RW. 03 Desa Banjar Sari Kec. Ciawi Kab. Bogor 16720</v>
      </c>
      <c r="E217" s="24" t="str">
        <f>'DE ( Tarik barang retur )'!D194</f>
        <v>26052104073407JJs3Nda7I</v>
      </c>
      <c r="F217" s="24" t="str">
        <f>'DE ( Tarik barang retur )'!R194</f>
        <v>TMP-INV-2026/05/22/ 2773481TRINORDIOL-28 Sunthi TABLET DUS, 2 BLISTER @ 28 TABLET SALUT GULATarik Barang Retur</v>
      </c>
      <c r="G217" s="36">
        <f>'DE ( Tarik barang retur )'!AF194</f>
        <v>46170</v>
      </c>
      <c r="H217" s="22">
        <v>46171.0</v>
      </c>
      <c r="I217" s="22">
        <v>46172.0</v>
      </c>
      <c r="J217" s="21" t="s">
        <v>5294</v>
      </c>
      <c r="K217" s="24"/>
      <c r="L217" s="25"/>
      <c r="M217" s="25"/>
      <c r="N217" s="25"/>
      <c r="O217" s="25"/>
      <c r="P217" s="25"/>
      <c r="Q217" s="25"/>
      <c r="R217" s="25"/>
      <c r="S217" s="25"/>
      <c r="T217" s="25"/>
      <c r="U217" s="25"/>
      <c r="V217" s="25"/>
      <c r="W217" s="25"/>
      <c r="X217" s="25"/>
      <c r="Y217" s="25"/>
      <c r="Z217" s="25"/>
      <c r="AA217" s="25"/>
      <c r="AB217" s="25"/>
      <c r="AC217" s="25"/>
    </row>
    <row r="218">
      <c r="A218" s="24" t="str">
        <f>'DE ( Tarik barang retur )'!AC195</f>
        <v>AWBR-12741-2026-5-27-01</v>
      </c>
      <c r="B218" s="24" t="str">
        <f>'DE ( Tarik barang retur )'!F195</f>
        <v>Apotek Dahlia Bojong Kulur Gn Putri</v>
      </c>
      <c r="C218" s="35">
        <f>'DE ( Tarik barang retur )'!G195</f>
        <v>6.28131E+17</v>
      </c>
      <c r="D218" s="24" t="str">
        <f>'DE ( Tarik barang retur )'!H195</f>
        <v>Villa Nusa Indah blok U3 no 9, Desa/Kel. Bojong Kulur, Kec. Gunung Putri, Kab. Bogor</v>
      </c>
      <c r="E218" s="24" t="str">
        <f>'DE ( Tarik barang retur )'!D195</f>
        <v>25112601392766r7wFUPmB7</v>
      </c>
      <c r="F218" s="24" t="str">
        <f>'DE ( Tarik barang retur )'!R195</f>
        <v>TMP-INV-2025/11/26/ 2164639REDOXON FORTIMUN Bayer TABLET EFFERVESCENT DUS, TUBE @ 10 TABLET EFFERVESCENTTarik Barang Retur</v>
      </c>
      <c r="G218" s="36">
        <f>'DE ( Tarik barang retur )'!AF195</f>
        <v>46170</v>
      </c>
      <c r="H218" s="22">
        <v>46170.0</v>
      </c>
      <c r="I218" s="22">
        <v>46171.0</v>
      </c>
      <c r="J218" s="21" t="s">
        <v>5294</v>
      </c>
      <c r="K218" s="24"/>
      <c r="L218" s="25"/>
      <c r="M218" s="25"/>
      <c r="N218" s="25"/>
      <c r="O218" s="25"/>
      <c r="P218" s="25"/>
      <c r="Q218" s="25"/>
      <c r="R218" s="25"/>
      <c r="S218" s="25"/>
      <c r="T218" s="25"/>
      <c r="U218" s="25"/>
      <c r="V218" s="25"/>
      <c r="W218" s="25"/>
      <c r="X218" s="25"/>
      <c r="Y218" s="25"/>
      <c r="Z218" s="25"/>
      <c r="AA218" s="25"/>
      <c r="AB218" s="25"/>
      <c r="AC218" s="25"/>
    </row>
    <row r="219">
      <c r="A219" s="24" t="str">
        <f>'DE ( Tarik barang retur )'!AC196</f>
        <v>AWBR-13494-2026-5-27-01</v>
      </c>
      <c r="B219" s="24" t="str">
        <f>'DE ( Tarik barang retur )'!F196</f>
        <v>Apotek Jes Farma Bojong Klapa Nunggal</v>
      </c>
      <c r="C219" s="35">
        <f>'DE ( Tarik barang retur )'!G196</f>
        <v>6.28218E+17</v>
      </c>
      <c r="D219" s="24" t="str">
        <f>'DE ( Tarik barang retur )'!H196</f>
        <v>Perumahan Pesona Kahuripan Blok Toko B No. 6 Desa Bojong Kec. Klapa Nunggal Kab. Bogor</v>
      </c>
      <c r="E219" s="24" t="str">
        <f>'DE ( Tarik barang retur )'!D196</f>
        <v>26051204083697GPIBqyms</v>
      </c>
      <c r="F219" s="24" t="str">
        <f>'DE ( Tarik barang retur )'!R196</f>
        <v>TMP-INV-2026/05/13/ 2742297FENRIS Interbat SUSPENSI DUS, BOTOL 60 MLTarik Barang Retur</v>
      </c>
      <c r="G219" s="36">
        <f>'DE ( Tarik barang retur )'!AF196</f>
        <v>46170</v>
      </c>
      <c r="H219" s="22">
        <v>46170.0</v>
      </c>
      <c r="I219" s="22">
        <v>46171.0</v>
      </c>
      <c r="J219" s="21" t="s">
        <v>5294</v>
      </c>
      <c r="K219" s="24"/>
      <c r="L219" s="25"/>
      <c r="M219" s="25"/>
      <c r="N219" s="25"/>
      <c r="O219" s="25"/>
      <c r="P219" s="25"/>
      <c r="Q219" s="25"/>
      <c r="R219" s="25"/>
      <c r="S219" s="25"/>
      <c r="T219" s="25"/>
      <c r="U219" s="25"/>
      <c r="V219" s="25"/>
      <c r="W219" s="25"/>
      <c r="X219" s="25"/>
      <c r="Y219" s="25"/>
      <c r="Z219" s="25"/>
      <c r="AA219" s="25"/>
      <c r="AB219" s="25"/>
      <c r="AC219" s="25"/>
    </row>
    <row r="220">
      <c r="A220" s="24" t="str">
        <f>'DE ( Tarik barang retur )'!AC197</f>
        <v>AWBR-1167-2026-5-27-01</v>
      </c>
      <c r="B220" s="24" t="str">
        <f>'DE ( Tarik barang retur )'!F197</f>
        <v>Apotek Jovita</v>
      </c>
      <c r="C220" s="24">
        <f>'DE ( Tarik barang retur )'!G197</f>
        <v>85218837464</v>
      </c>
      <c r="D220" s="24" t="str">
        <f>'DE ( Tarik barang retur )'!H197</f>
        <v>Jalan Raya Pabuaran No.26 RT 007 RW 013 Kelurahan Pabuaran Kecamatan Bojonggede Kabupaten Bogor 16921</v>
      </c>
      <c r="E220" s="24" t="str">
        <f>'DE ( Tarik barang retur )'!D197</f>
        <v>26052003491036UqJVay22QX</v>
      </c>
      <c r="F220" s="24" t="str">
        <f>'DE ( Tarik barang retur )'!R197</f>
        <v>TMP-INV-2026/05/20/ 2766640TRINORDIOL-28 Sunthi TABLET DUS, 2 BLISTER @ 28 TABLET SALUT GULATarik Barang Retur</v>
      </c>
      <c r="G220" s="36">
        <f>'DE ( Tarik barang retur )'!AF197</f>
        <v>46170</v>
      </c>
      <c r="H220" s="22">
        <v>46170.0</v>
      </c>
      <c r="I220" s="22">
        <v>46172.0</v>
      </c>
      <c r="J220" s="21" t="s">
        <v>5294</v>
      </c>
      <c r="K220" s="24"/>
      <c r="L220" s="25"/>
      <c r="M220" s="25"/>
      <c r="N220" s="25"/>
      <c r="O220" s="25"/>
      <c r="P220" s="25"/>
      <c r="Q220" s="25"/>
      <c r="R220" s="25"/>
      <c r="S220" s="25"/>
      <c r="T220" s="25"/>
      <c r="U220" s="25"/>
      <c r="V220" s="25"/>
      <c r="W220" s="25"/>
      <c r="X220" s="25"/>
      <c r="Y220" s="25"/>
      <c r="Z220" s="25"/>
      <c r="AA220" s="25"/>
      <c r="AB220" s="25"/>
      <c r="AC220" s="25"/>
    </row>
    <row r="221">
      <c r="A221" s="24" t="str">
        <f>'DE ( Tarik barang retur )'!AC198</f>
        <v>AWBR-15241-2026-5-27-01</v>
      </c>
      <c r="B221" s="24" t="str">
        <f>'DE ( Tarik barang retur )'!F198</f>
        <v>Apotek Sehat Berkat Singajaya Jonggol</v>
      </c>
      <c r="C221" s="35">
        <f>'DE ( Tarik barang retur )'!G198</f>
        <v>6.28127E+17</v>
      </c>
      <c r="D221" s="24" t="str">
        <f>'DE ( Tarik barang retur )'!H198</f>
        <v>Ruko Citra Indah Festival, Blok CIF 08/10, Desa Singajaya Kecamatan Jonggol Kabupaten Bogor</v>
      </c>
      <c r="E221" s="24" t="str">
        <f>'DE ( Tarik barang retur )'!D198</f>
        <v>25032409113204mmLQdeYlxq</v>
      </c>
      <c r="F221" s="24" t="str">
        <f>'DE ( Tarik barang retur )'!R198</f>
        <v>TMP-INV-2025/03/25/ 1452172 / TMP-INV-2025/04/15/ 1500712CAVIT-D3 Merck TABLET DUS, 10 STRIP @ 10 TABLET / CURVIT Soho SIRUP DUS, BOTOL KACA @ 120 ML &amp; 60 MLTarik Barang Retur</v>
      </c>
      <c r="G221" s="36">
        <f>'DE ( Tarik barang retur )'!AF198</f>
        <v>46170</v>
      </c>
      <c r="H221" s="22">
        <v>46170.0</v>
      </c>
      <c r="I221" s="22">
        <v>46171.0</v>
      </c>
      <c r="J221" s="21" t="s">
        <v>5294</v>
      </c>
      <c r="K221" s="24"/>
      <c r="L221" s="25"/>
      <c r="M221" s="25"/>
      <c r="N221" s="25"/>
      <c r="O221" s="25"/>
      <c r="P221" s="25"/>
      <c r="Q221" s="25"/>
      <c r="R221" s="25"/>
      <c r="S221" s="25"/>
      <c r="T221" s="25"/>
      <c r="U221" s="25"/>
      <c r="V221" s="25"/>
      <c r="W221" s="25"/>
      <c r="X221" s="25"/>
      <c r="Y221" s="25"/>
      <c r="Z221" s="25"/>
      <c r="AA221" s="25"/>
      <c r="AB221" s="25"/>
      <c r="AC221" s="25"/>
    </row>
    <row r="222">
      <c r="A222" s="24" t="str">
        <f>'DE ( Tarik barang retur )'!AC199</f>
        <v>AWBR-11255-2026-5-27-01</v>
      </c>
      <c r="B222" s="24" t="str">
        <f>'DE ( Tarik barang retur )'!F199</f>
        <v>Apotek Diamond Wanasari Cibitung</v>
      </c>
      <c r="C222" s="35">
        <f>'DE ( Tarik barang retur )'!G199</f>
        <v>6.28231E+17</v>
      </c>
      <c r="D222" s="24" t="str">
        <f>'DE ( Tarik barang retur )'!H199</f>
        <v>Jl Raya Telaga Asih Kp. Selang Tengah RT 04 RW 02 Kel. Wanasari Kec. Cibitung Kab. Bekasi 17520</v>
      </c>
      <c r="E222" s="24" t="str">
        <f>'DE ( Tarik barang retur )'!D199</f>
        <v>24120605574770c3RQfekgcW</v>
      </c>
      <c r="F222" s="24" t="str">
        <f>'DE ( Tarik barang retur )'!R199</f>
        <v>TMP-INV-2024/12/06/ 1188033IMBOOST EFFERVESCENT WITH VITAMIN C RASA ANGGUR Soho TABLET DUS, 1 TUBE PLASTIK @ 8 TABLET EFFERVESCENTTarik Barang Retur</v>
      </c>
      <c r="G222" s="36">
        <f>'DE ( Tarik barang retur )'!AF199</f>
        <v>46170</v>
      </c>
      <c r="H222" s="22">
        <v>46175.0</v>
      </c>
      <c r="I222" s="22">
        <v>46175.0</v>
      </c>
      <c r="J222" s="21" t="s">
        <v>5294</v>
      </c>
      <c r="K222" s="24"/>
      <c r="L222" s="25"/>
      <c r="M222" s="25"/>
      <c r="N222" s="25"/>
      <c r="O222" s="25"/>
      <c r="P222" s="25"/>
      <c r="Q222" s="25"/>
      <c r="R222" s="25"/>
      <c r="S222" s="25"/>
      <c r="T222" s="25"/>
      <c r="U222" s="25"/>
      <c r="V222" s="25"/>
      <c r="W222" s="25"/>
      <c r="X222" s="25"/>
      <c r="Y222" s="25"/>
      <c r="Z222" s="25"/>
      <c r="AA222" s="25"/>
      <c r="AB222" s="25"/>
      <c r="AC222" s="25"/>
    </row>
    <row r="223">
      <c r="A223" s="24" t="str">
        <f>'DE ( Tarik barang retur )'!AC200</f>
        <v>AWBR-11206-2026-5-27-01</v>
      </c>
      <c r="B223" s="24" t="str">
        <f>'DE ( Tarik barang retur )'!F200</f>
        <v>Apotek Mangun Jaya Mustikasari Mustika Jaya</v>
      </c>
      <c r="C223" s="35">
        <f>'DE ( Tarik barang retur )'!G200</f>
        <v>6.28521E+17</v>
      </c>
      <c r="D223" s="24" t="str">
        <f>'DE ( Tarik barang retur )'!H200</f>
        <v>Jalan Mandor Demong Kawasan Perumahan Familia Urban Ruko Blok DD 9-10, Desa/Kel. Mustikasari, Kec. Mustikajaya, Kota Bekasi 17157</v>
      </c>
      <c r="E223" s="24" t="str">
        <f>'DE ( Tarik barang retur )'!D200</f>
        <v>25041102381743RMN9Zcl4sd</v>
      </c>
      <c r="F223" s="24" t="str">
        <f>'DE ( Tarik barang retur )'!R200</f>
        <v>TMP-INV-2025/04/11/ 1491380 / TMP-INV-2025/02/01/ 1321756VEGETA HERBAL RASA ANGGUR Sari Enensis DUS, 6 SACHET @ 4,6 gTarik Barang Retur</v>
      </c>
      <c r="G223" s="36">
        <f>'DE ( Tarik barang retur )'!AF200</f>
        <v>46170</v>
      </c>
      <c r="H223" s="22">
        <v>46171.0</v>
      </c>
      <c r="I223" s="22">
        <v>46171.0</v>
      </c>
      <c r="J223" s="21" t="s">
        <v>5294</v>
      </c>
      <c r="K223" s="24"/>
      <c r="L223" s="25"/>
      <c r="M223" s="25"/>
      <c r="N223" s="25"/>
      <c r="O223" s="25"/>
      <c r="P223" s="25"/>
      <c r="Q223" s="25"/>
      <c r="R223" s="25"/>
      <c r="S223" s="25"/>
      <c r="T223" s="25"/>
      <c r="U223" s="25"/>
      <c r="V223" s="25"/>
      <c r="W223" s="25"/>
      <c r="X223" s="25"/>
      <c r="Y223" s="25"/>
      <c r="Z223" s="25"/>
      <c r="AA223" s="25"/>
      <c r="AB223" s="25"/>
      <c r="AC223" s="25"/>
    </row>
    <row r="224">
      <c r="A224" s="24" t="str">
        <f>'DE ( Tarik barang retur )'!AC201</f>
        <v>AWBR-16498-2026-5-27-01</v>
      </c>
      <c r="B224" s="24" t="str">
        <f>'DE ( Tarik barang retur )'!F201</f>
        <v>Apotek Arya Medika Sukatani Tapos</v>
      </c>
      <c r="C224" s="24">
        <f>'DE ( Tarik barang retur )'!G201</f>
        <v>6281251217896</v>
      </c>
      <c r="D224" s="24" t="str">
        <f>'DE ( Tarik barang retur )'!H201</f>
        <v>Ruko Permata Arcadia Blok A-18, Desa/Kelurahan Sukatani, Kec. Tapos, Kota Depok</v>
      </c>
      <c r="E224" s="24" t="str">
        <f>'DE ( Tarik barang retur )'!D201</f>
        <v>26050409320277iZlj2lGJW</v>
      </c>
      <c r="F224" s="24" t="str">
        <f>'DE ( Tarik barang retur )'!R201</f>
        <v>TMP-INV-2026/05/05/ 2711997RHINOFED Dexa Medica SIRUP DUS, 1 BOTOL @ 60 MLTarik Barang Retur</v>
      </c>
      <c r="G224" s="36">
        <f>'DE ( Tarik barang retur )'!AF201</f>
        <v>46170</v>
      </c>
      <c r="H224" s="22">
        <v>46170.0</v>
      </c>
      <c r="I224" s="22">
        <v>46171.0</v>
      </c>
      <c r="J224" s="21" t="s">
        <v>5294</v>
      </c>
      <c r="K224" s="24"/>
      <c r="L224" s="25"/>
      <c r="M224" s="25"/>
      <c r="N224" s="25"/>
      <c r="O224" s="25"/>
      <c r="P224" s="25"/>
      <c r="Q224" s="25"/>
      <c r="R224" s="25"/>
      <c r="S224" s="25"/>
      <c r="T224" s="25"/>
      <c r="U224" s="25"/>
      <c r="V224" s="25"/>
      <c r="W224" s="25"/>
      <c r="X224" s="25"/>
      <c r="Y224" s="25"/>
      <c r="Z224" s="25"/>
      <c r="AA224" s="25"/>
      <c r="AB224" s="25"/>
      <c r="AC224" s="25"/>
    </row>
    <row r="225">
      <c r="A225" s="24" t="str">
        <f>'DE ( Tarik barang retur )'!AC202</f>
        <v>AWBR-13718-2026-5-27-01</v>
      </c>
      <c r="B225" s="24" t="str">
        <f>'DE ( Tarik barang retur )'!F202</f>
        <v>Apotek Kejayaan Abadijaya Sukmajaya</v>
      </c>
      <c r="C225" s="35">
        <f>'DE ( Tarik barang retur )'!G202</f>
        <v>6.28128E+17</v>
      </c>
      <c r="D225" s="24" t="str">
        <f>'DE ( Tarik barang retur )'!H202</f>
        <v>Jl. Kejayaan No. 1 RT. 001 RW. 008,Desa/Kelurahan Abadijaya,Kecamatan Sukmajaya,Kota Depok,Jawa Barat,16417</v>
      </c>
      <c r="E225" s="24" t="str">
        <f>'DE ( Tarik barang retur )'!D202</f>
        <v>25070714035323GaJs3dmp7V</v>
      </c>
      <c r="F225" s="24" t="str">
        <f>'DE ( Tarik barang retur )'!R202</f>
        <v>TMP-INV-2025/07/08/ 1722545ARCOXIA Organon TABLET 90 MG DUS, 3 BLISTER @ 10 TABLET SALUT SELAPUTTarik Barang Retur</v>
      </c>
      <c r="G225" s="36">
        <f>'DE ( Tarik barang retur )'!AF202</f>
        <v>46170</v>
      </c>
      <c r="H225" s="22">
        <v>46170.0</v>
      </c>
      <c r="I225" s="22">
        <v>46171.0</v>
      </c>
      <c r="J225" s="21" t="s">
        <v>5294</v>
      </c>
      <c r="K225" s="24"/>
      <c r="L225" s="25"/>
      <c r="M225" s="25"/>
      <c r="N225" s="25"/>
      <c r="O225" s="25"/>
      <c r="P225" s="25"/>
      <c r="Q225" s="25"/>
      <c r="R225" s="25"/>
      <c r="S225" s="25"/>
      <c r="T225" s="25"/>
      <c r="U225" s="25"/>
      <c r="V225" s="25"/>
      <c r="W225" s="25"/>
      <c r="X225" s="25"/>
      <c r="Y225" s="25"/>
      <c r="Z225" s="25"/>
      <c r="AA225" s="25"/>
      <c r="AB225" s="25"/>
      <c r="AC225" s="25"/>
    </row>
    <row r="226">
      <c r="A226" s="24" t="str">
        <f>'DE ( Tarik barang retur )'!AC203</f>
        <v>AWBR-10650-2026-5-27-01</v>
      </c>
      <c r="B226" s="24" t="str">
        <f>'DE ( Tarik barang retur )'!F203</f>
        <v>Apotek Medpharm GDC Tirtajaya Sukmajaya</v>
      </c>
      <c r="C226" s="35">
        <f>'DE ( Tarik barang retur )'!G203</f>
        <v>6.28138E+17</v>
      </c>
      <c r="D226" s="24" t="str">
        <f>'DE ( Tarik barang retur )'!H203</f>
        <v>Ruko Gardenia, Grand Depok City, Grand Depok City, Jalan KSU Parung Serab, Kelurahan Tirtajaya, Kecamatan Sukmajaya, Kota Depok, Jawa Barat 16412</v>
      </c>
      <c r="E226" s="24" t="str">
        <f>'DE ( Tarik barang retur )'!D203</f>
        <v>26052102424351kcCG2HVDS</v>
      </c>
      <c r="F226" s="24" t="str">
        <f>'DE ( Tarik barang retur )'!R203</f>
        <v>TMP-INV-2026/05/21/ 2770732TRINORDIOL-28 Sunthi TABLET DUS, 2 BLISTER @ 28 TABLET SALUT GULATarik Barang Retur</v>
      </c>
      <c r="G226" s="36">
        <f>'DE ( Tarik barang retur )'!AF203</f>
        <v>46170</v>
      </c>
      <c r="H226" s="22">
        <v>46171.0</v>
      </c>
      <c r="I226" s="22">
        <v>46173.0</v>
      </c>
      <c r="J226" s="21" t="s">
        <v>5294</v>
      </c>
      <c r="K226" s="24"/>
      <c r="L226" s="25"/>
      <c r="M226" s="25"/>
      <c r="N226" s="25"/>
      <c r="O226" s="25"/>
      <c r="P226" s="25"/>
      <c r="Q226" s="25"/>
      <c r="R226" s="25"/>
      <c r="S226" s="25"/>
      <c r="T226" s="25"/>
      <c r="U226" s="25"/>
      <c r="V226" s="25"/>
      <c r="W226" s="25"/>
      <c r="X226" s="25"/>
      <c r="Y226" s="25"/>
      <c r="Z226" s="25"/>
      <c r="AA226" s="25"/>
      <c r="AB226" s="25"/>
      <c r="AC226" s="25"/>
    </row>
    <row r="227">
      <c r="A227" s="24" t="str">
        <f>'DE ( Tarik barang retur )'!AC204</f>
        <v>AWBR-12159-2026-5-27-01</v>
      </c>
      <c r="B227" s="24" t="str">
        <f>'DE ( Tarik barang retur )'!F204</f>
        <v>Apotek Pharmasena Cinere Cinere</v>
      </c>
      <c r="C227" s="35">
        <f>'DE ( Tarik barang retur )'!G204</f>
        <v>6.28226E+17</v>
      </c>
      <c r="D227" s="24" t="str">
        <f>'DE ( Tarik barang retur )'!H204</f>
        <v>Jl. Bukit Cinere No.5E RT/RW.001/008, Desa/Kel. Cinere, Kec. Cinere, Kota Depok</v>
      </c>
      <c r="E227" s="24" t="str">
        <f>'DE ( Tarik barang retur )'!D204</f>
        <v>26051213141031dHUX3nTtfx</v>
      </c>
      <c r="F227" s="24" t="str">
        <f>'DE ( Tarik barang retur )'!R204</f>
        <v>TMP-INV-2026/05/13/ 2742890BABYDEX-A DIAPER RASH CREAM WITH NATURAL VITAMIN FOR BABY SKIN HEALTH Meiji DUS, TUBE 20 gTarik Barang Retur</v>
      </c>
      <c r="G227" s="36">
        <f>'DE ( Tarik barang retur )'!AF204</f>
        <v>46170</v>
      </c>
      <c r="H227" s="22">
        <v>46176.0</v>
      </c>
      <c r="I227" s="22">
        <v>46177.0</v>
      </c>
      <c r="J227" s="21" t="s">
        <v>5294</v>
      </c>
      <c r="K227" s="24"/>
      <c r="L227" s="25"/>
      <c r="M227" s="25"/>
      <c r="N227" s="25"/>
      <c r="O227" s="25"/>
      <c r="P227" s="25"/>
      <c r="Q227" s="25"/>
      <c r="R227" s="25"/>
      <c r="S227" s="25"/>
      <c r="T227" s="25"/>
      <c r="U227" s="25"/>
      <c r="V227" s="25"/>
      <c r="W227" s="25"/>
      <c r="X227" s="25"/>
      <c r="Y227" s="25"/>
      <c r="Z227" s="25"/>
      <c r="AA227" s="25"/>
      <c r="AB227" s="25"/>
      <c r="AC227" s="25"/>
    </row>
    <row r="228">
      <c r="A228" s="24" t="str">
        <f>'DE ( Tarik barang retur )'!AC205</f>
        <v>AWBR-13565-2026-5-27-01</v>
      </c>
      <c r="B228" s="24" t="str">
        <f>'DE ( Tarik barang retur )'!F205</f>
        <v>Apotek Sabi Pharma Cilangkap Cipayung</v>
      </c>
      <c r="C228" s="35">
        <f>'DE ( Tarik barang retur )'!G205</f>
        <v>6.28121E+17</v>
      </c>
      <c r="D228" s="24" t="str">
        <f>'DE ( Tarik barang retur )'!H205</f>
        <v>Jl. Cilangkap Baru Blok R No. 3 RT 001 RW 001 Kel. Cilangkap Kec. Cipayung Kota Jakarta Timur</v>
      </c>
      <c r="E228" s="24" t="str">
        <f>'DE ( Tarik barang retur )'!D205</f>
        <v>25072902095172bgh9nLUsZC</v>
      </c>
      <c r="F228" s="24" t="str">
        <f>'DE ( Tarik barang retur )'!R205</f>
        <v>TMP-INV-2025/07/29/ 1782893FUKRICIN 5% Sanbe TETES MATA DUS, BOTOL PLASTIK 5 MLTarik Barang Retur</v>
      </c>
      <c r="G228" s="36">
        <f>'DE ( Tarik barang retur )'!AF205</f>
        <v>46170</v>
      </c>
      <c r="H228" s="22">
        <v>46171.0</v>
      </c>
      <c r="I228" s="22">
        <v>46171.0</v>
      </c>
      <c r="J228" s="21" t="s">
        <v>5294</v>
      </c>
      <c r="K228" s="24"/>
      <c r="L228" s="25"/>
      <c r="M228" s="25"/>
      <c r="N228" s="25"/>
      <c r="O228" s="25"/>
      <c r="P228" s="25"/>
      <c r="Q228" s="25"/>
      <c r="R228" s="25"/>
      <c r="S228" s="25"/>
      <c r="T228" s="25"/>
      <c r="U228" s="25"/>
      <c r="V228" s="25"/>
      <c r="W228" s="25"/>
      <c r="X228" s="25"/>
      <c r="Y228" s="25"/>
      <c r="Z228" s="25"/>
      <c r="AA228" s="25"/>
      <c r="AB228" s="25"/>
      <c r="AC228" s="25"/>
    </row>
    <row r="229">
      <c r="A229" s="24" t="str">
        <f>'DE ( Tarik barang retur )'!AC206</f>
        <v>AWBR-2590-2026-4-24-01</v>
      </c>
      <c r="B229" s="24" t="str">
        <f>'DE ( Tarik barang retur )'!F206</f>
        <v>Apotek Jaya Farma 2590</v>
      </c>
      <c r="C229" s="35">
        <f>'DE ( Tarik barang retur )'!G206</f>
        <v>85778058208</v>
      </c>
      <c r="D229" s="24" t="str">
        <f>'DE ( Tarik barang retur )'!H206</f>
        <v>Perumahan Cluster Puri Pesona Jalan Cipayung No. 1 RT 004 RW 009 Kelurahan Bojong Pondok Terong Kecamatan Cipayung Kota Depok 16436</v>
      </c>
      <c r="E229" s="24" t="str">
        <f>'DE ( Tarik barang retur )'!D206</f>
        <v>26042015511244FRGudBlf</v>
      </c>
      <c r="F229" s="24" t="str">
        <f>'DE ( Tarik barang retur )'!R206</f>
        <v>TMP-INV-2026/04/21/ 2662600 / TMP-INV-2026/04/21/ 2662632 / WOODS' PEPPERMINT ANTITUSSIVE Kalbe SIRUP DUS, BOTOL @ 100 ML / ENTROSTOP HERBAL ANAK Kalbe DUS, 6 SACHET @ 10 ML / Tarik Barang Retur</v>
      </c>
      <c r="G229" s="36">
        <f>'DE ( Tarik barang retur )'!AF206</f>
        <v>46171</v>
      </c>
      <c r="H229" s="22">
        <v>46172.0</v>
      </c>
      <c r="I229" s="22">
        <v>46173.0</v>
      </c>
      <c r="J229" s="21" t="s">
        <v>5294</v>
      </c>
      <c r="K229" s="24"/>
      <c r="L229" s="25"/>
      <c r="M229" s="25"/>
      <c r="N229" s="25"/>
      <c r="O229" s="25"/>
      <c r="P229" s="25"/>
      <c r="Q229" s="25"/>
      <c r="R229" s="25"/>
      <c r="S229" s="25"/>
      <c r="T229" s="25"/>
      <c r="U229" s="25"/>
      <c r="V229" s="25"/>
      <c r="W229" s="25"/>
      <c r="X229" s="25"/>
      <c r="Y229" s="25"/>
      <c r="Z229" s="25"/>
      <c r="AA229" s="25"/>
      <c r="AB229" s="25"/>
      <c r="AC229" s="25"/>
    </row>
    <row r="230">
      <c r="A230" s="24" t="str">
        <f>'DE ( Tarik barang retur )'!AC207</f>
        <v>AWBR-15417-2026-5-29-01</v>
      </c>
      <c r="B230" s="24" t="str">
        <f>'DE ( Tarik barang retur )'!F207</f>
        <v>Apotek Amalia Medifarma Cimindi Cigugur</v>
      </c>
      <c r="C230" s="35">
        <f>'DE ( Tarik barang retur )'!G207</f>
        <v>6.28132E+17</v>
      </c>
      <c r="D230" s="24" t="str">
        <f>'DE ( Tarik barang retur )'!H207</f>
        <v>Dusun Cibiru RT/RW 003/002 Desa Cimindi Kecamatan Cigugur Kabupaten Pangandaran</v>
      </c>
      <c r="E230" s="24" t="str">
        <f>'DE ( Tarik barang retur )'!D207</f>
        <v>26032911522405djjbC8o8Vi</v>
      </c>
      <c r="F230" s="24" t="str">
        <f>'DE ( Tarik barang retur )'!R207</f>
        <v>TMP-INV-2026/03/30/ 2582706 TRINORDIOL-28 Sunthi TABLET DUS, 2 BLISTER @ 28 TABLET SALUT GULA</v>
      </c>
      <c r="G230" s="36">
        <f>'DE ( Tarik barang retur )'!AF207</f>
        <v>46171</v>
      </c>
      <c r="H230" s="22">
        <v>46179.0</v>
      </c>
      <c r="I230" s="22">
        <v>46182.0</v>
      </c>
      <c r="J230" s="21" t="s">
        <v>5294</v>
      </c>
      <c r="K230" s="24"/>
      <c r="L230" s="25"/>
      <c r="M230" s="25"/>
      <c r="N230" s="25"/>
      <c r="O230" s="25"/>
      <c r="P230" s="25"/>
      <c r="Q230" s="25"/>
      <c r="R230" s="25"/>
      <c r="S230" s="25"/>
      <c r="T230" s="25"/>
      <c r="U230" s="25"/>
      <c r="V230" s="25"/>
      <c r="W230" s="25"/>
      <c r="X230" s="25"/>
      <c r="Y230" s="25"/>
      <c r="Z230" s="25"/>
      <c r="AA230" s="25"/>
      <c r="AB230" s="25"/>
      <c r="AC230" s="25"/>
    </row>
    <row r="231">
      <c r="A231" s="24" t="str">
        <f>'DE ( Tarik barang retur )'!AC208</f>
        <v>AWBR-16212-2026-5-30-01</v>
      </c>
      <c r="B231" s="24" t="str">
        <f>'DE ( Tarik barang retur )'!F208</f>
        <v>Apotek Sentra Medika Jatirahayu Pondok Melati</v>
      </c>
      <c r="C231" s="35">
        <f>'DE ( Tarik barang retur )'!G208</f>
        <v>6285208955554</v>
      </c>
      <c r="D231" s="24" t="str">
        <f>'DE ( Tarik barang retur )'!H208</f>
        <v>Jl. Raya Kecapi Kav. A-03, Kel. Jatirahayu Kec. Pondok Melati, Kota Bekasi</v>
      </c>
      <c r="E231" s="24" t="str">
        <f>'DE ( Tarik barang retur )'!D208</f>
        <v>26050406024623xRz4ySYwA0</v>
      </c>
      <c r="F231" s="24" t="str">
        <f>'DE ( Tarik barang retur )'!R208</f>
        <v>TMP-INV-2026/05/05/ 2712320 MINYAK ANGIN CAP KAPAK Yahi Utama DUS, 12 BOTOL KACA @ 28 ML</v>
      </c>
      <c r="G231" s="36">
        <f>'DE ( Tarik barang retur )'!AF208</f>
        <v>46171</v>
      </c>
      <c r="H231" s="22">
        <v>46187.0</v>
      </c>
      <c r="I231" s="22">
        <v>46188.0</v>
      </c>
      <c r="J231" s="21" t="s">
        <v>5294</v>
      </c>
      <c r="K231" s="24"/>
      <c r="L231" s="25"/>
      <c r="M231" s="25"/>
      <c r="N231" s="25"/>
      <c r="O231" s="25"/>
      <c r="P231" s="25"/>
      <c r="Q231" s="25"/>
      <c r="R231" s="25"/>
      <c r="S231" s="25"/>
      <c r="T231" s="25"/>
      <c r="U231" s="25"/>
      <c r="V231" s="25"/>
      <c r="W231" s="25"/>
      <c r="X231" s="25"/>
      <c r="Y231" s="25"/>
      <c r="Z231" s="25"/>
      <c r="AA231" s="25"/>
      <c r="AB231" s="25"/>
      <c r="AC231" s="25"/>
    </row>
    <row r="232">
      <c r="A232" s="24" t="str">
        <f>'DE ( Tarik barang retur )'!AC209</f>
        <v>AWBR-17335-2026-5-29-01</v>
      </c>
      <c r="B232" s="24" t="str">
        <f>'DE ( Tarik barang retur )'!F209</f>
        <v>Apotek Nav Farma Slerok Tegal Timur</v>
      </c>
      <c r="C232" s="35">
        <f>'DE ( Tarik barang retur )'!G209</f>
        <v>6.28784E+17</v>
      </c>
      <c r="D232" s="24" t="str">
        <f>'DE ( Tarik barang retur )'!H209</f>
        <v>Jl. Arjuna No. 37 RT 007/002, Kelurahan Slerok, Kecamatan Tegal Timur, Kota Tegal, Jawa Tengah, 52125</v>
      </c>
      <c r="E232" s="24" t="str">
        <f>'DE ( Tarik barang retur )'!D209</f>
        <v>26052200495469Fj6vRwDZd</v>
      </c>
      <c r="F232" s="24" t="str">
        <f>'DE ( Tarik barang retur )'!R209</f>
        <v>TMP-INV-2026/05/22/ 2774600 -LACTOGEN LACTOSE FREE Nestle - Tarik Barang Retur</v>
      </c>
      <c r="G232" s="36">
        <f>'DE ( Tarik barang retur )'!AF209</f>
        <v>46171</v>
      </c>
      <c r="H232" s="22">
        <v>46173.0</v>
      </c>
      <c r="I232" s="22">
        <v>46176.0</v>
      </c>
      <c r="J232" s="21" t="s">
        <v>5294</v>
      </c>
      <c r="K232" s="24"/>
      <c r="L232" s="25"/>
      <c r="M232" s="25"/>
      <c r="N232" s="25"/>
      <c r="O232" s="25"/>
      <c r="P232" s="25"/>
      <c r="Q232" s="25"/>
      <c r="R232" s="25"/>
      <c r="S232" s="25"/>
      <c r="T232" s="25"/>
      <c r="U232" s="25"/>
      <c r="V232" s="25"/>
      <c r="W232" s="25"/>
      <c r="X232" s="25"/>
      <c r="Y232" s="25"/>
      <c r="Z232" s="25"/>
      <c r="AA232" s="25"/>
      <c r="AB232" s="25"/>
      <c r="AC232" s="25"/>
    </row>
    <row r="233">
      <c r="A233" s="24" t="str">
        <f>'DE ( Tarik barang retur )'!AC210</f>
        <v>AWBR-11670-2026-5-29-01</v>
      </c>
      <c r="B233" s="24" t="str">
        <f>'DE ( Tarik barang retur )'!F210</f>
        <v>Apotek Qiana Jatipunggur Lengkong</v>
      </c>
      <c r="C233" s="35">
        <f>'DE ( Tarik barang retur )'!G210</f>
        <v>6.28573E+17</v>
      </c>
      <c r="D233" s="24" t="str">
        <f>'DE ( Tarik barang retur )'!H210</f>
        <v>Jl. Rimba Mulya RT. 04 RW.01,Desa/Kelurahan Jati Punggur, Kecamatan Lengkong, Kabupaten Nganjuk,Jawa Timur,64393</v>
      </c>
      <c r="E233" s="24" t="str">
        <f>'DE ( Tarik barang retur )'!D210</f>
        <v>26052200495469Fj6vRwDZd</v>
      </c>
      <c r="F233" s="24" t="str">
        <f>'DE ( Tarik barang retur )'!R210</f>
        <v>TMP-INV-2026/05/23/ 2778183 - BATUGIN ELIXIR Kimia Farma - Tarik Barang Retur</v>
      </c>
      <c r="G233" s="36">
        <f>'DE ( Tarik barang retur )'!AF210</f>
        <v>46171</v>
      </c>
      <c r="H233" s="22">
        <v>46178.0</v>
      </c>
      <c r="I233" s="22">
        <v>46179.0</v>
      </c>
      <c r="J233" s="21" t="s">
        <v>5294</v>
      </c>
      <c r="K233" s="24"/>
      <c r="L233" s="25"/>
      <c r="M233" s="25"/>
      <c r="N233" s="25"/>
      <c r="O233" s="25"/>
      <c r="P233" s="25"/>
      <c r="Q233" s="25"/>
      <c r="R233" s="25"/>
      <c r="S233" s="25"/>
      <c r="T233" s="25"/>
      <c r="U233" s="25"/>
      <c r="V233" s="25"/>
      <c r="W233" s="25"/>
      <c r="X233" s="25"/>
      <c r="Y233" s="25"/>
      <c r="Z233" s="25"/>
      <c r="AA233" s="25"/>
      <c r="AB233" s="25"/>
      <c r="AC233" s="25"/>
    </row>
    <row r="234">
      <c r="A234" s="24" t="str">
        <f>'DE ( Tarik barang retur )'!AC211</f>
        <v>AWBR-15738-2026-1-24-SR-01</v>
      </c>
      <c r="B234" s="24" t="str">
        <f>'DE ( Tarik barang retur )'!F211</f>
        <v>Apotek Barokah Plus Bojong Rawalumbu Rawalumbu</v>
      </c>
      <c r="C234" s="35">
        <f>'DE ( Tarik barang retur )'!G211</f>
        <v>6.28521E+17</v>
      </c>
      <c r="D234" s="24" t="str">
        <f>'DE ( Tarik barang retur )'!H211</f>
        <v>Jl Caringin no 6A RT 003 RW 005 , Desa/Kelurahan Bojong Rawalumbu, Kec. Rawalumbu, Kota Bekasi</v>
      </c>
      <c r="E234" s="24" t="str">
        <f>'DE ( Tarik barang retur )'!D211</f>
        <v>26012003572011YPC6Fgkw</v>
      </c>
      <c r="F234" s="24" t="str">
        <f>'DE ( Tarik barang retur )'!R211</f>
        <v>TMP-INV-2026/01/20/ 2345899 WELMOVE Ultrasakti KAPLET Tarik Barang Retur</v>
      </c>
      <c r="G234" s="36">
        <f>'DE ( Tarik barang retur )'!AF211</f>
        <v>46172</v>
      </c>
      <c r="H234" s="22">
        <v>46172.0</v>
      </c>
      <c r="I234" s="22">
        <v>46173.0</v>
      </c>
      <c r="J234" s="21" t="s">
        <v>5294</v>
      </c>
      <c r="K234" s="24"/>
      <c r="L234" s="25"/>
      <c r="M234" s="25"/>
      <c r="N234" s="25"/>
      <c r="O234" s="25"/>
      <c r="P234" s="25"/>
      <c r="Q234" s="25"/>
      <c r="R234" s="25"/>
      <c r="S234" s="25"/>
      <c r="T234" s="25"/>
      <c r="U234" s="25"/>
      <c r="V234" s="25"/>
      <c r="W234" s="25"/>
      <c r="X234" s="25"/>
      <c r="Y234" s="25"/>
      <c r="Z234" s="25"/>
      <c r="AA234" s="25"/>
      <c r="AB234" s="25"/>
      <c r="AC234" s="25"/>
    </row>
    <row r="235">
      <c r="A235" s="24" t="str">
        <f>'DE ( Tarik barang retur )'!AC212</f>
        <v>AWBR-850-2026-2-10-SR-01</v>
      </c>
      <c r="B235" s="24" t="str">
        <f>'DE ( Tarik barang retur )'!F212</f>
        <v>Apotek K24 Cipinang Jaya</v>
      </c>
      <c r="C235" s="35">
        <f>'DE ( Tarik barang retur )'!G212</f>
        <v>2122895920</v>
      </c>
      <c r="D235" s="24" t="str">
        <f>'DE ( Tarik barang retur )'!H212</f>
        <v>Jalan Cipinang Jaya Blok A No. 09 Suite 103 Kelurahan Cipinang Besar Selatan, Kecamatan Jatinegara, Kota Jakarta Timur 13410</v>
      </c>
      <c r="E235" s="24" t="str">
        <f>'DE ( Tarik barang retur )'!D212</f>
        <v>26020302051414sxLYcdPcD</v>
      </c>
      <c r="F235" s="24" t="str">
        <f>'DE ( Tarik barang retur )'!R212</f>
        <v>TMP-INV-2026/02/03/ 2393201 BODREX Tempo Scan TABLET 600/50 MG Tarik Barang Retur</v>
      </c>
      <c r="G235" s="36">
        <f>'DE ( Tarik barang retur )'!AF212</f>
        <v>46172</v>
      </c>
      <c r="H235" s="22">
        <v>46173.0</v>
      </c>
      <c r="I235" s="22">
        <v>46173.0</v>
      </c>
      <c r="J235" s="21" t="s">
        <v>5294</v>
      </c>
      <c r="K235" s="24"/>
      <c r="L235" s="25"/>
      <c r="M235" s="25"/>
      <c r="N235" s="25"/>
      <c r="O235" s="25"/>
      <c r="P235" s="25"/>
      <c r="Q235" s="25"/>
      <c r="R235" s="25"/>
      <c r="S235" s="25"/>
      <c r="T235" s="25"/>
      <c r="U235" s="25"/>
      <c r="V235" s="25"/>
      <c r="W235" s="25"/>
      <c r="X235" s="25"/>
      <c r="Y235" s="25"/>
      <c r="Z235" s="25"/>
      <c r="AA235" s="25"/>
      <c r="AB235" s="25"/>
      <c r="AC235" s="25"/>
    </row>
    <row r="236">
      <c r="A236" s="24" t="str">
        <f>'DE ( Tarik barang retur )'!AC213</f>
        <v>AWBR-12302-2026-2-25-SR-01</v>
      </c>
      <c r="B236" s="24" t="str">
        <f>'DE ( Tarik barang retur )'!F213</f>
        <v>Apotek SBS Farma Pandu Raya Tegal Gundil Bogor Utara</v>
      </c>
      <c r="C236" s="35">
        <f>'DE ( Tarik barang retur )'!G213</f>
        <v>6.28138E+17</v>
      </c>
      <c r="D236" s="24" t="str">
        <f>'DE ( Tarik barang retur )'!H213</f>
        <v>Jalan Pandu Raya 141, RT 003/016, Desa/Kelurahan Tegal Gundil,Kecamatan Bogor Utara,Kota Bogor,Jawa Barat,16152</v>
      </c>
      <c r="E236" s="24" t="str">
        <f>'DE ( Tarik barang retur )'!D213</f>
        <v>26021920281683Kop9z9knI</v>
      </c>
      <c r="F236" s="24" t="str">
        <f>'DE ( Tarik barang retur )'!R213</f>
        <v>TMP-INV-2026/02/21/ 2455139 AMOXSAN Capri DROPS Tarik Barang Retur</v>
      </c>
      <c r="G236" s="36">
        <f>'DE ( Tarik barang retur )'!AF213</f>
        <v>46172</v>
      </c>
      <c r="H236" s="22">
        <v>46174.0</v>
      </c>
      <c r="I236" s="22">
        <v>46175.0</v>
      </c>
      <c r="J236" s="21" t="s">
        <v>5294</v>
      </c>
      <c r="K236" s="24"/>
      <c r="L236" s="25"/>
      <c r="M236" s="25"/>
      <c r="N236" s="25"/>
      <c r="O236" s="25"/>
      <c r="P236" s="25"/>
      <c r="Q236" s="25"/>
      <c r="R236" s="25"/>
      <c r="S236" s="25"/>
      <c r="T236" s="25"/>
      <c r="U236" s="25"/>
      <c r="V236" s="25"/>
      <c r="W236" s="25"/>
      <c r="X236" s="25"/>
      <c r="Y236" s="25"/>
      <c r="Z236" s="25"/>
      <c r="AA236" s="25"/>
      <c r="AB236" s="25"/>
      <c r="AC236" s="25"/>
    </row>
    <row r="237">
      <c r="A237" s="24" t="str">
        <f>'DE ( Tarik barang retur )'!AC214</f>
        <v>AWBR-15215-2026-2-25-SR-01</v>
      </c>
      <c r="B237" s="24" t="str">
        <f>'DE ( Tarik barang retur )'!F214</f>
        <v>Apotek Farih Pharma Wanajaya Cibitung</v>
      </c>
      <c r="C237" s="35">
        <f>'DE ( Tarik barang retur )'!G214</f>
        <v>6.28572E+17</v>
      </c>
      <c r="D237" s="24" t="str">
        <f>'DE ( Tarik barang retur )'!H214</f>
        <v>Perumahan Alam Pesona Wanajaya Blok B No.2 Desa Wanajaya Kec. Cibitung Kab. Bekasi</v>
      </c>
      <c r="E237" s="24" t="str">
        <f>'DE ( Tarik barang retur )'!D214</f>
        <v>26022103102121TzwrCRZn</v>
      </c>
      <c r="F237" s="24" t="str">
        <f>'DE ( Tarik barang retur )'!R214</f>
        <v>TMP-INV-2026/02/21/ 2456625 PI KANG SHUANG Sano Gratia KRIM Tarik Barang Retur</v>
      </c>
      <c r="G237" s="36">
        <f>'DE ( Tarik barang retur )'!AF214</f>
        <v>46172</v>
      </c>
      <c r="H237" s="22">
        <v>46175.0</v>
      </c>
      <c r="I237" s="22">
        <v>46175.0</v>
      </c>
      <c r="J237" s="21" t="s">
        <v>5294</v>
      </c>
      <c r="K237" s="24"/>
      <c r="L237" s="25"/>
      <c r="M237" s="25"/>
      <c r="N237" s="25"/>
      <c r="O237" s="25"/>
      <c r="P237" s="25"/>
      <c r="Q237" s="25"/>
      <c r="R237" s="25"/>
      <c r="S237" s="25"/>
      <c r="T237" s="25"/>
      <c r="U237" s="25"/>
      <c r="V237" s="25"/>
      <c r="W237" s="25"/>
      <c r="X237" s="25"/>
      <c r="Y237" s="25"/>
      <c r="Z237" s="25"/>
      <c r="AA237" s="25"/>
      <c r="AB237" s="25"/>
      <c r="AC237" s="25"/>
    </row>
    <row r="238">
      <c r="A238" s="24" t="str">
        <f>'DE ( Tarik barang retur )'!AC215</f>
        <v>AWBR-14015-2026-3-14-SR-01</v>
      </c>
      <c r="B238" s="24" t="str">
        <f>'DE ( Tarik barang retur )'!F215</f>
        <v>Apotek Inofarma Ampera</v>
      </c>
      <c r="C238" s="35">
        <f>'DE ( Tarik barang retur )'!G215</f>
        <v>6.28572E+17</v>
      </c>
      <c r="D238" s="24" t="str">
        <f>'DE ( Tarik barang retur )'!H215</f>
        <v>Jl. Budi Mulia Raya No. 8-L, RT 000 RW 00, Kel. Pademangan Barat, Kec. Pademangan, Jakarta Utara</v>
      </c>
      <c r="E238" s="24" t="str">
        <f>'DE ( Tarik barang retur )'!D215</f>
        <v>26012304424147svyGW6fCR</v>
      </c>
      <c r="F238" s="24" t="str">
        <f>'DE ( Tarik barang retur )'!R215</f>
        <v>TMP-INV-2026/01/24/ 2359880 PUREBB HAND and MOUTH BABY WIPES, ORANGE OIL &amp; EXTRACT CHAMOMILE Etercon Tarik Barang Retur</v>
      </c>
      <c r="G238" s="36">
        <f>'DE ( Tarik barang retur )'!AF215</f>
        <v>46172</v>
      </c>
      <c r="H238" s="22">
        <v>46175.0</v>
      </c>
      <c r="I238" s="22">
        <v>46175.0</v>
      </c>
      <c r="J238" s="21" t="s">
        <v>5294</v>
      </c>
      <c r="K238" s="24"/>
      <c r="L238" s="25"/>
      <c r="M238" s="25"/>
      <c r="N238" s="25"/>
      <c r="O238" s="25"/>
      <c r="P238" s="25"/>
      <c r="Q238" s="25"/>
      <c r="R238" s="25"/>
      <c r="S238" s="25"/>
      <c r="T238" s="25"/>
      <c r="U238" s="25"/>
      <c r="V238" s="25"/>
      <c r="W238" s="25"/>
      <c r="X238" s="25"/>
      <c r="Y238" s="25"/>
      <c r="Z238" s="25"/>
      <c r="AA238" s="25"/>
      <c r="AB238" s="25"/>
      <c r="AC238" s="25"/>
    </row>
    <row r="239">
      <c r="A239" s="24" t="str">
        <f>'DE ( Tarik barang retur )'!AC216</f>
        <v>AWBR-13048-2026-3-7-SR-01</v>
      </c>
      <c r="B239" s="24" t="str">
        <f>'DE ( Tarik barang retur )'!F216</f>
        <v>Apotek Lagona Cijengkol Setu</v>
      </c>
      <c r="C239" s="35">
        <f>'DE ( Tarik barang retur )'!G216</f>
        <v>6.28226E+17</v>
      </c>
      <c r="D239" s="24" t="str">
        <f>'DE ( Tarik barang retur )'!H216</f>
        <v>Jl. Raya Letjen Suprapto No 86 Desa Cijengkol, Kec. Setu Kabupaten Bekasi</v>
      </c>
      <c r="E239" s="24" t="str">
        <f>'DE ( Tarik barang retur )'!D216</f>
        <v>25040309234572QAAh1ReSE</v>
      </c>
      <c r="F239" s="24" t="str">
        <f>'DE ( Tarik barang retur )'!R216</f>
        <v>TMP-INV-2025/04/04/ 1471080 ISOPRINOSINE Darya-Varia SIRUP 250 MG/5 ML Tarik Barang Retur</v>
      </c>
      <c r="G239" s="36">
        <f>'DE ( Tarik barang retur )'!AF216</f>
        <v>46172</v>
      </c>
      <c r="H239" s="22">
        <v>46172.0</v>
      </c>
      <c r="I239" s="22">
        <v>46173.0</v>
      </c>
      <c r="J239" s="21" t="s">
        <v>5294</v>
      </c>
      <c r="K239" s="24"/>
      <c r="L239" s="25"/>
      <c r="M239" s="25"/>
      <c r="N239" s="25"/>
      <c r="O239" s="25"/>
      <c r="P239" s="25"/>
      <c r="Q239" s="25"/>
      <c r="R239" s="25"/>
      <c r="S239" s="25"/>
      <c r="T239" s="25"/>
      <c r="U239" s="25"/>
      <c r="V239" s="25"/>
      <c r="W239" s="25"/>
      <c r="X239" s="25"/>
      <c r="Y239" s="25"/>
      <c r="Z239" s="25"/>
      <c r="AA239" s="25"/>
      <c r="AB239" s="25"/>
      <c r="AC239" s="25"/>
    </row>
    <row r="240">
      <c r="A240" s="24" t="str">
        <f>'DE ( Tarik barang retur )'!AC217</f>
        <v>AWBR-12058-2026-3-13-SR-01</v>
      </c>
      <c r="B240" s="24" t="str">
        <f>'DE ( Tarik barang retur )'!F217</f>
        <v>Apotek Favo Karet Kuningan Setiabudi</v>
      </c>
      <c r="C240" s="35">
        <f>'DE ( Tarik barang retur )'!G217</f>
        <v>6.28151E+17</v>
      </c>
      <c r="D240" s="24" t="str">
        <f>'DE ( Tarik barang retur )'!H217</f>
        <v>ITC Kuningan Lantai 4 Blok D1 No.1&amp;8, Jl. Prof. Dr. Satio No.18, RT 011 RW 004 , Desa/Kel. Karet Kuningan, Kec. Setiabudi, Kota Jakarta Selatan</v>
      </c>
      <c r="E240" s="24" t="str">
        <f>'DE ( Tarik barang retur )'!D217</f>
        <v>26030404412450x81kPPgA22</v>
      </c>
      <c r="F240" s="24" t="str">
        <f>'DE ( Tarik barang retur )'!R217</f>
        <v>TMP-INV-2026/03/05/ 2497859 MADU MURNI TJ Ultrasakti Tarik Barang Retur</v>
      </c>
      <c r="G240" s="36">
        <f>'DE ( Tarik barang retur )'!AF217</f>
        <v>46172</v>
      </c>
      <c r="H240" s="22">
        <v>46187.0</v>
      </c>
      <c r="I240" s="22">
        <v>46188.0</v>
      </c>
      <c r="J240" s="21" t="s">
        <v>5294</v>
      </c>
      <c r="K240" s="24"/>
      <c r="L240" s="25"/>
      <c r="M240" s="25"/>
      <c r="N240" s="25"/>
      <c r="O240" s="25"/>
      <c r="P240" s="25"/>
      <c r="Q240" s="25"/>
      <c r="R240" s="25"/>
      <c r="S240" s="25"/>
      <c r="T240" s="25"/>
      <c r="U240" s="25"/>
      <c r="V240" s="25"/>
      <c r="W240" s="25"/>
      <c r="X240" s="25"/>
      <c r="Y240" s="25"/>
      <c r="Z240" s="25"/>
      <c r="AA240" s="25"/>
      <c r="AB240" s="25"/>
      <c r="AC240" s="25"/>
    </row>
    <row r="241">
      <c r="A241" s="24" t="str">
        <f>'DE ( Tarik barang retur )'!AC218</f>
        <v>AWBR-14001-2026-3-17-SR-01</v>
      </c>
      <c r="B241" s="24" t="str">
        <f>'DE ( Tarik barang retur )'!F218</f>
        <v>Apotek Inofarma Jengki</v>
      </c>
      <c r="C241" s="35">
        <f>'DE ( Tarik barang retur )'!G218</f>
        <v>6.28512E+17</v>
      </c>
      <c r="D241" s="24" t="str">
        <f>'DE ( Tarik barang retur )'!H218</f>
        <v>Jl. Jengki No. 28 RT/RW : 008/004,Desa/Kelurahan Kebon Pala,Kecamatan Makasar,Kota Jakarta Timur,13650</v>
      </c>
      <c r="E241" s="24" t="str">
        <f>'DE ( Tarik barang retur )'!D218</f>
        <v>26020502595222wJVSyu0CVW</v>
      </c>
      <c r="F241" s="24" t="str">
        <f>'DE ( Tarik barang retur )'!R218</f>
        <v>TMP-INV-2026/02/05/ 2400474 BLACKMORES PREGNANCY and BREAST-FEEDING GOLD Kalbe Tarik Barang Retur</v>
      </c>
      <c r="G241" s="36">
        <f>'DE ( Tarik barang retur )'!AF218</f>
        <v>46172</v>
      </c>
      <c r="H241" s="22">
        <v>46173.0</v>
      </c>
      <c r="I241" s="22">
        <v>46173.0</v>
      </c>
      <c r="J241" s="21" t="s">
        <v>5294</v>
      </c>
      <c r="K241" s="24"/>
      <c r="L241" s="25"/>
      <c r="M241" s="25"/>
      <c r="N241" s="25"/>
      <c r="O241" s="25"/>
      <c r="P241" s="25"/>
      <c r="Q241" s="25"/>
      <c r="R241" s="25"/>
      <c r="S241" s="25"/>
      <c r="T241" s="25"/>
      <c r="U241" s="25"/>
      <c r="V241" s="25"/>
      <c r="W241" s="25"/>
      <c r="X241" s="25"/>
      <c r="Y241" s="25"/>
      <c r="Z241" s="25"/>
      <c r="AA241" s="25"/>
      <c r="AB241" s="25"/>
      <c r="AC241" s="25"/>
    </row>
    <row r="242">
      <c r="A242" s="24" t="str">
        <f>'DE ( Tarik barang retur )'!AC219</f>
        <v>AWBR-15738-2026-3-23-SR-01</v>
      </c>
      <c r="B242" s="24" t="str">
        <f>'DE ( Tarik barang retur )'!F219</f>
        <v>Apotek Barokah Plus Bojong Rawalumbu Rawalumbu</v>
      </c>
      <c r="C242" s="35">
        <f>'DE ( Tarik barang retur )'!G219</f>
        <v>6.28521E+17</v>
      </c>
      <c r="D242" s="24" t="str">
        <f>'DE ( Tarik barang retur )'!H219</f>
        <v>Jl Caringin no 6A RT 003 RW 005 , Desa/Kelurahan Bojong Rawalumbu, Kec. Rawalumbu, Kota Bekasi</v>
      </c>
      <c r="E242" s="24" t="str">
        <f>'DE ( Tarik barang retur )'!D219</f>
        <v>25071714235986fTZoLoedhg</v>
      </c>
      <c r="F242" s="24" t="str">
        <f>'DE ( Tarik barang retur )'!R219</f>
        <v>TMP-INV-2025/07/18/ 1751703 REDOXON CHEWABLE KIDS VITAMIN C Bayer TABLET KUNYAH Tarik Barang Retur</v>
      </c>
      <c r="G242" s="36">
        <f>'DE ( Tarik barang retur )'!AF219</f>
        <v>46172</v>
      </c>
      <c r="H242" s="22">
        <v>46172.0</v>
      </c>
      <c r="I242" s="22">
        <v>46173.0</v>
      </c>
      <c r="J242" s="21" t="s">
        <v>5294</v>
      </c>
      <c r="K242" s="24"/>
      <c r="L242" s="25"/>
      <c r="M242" s="25"/>
      <c r="N242" s="25"/>
      <c r="O242" s="25"/>
      <c r="P242" s="25"/>
      <c r="Q242" s="25"/>
      <c r="R242" s="25"/>
      <c r="S242" s="25"/>
      <c r="T242" s="25"/>
      <c r="U242" s="25"/>
      <c r="V242" s="25"/>
      <c r="W242" s="25"/>
      <c r="X242" s="25"/>
      <c r="Y242" s="25"/>
      <c r="Z242" s="25"/>
      <c r="AA242" s="25"/>
      <c r="AB242" s="25"/>
      <c r="AC242" s="25"/>
    </row>
    <row r="243">
      <c r="A243" s="24" t="str">
        <f>'DE ( Tarik barang retur )'!AC220</f>
        <v>AWBR-15669-2026-3-23-SR-01</v>
      </c>
      <c r="B243" s="24" t="str">
        <f>'DE ( Tarik barang retur )'!F220</f>
        <v>Apotek AK Farma Bojong Nangka Gunung Putri</v>
      </c>
      <c r="C243" s="35">
        <f>'DE ( Tarik barang retur )'!G220</f>
        <v>6.2813E+16</v>
      </c>
      <c r="D243" s="24" t="str">
        <f>'DE ( Tarik barang retur )'!H220</f>
        <v>Podomoro Golf View Toko Block O3 No. 7, Jl. Mochamad Tohir, Desa Bojong Nangka Kec. Gunung Putri Kab. Bogor</v>
      </c>
      <c r="E243" s="24" t="str">
        <f>'DE ( Tarik barang retur )'!D220</f>
        <v>26031002414204EEWt5g6mdc</v>
      </c>
      <c r="F243" s="24" t="str">
        <f>'DE ( Tarik barang retur )'!R220</f>
        <v>TMP-INV-2026/03/11/ 2520212 CETAPHIL ULTRA GENTLE BODY WASH Galderma Tarik Barang Retur</v>
      </c>
      <c r="G243" s="36">
        <f>'DE ( Tarik barang retur )'!AF220</f>
        <v>46172</v>
      </c>
      <c r="H243" s="22">
        <v>46172.0</v>
      </c>
      <c r="I243" s="22">
        <v>46173.0</v>
      </c>
      <c r="J243" s="21" t="s">
        <v>5294</v>
      </c>
      <c r="K243" s="24"/>
      <c r="L243" s="25"/>
      <c r="M243" s="25"/>
      <c r="N243" s="25"/>
      <c r="O243" s="25"/>
      <c r="P243" s="25"/>
      <c r="Q243" s="25"/>
      <c r="R243" s="25"/>
      <c r="S243" s="25"/>
      <c r="T243" s="25"/>
      <c r="U243" s="25"/>
      <c r="V243" s="25"/>
      <c r="W243" s="25"/>
      <c r="X243" s="25"/>
      <c r="Y243" s="25"/>
      <c r="Z243" s="25"/>
      <c r="AA243" s="25"/>
      <c r="AB243" s="25"/>
      <c r="AC243" s="25"/>
    </row>
    <row r="244">
      <c r="A244" s="24" t="str">
        <f>'DE ( Tarik barang retur )'!AC221</f>
        <v>AWBR-11148-2026-3-26-SR-01</v>
      </c>
      <c r="B244" s="24" t="str">
        <f>'DE ( Tarik barang retur )'!F221</f>
        <v>Apotek Celeste Citaringgul Babakan Madang</v>
      </c>
      <c r="C244" s="35">
        <f>'DE ( Tarik barang retur )'!G221</f>
        <v>6.28139E+17</v>
      </c>
      <c r="D244" s="24" t="str">
        <f>'DE ( Tarik barang retur )'!H221</f>
        <v>Pasar Sentul City Blok J No.16 Desa Citanggul Kecamatan Babakan Madang Kabupaten Bogor 16810</v>
      </c>
      <c r="E244" s="24" t="str">
        <f>'DE ( Tarik barang retur )'!D221</f>
        <v>26031609163690mfvukcaQ</v>
      </c>
      <c r="F244" s="24" t="str">
        <f>'DE ( Tarik barang retur )'!R221</f>
        <v>TMP-INV-2026/03/17/ 2543539 CONCOR AM Merck TABLET 5/10 MG Tarik Barang Retur</v>
      </c>
      <c r="G244" s="36">
        <f>'DE ( Tarik barang retur )'!AF221</f>
        <v>46172</v>
      </c>
      <c r="H244" s="22">
        <v>46172.0</v>
      </c>
      <c r="I244" s="22">
        <v>46173.0</v>
      </c>
      <c r="J244" s="21" t="s">
        <v>5294</v>
      </c>
      <c r="K244" s="24"/>
      <c r="L244" s="25"/>
      <c r="M244" s="25"/>
      <c r="N244" s="25"/>
      <c r="O244" s="25"/>
      <c r="P244" s="25"/>
      <c r="Q244" s="25"/>
      <c r="R244" s="25"/>
      <c r="S244" s="25"/>
      <c r="T244" s="25"/>
      <c r="U244" s="25"/>
      <c r="V244" s="25"/>
      <c r="W244" s="25"/>
      <c r="X244" s="25"/>
      <c r="Y244" s="25"/>
      <c r="Z244" s="25"/>
      <c r="AA244" s="25"/>
      <c r="AB244" s="25"/>
      <c r="AC244" s="25"/>
    </row>
    <row r="245">
      <c r="A245" s="24" t="str">
        <f>'DE ( Tarik barang retur )'!AC222</f>
        <v>AWBR-15624-2026-3-23-SR-01</v>
      </c>
      <c r="B245" s="24" t="str">
        <f>'DE ( Tarik barang retur )'!F222</f>
        <v>Apotek Harma 2 Waluya Cikarang Utara</v>
      </c>
      <c r="C245" s="35">
        <f>'DE ( Tarik barang retur )'!G222</f>
        <v>6.28151E+17</v>
      </c>
      <c r="D245" s="24" t="str">
        <f>'DE ( Tarik barang retur )'!H222</f>
        <v>Jl. Arjuna Raya Perum bumi Citra Lestari Blok B 01/01 RT 00/RW 00 Desa Waluya, Kec. Cikarang Utara, Kabupaten Bekasi</v>
      </c>
      <c r="E245" s="24" t="str">
        <f>'DE ( Tarik barang retur )'!D222</f>
        <v>26010707314689PQvJ0l4</v>
      </c>
      <c r="F245" s="24" t="str">
        <f>'DE ( Tarik barang retur )'!R222</f>
        <v>TMP-INV-2026/01/08/ 2305908 ANTIMO ANAK (RASA STRAWBERRY) Phapros SIRUP Tarik Barang Retur</v>
      </c>
      <c r="G245" s="36">
        <f>'DE ( Tarik barang retur )'!AF222</f>
        <v>46172</v>
      </c>
      <c r="H245" s="22">
        <v>46172.0</v>
      </c>
      <c r="I245" s="22">
        <v>46173.0</v>
      </c>
      <c r="J245" s="21" t="s">
        <v>5294</v>
      </c>
      <c r="K245" s="24"/>
      <c r="L245" s="25"/>
      <c r="M245" s="25"/>
      <c r="N245" s="25"/>
      <c r="O245" s="25"/>
      <c r="P245" s="25"/>
      <c r="Q245" s="25"/>
      <c r="R245" s="25"/>
      <c r="S245" s="25"/>
      <c r="T245" s="25"/>
      <c r="U245" s="25"/>
      <c r="V245" s="25"/>
      <c r="W245" s="25"/>
      <c r="X245" s="25"/>
      <c r="Y245" s="25"/>
      <c r="Z245" s="25"/>
      <c r="AA245" s="25"/>
      <c r="AB245" s="25"/>
      <c r="AC245" s="25"/>
    </row>
    <row r="246">
      <c r="A246" s="24" t="str">
        <f>'DE ( Tarik barang retur )'!AC223</f>
        <v>AWBR-6887-2026-5-31-01</v>
      </c>
      <c r="B246" s="24" t="str">
        <f>'DE ( Tarik barang retur )'!F223</f>
        <v>Apotek Warjok</v>
      </c>
      <c r="C246" s="35">
        <f>'DE ( Tarik barang retur )'!G223</f>
        <v>6.28121E+17</v>
      </c>
      <c r="D246" s="24" t="str">
        <f>'DE ( Tarik barang retur )'!H223</f>
        <v>Jalan Raya Ciwaru no 57, Warung Pojok, Kecamatan Serang, Kota Serang, Banten 42117</v>
      </c>
      <c r="E246" s="24" t="str">
        <f>'DE ( Tarik barang retur )'!D223</f>
        <v>26050801041257yiFsgTOdW</v>
      </c>
      <c r="F246" s="24" t="str">
        <f>'DE ( Tarik barang retur )'!R223</f>
        <v>TMP-INV-2026/05/08/ 2724958 / BECOM C Sanbe KAPLET DUS, 10 STRIP @ 10 KAPLET SALUT SELAPUT / Tarik Barang Damaged</v>
      </c>
      <c r="G246" s="36">
        <f>'DE ( Tarik barang retur )'!AF223</f>
        <v>46173</v>
      </c>
      <c r="H246" s="22">
        <v>46174.0</v>
      </c>
      <c r="I246" s="22">
        <v>46176.0</v>
      </c>
      <c r="J246" s="21" t="s">
        <v>5294</v>
      </c>
      <c r="K246" s="24"/>
      <c r="L246" s="25"/>
      <c r="M246" s="25"/>
      <c r="N246" s="25"/>
      <c r="O246" s="25"/>
      <c r="P246" s="25"/>
      <c r="Q246" s="25"/>
      <c r="R246" s="25"/>
      <c r="S246" s="25"/>
      <c r="T246" s="25"/>
      <c r="U246" s="25"/>
      <c r="V246" s="25"/>
      <c r="W246" s="25"/>
      <c r="X246" s="25"/>
      <c r="Y246" s="25"/>
      <c r="Z246" s="25"/>
      <c r="AA246" s="25"/>
      <c r="AB246" s="25"/>
      <c r="AC246" s="25"/>
    </row>
    <row r="247">
      <c r="A247" s="24" t="str">
        <f>'DE ( Tarik barang retur )'!AC224</f>
        <v>AWBR-10650-2026-5-31-01</v>
      </c>
      <c r="B247" s="24" t="str">
        <f>'DE ( Tarik barang retur )'!F224</f>
        <v>Apotek Medpharm GDC Tirtajaya Sukmajaya</v>
      </c>
      <c r="C247" s="35">
        <f>'DE ( Tarik barang retur )'!G224</f>
        <v>6.28138E+17</v>
      </c>
      <c r="D247" s="24" t="str">
        <f>'DE ( Tarik barang retur )'!H224</f>
        <v>Ruko Gardenia, Grand Depok City, Grand Depok City, Jalan KSU Parung Serab, Kelurahan Tirtajaya, Kecamatan Sukmajaya, Kota Depok, Jawa Barat 16412</v>
      </c>
      <c r="E247" s="24" t="str">
        <f>'DE ( Tarik barang retur )'!D224</f>
        <v>26050702080153zisCvRVxku</v>
      </c>
      <c r="F247" s="24" t="str">
        <f>'DE ( Tarik barang retur )'!R224</f>
        <v>TMP-INV-2026/05/07/ 2720496 / PROVE D3-5000 Kalbe TABLET DUS, 3 STRIP @ 10 TABLET KUNYAH / Tarik Barang Retur</v>
      </c>
      <c r="G247" s="36">
        <f>'DE ( Tarik barang retur )'!AF224</f>
        <v>46173</v>
      </c>
      <c r="H247" s="22">
        <v>46174.0</v>
      </c>
      <c r="I247" s="22">
        <v>46175.0</v>
      </c>
      <c r="J247" s="21" t="s">
        <v>5294</v>
      </c>
      <c r="K247" s="24"/>
      <c r="L247" s="25"/>
      <c r="M247" s="25"/>
      <c r="N247" s="25"/>
      <c r="O247" s="25"/>
      <c r="P247" s="25"/>
      <c r="Q247" s="25"/>
      <c r="R247" s="25"/>
      <c r="S247" s="25"/>
      <c r="T247" s="25"/>
      <c r="U247" s="25"/>
      <c r="V247" s="25"/>
      <c r="W247" s="25"/>
      <c r="X247" s="25"/>
      <c r="Y247" s="25"/>
      <c r="Z247" s="25"/>
      <c r="AA247" s="25"/>
      <c r="AB247" s="25"/>
      <c r="AC247" s="25"/>
    </row>
    <row r="248">
      <c r="A248" s="24" t="str">
        <f>'DE ( Tarik barang retur )'!AC225</f>
        <v>AWBR-16009-2026-6-2-01</v>
      </c>
      <c r="B248" s="24" t="str">
        <f>'DE ( Tarik barang retur )'!F225</f>
        <v>Apotek Jaya Medika Premiere Muara Ciujung Barat Rangkasbitung</v>
      </c>
      <c r="C248" s="35">
        <f>'DE ( Tarik barang retur )'!G225</f>
        <v>6.28122E+17</v>
      </c>
      <c r="D248" s="24" t="str">
        <f>'DE ( Tarik barang retur )'!H225</f>
        <v>Jl. Multatuli No.62 RT/RW 001/002 Muara Ciujung Barat, Desa/Kelurahan Muara Ciujung Barat, Kec. Rangkasbitung, Kab. Lebak</v>
      </c>
      <c r="E248" s="24" t="str">
        <f>'DE ( Tarik barang retur )'!D225</f>
        <v>26051908511197XS5I8uezIy</v>
      </c>
      <c r="F248" s="24" t="str">
        <f>'DE ( Tarik barang retur )'!R225</f>
        <v>TMP-INV-2026/05/20/ 2767327IMBOOST EXTRA VIT C &amp; D3 EFFERVESCENT (RASA JERUK) Soho TABLET Dus, 1 TUBE PLASTIK @ 8 TABLET EFFERVESCENTTarik Barang Retur</v>
      </c>
      <c r="G248" s="36">
        <f>'DE ( Tarik barang retur )'!AF225</f>
        <v>46175</v>
      </c>
      <c r="H248" s="22">
        <v>46175.0</v>
      </c>
      <c r="I248" s="22">
        <v>46176.0</v>
      </c>
      <c r="J248" s="21" t="s">
        <v>5294</v>
      </c>
      <c r="K248" s="24"/>
      <c r="L248" s="25"/>
      <c r="M248" s="25"/>
      <c r="N248" s="25"/>
      <c r="O248" s="25"/>
      <c r="P248" s="25"/>
      <c r="Q248" s="25"/>
      <c r="R248" s="25"/>
      <c r="S248" s="25"/>
      <c r="T248" s="25"/>
      <c r="U248" s="25"/>
      <c r="V248" s="25"/>
      <c r="W248" s="25"/>
      <c r="X248" s="25"/>
      <c r="Y248" s="25"/>
      <c r="Z248" s="25"/>
      <c r="AA248" s="25"/>
      <c r="AB248" s="25"/>
      <c r="AC248" s="25"/>
    </row>
    <row r="249">
      <c r="A249" s="24" t="str">
        <f>'DE ( Tarik barang retur )'!AC226</f>
        <v>AWBR-13324-2026-6-2-01</v>
      </c>
      <c r="B249" s="24" t="str">
        <f>'DE ( Tarik barang retur )'!F226</f>
        <v>Apotek Lingga Buana Linggasari Ciamis</v>
      </c>
      <c r="C249" s="35">
        <f>'DE ( Tarik barang retur )'!G226</f>
        <v>6.28138E+17</v>
      </c>
      <c r="D249" s="24" t="str">
        <f>'DE ( Tarik barang retur )'!H226</f>
        <v>Jl. Raden Otto Iskandardinata - Lingkar Selatan Ciamis Desa Linggasari Kec. Ciamis Kab. Ciamis</v>
      </c>
      <c r="E249" s="24" t="str">
        <f>'DE ( Tarik barang retur )'!D226</f>
        <v>260312075620020hdYBfZYWF</v>
      </c>
      <c r="F249" s="24" t="str">
        <f>'DE ( Tarik barang retur )'!R226</f>
        <v>TMP-INV-2026/03/13/ 2528909FUNGIDERM Konimex KRIM DUS, TUBE @ 10 GTarik Barang Retur</v>
      </c>
      <c r="G249" s="36">
        <f>'DE ( Tarik barang retur )'!AF226</f>
        <v>46175</v>
      </c>
      <c r="H249" s="22">
        <v>46176.0</v>
      </c>
      <c r="I249" s="22">
        <v>46178.0</v>
      </c>
      <c r="J249" s="21" t="s">
        <v>5294</v>
      </c>
      <c r="K249" s="24"/>
      <c r="L249" s="25"/>
      <c r="M249" s="25"/>
      <c r="N249" s="25"/>
      <c r="O249" s="25"/>
      <c r="P249" s="25"/>
      <c r="Q249" s="25"/>
      <c r="R249" s="25"/>
      <c r="S249" s="25"/>
      <c r="T249" s="25"/>
      <c r="U249" s="25"/>
      <c r="V249" s="25"/>
      <c r="W249" s="25"/>
      <c r="X249" s="25"/>
      <c r="Y249" s="25"/>
      <c r="Z249" s="25"/>
      <c r="AA249" s="25"/>
      <c r="AB249" s="25"/>
      <c r="AC249" s="25"/>
    </row>
    <row r="250">
      <c r="A250" s="24" t="str">
        <f>'DE ( Tarik barang retur )'!AC227</f>
        <v>AWBR-16836-2026-6-2-01</v>
      </c>
      <c r="B250" s="24" t="str">
        <f>'DE ( Tarik barang retur )'!F227</f>
        <v>Apotek Aura Jatibening Pondokgede</v>
      </c>
      <c r="C250" s="35">
        <f>'DE ( Tarik barang retur )'!G227</f>
        <v>6.28122E+17</v>
      </c>
      <c r="D250" s="24" t="str">
        <f>'DE ( Tarik barang retur )'!H227</f>
        <v>Jl. Raya Jatibening Estate No. 34, Kel.Jatibening, Kec. Pondok Gede, Kota Bekasi</v>
      </c>
      <c r="E250" s="24" t="str">
        <f>'DE ( Tarik barang retur )'!D227</f>
        <v>26051502300020ZI38VPUN3Z</v>
      </c>
      <c r="F250" s="24" t="str">
        <f>'DE ( Tarik barang retur )'!R227</f>
        <v>TMP-INV-2026/05/15/ 2749508MINYAK ANGIN CAP KAPAK Yahi Utama DUS, 12 BOTOL KACA @ 5 MLTarik Barang Retur</v>
      </c>
      <c r="G250" s="36">
        <f>'DE ( Tarik barang retur )'!AF227</f>
        <v>46175</v>
      </c>
      <c r="H250" s="22">
        <v>46176.0</v>
      </c>
      <c r="I250" s="22">
        <v>46177.0</v>
      </c>
      <c r="J250" s="21" t="s">
        <v>5294</v>
      </c>
      <c r="K250" s="24"/>
      <c r="L250" s="25"/>
      <c r="M250" s="25"/>
      <c r="N250" s="25"/>
      <c r="O250" s="25"/>
      <c r="P250" s="25"/>
      <c r="Q250" s="25"/>
      <c r="R250" s="25"/>
      <c r="S250" s="25"/>
      <c r="T250" s="25"/>
      <c r="U250" s="25"/>
      <c r="V250" s="25"/>
      <c r="W250" s="25"/>
      <c r="X250" s="25"/>
      <c r="Y250" s="25"/>
      <c r="Z250" s="25"/>
      <c r="AA250" s="25"/>
      <c r="AB250" s="25"/>
      <c r="AC250" s="25"/>
    </row>
    <row r="251">
      <c r="A251" s="24" t="str">
        <f>'DE ( Tarik barang retur )'!AC228</f>
        <v>AWBR-10912-2026-6-2-01</v>
      </c>
      <c r="B251" s="24" t="str">
        <f>'DE ( Tarik barang retur )'!F228</f>
        <v>Apotek Dheva Farma Jatiasih Jatiasih</v>
      </c>
      <c r="C251" s="35">
        <f>'DE ( Tarik barang retur )'!G228</f>
        <v>6.28211E+17</v>
      </c>
      <c r="D251" s="24" t="str">
        <f>'DE ( Tarik barang retur )'!H228</f>
        <v>Jl. Raya Jatiasih No.51, RT.004/RW.005, Jatiasih, Kec. Jatiasih, Kota Bekasi, Jawa Barat 17423</v>
      </c>
      <c r="E251" s="24" t="str">
        <f>'DE ( Tarik barang retur )'!D228</f>
        <v>26052200191582aO9kW5HQ</v>
      </c>
      <c r="F251" s="24" t="str">
        <f>'DE ( Tarik barang retur )'!R228</f>
        <v>TMP-INV-2026/05/22/ 2774290SCABIMITE Galenium KRIM 5 % DUS,1 TUBE @ 30 GTarik Barang Retur</v>
      </c>
      <c r="G251" s="36">
        <f>'DE ( Tarik barang retur )'!AF228</f>
        <v>46175</v>
      </c>
      <c r="H251" s="22">
        <v>46176.0</v>
      </c>
      <c r="I251" s="22">
        <v>46177.0</v>
      </c>
      <c r="J251" s="21" t="s">
        <v>5294</v>
      </c>
      <c r="K251" s="24"/>
      <c r="L251" s="25"/>
      <c r="M251" s="25"/>
      <c r="N251" s="25"/>
      <c r="O251" s="25"/>
      <c r="P251" s="25"/>
      <c r="Q251" s="25"/>
      <c r="R251" s="25"/>
      <c r="S251" s="25"/>
      <c r="T251" s="25"/>
      <c r="U251" s="25"/>
      <c r="V251" s="25"/>
      <c r="W251" s="25"/>
      <c r="X251" s="25"/>
      <c r="Y251" s="25"/>
      <c r="Z251" s="25"/>
      <c r="AA251" s="25"/>
      <c r="AB251" s="25"/>
      <c r="AC251" s="25"/>
    </row>
    <row r="252">
      <c r="A252" s="24" t="str">
        <f>'DE ( Tarik barang retur )'!AC229</f>
        <v>AWBR-334-2026-6-2-01</v>
      </c>
      <c r="B252" s="24" t="str">
        <f>'DE ( Tarik barang retur )'!F229</f>
        <v>Apotek Merapi</v>
      </c>
      <c r="C252" s="35">
        <f>'DE ( Tarik barang retur )'!G229</f>
        <v>2177833109</v>
      </c>
      <c r="D252" s="24" t="str">
        <f>'DE ( Tarik barang retur )'!H229</f>
        <v>Jalan Kejayaan Blok X No. 9 RT 006/ RW 012 Kelurahan Abadijaya, Kecamatan Sukmajaya Kota Depok 16417</v>
      </c>
      <c r="E252" s="24" t="str">
        <f>'DE ( Tarik barang retur )'!D229</f>
        <v>26052207152834371imT1u2</v>
      </c>
      <c r="F252" s="24" t="str">
        <f>'DE ( Tarik barang retur )'!R229</f>
        <v>TMP-INV-2026/05/23/ 2777786 / TMP-INV-2026/05/23/ 2777925URDAFALK Darya-Varia KAPSUL 250 MG DUS, 6 STRIP @ 5 KAPSUL/ URDAFALK FORTE Darya-Varia TABLET DUS, 5 STRIP @ 10 TABLET SALUT SELAPUTTarik Barang Retur</v>
      </c>
      <c r="G252" s="36">
        <f>'DE ( Tarik barang retur )'!AF229</f>
        <v>46175</v>
      </c>
      <c r="H252" s="22">
        <v>46177.0</v>
      </c>
      <c r="I252" s="22">
        <v>46178.0</v>
      </c>
      <c r="J252" s="21" t="s">
        <v>5294</v>
      </c>
      <c r="K252" s="24"/>
      <c r="L252" s="25"/>
      <c r="M252" s="25"/>
      <c r="N252" s="25"/>
      <c r="O252" s="25"/>
      <c r="P252" s="25"/>
      <c r="Q252" s="25"/>
      <c r="R252" s="25"/>
      <c r="S252" s="25"/>
      <c r="T252" s="25"/>
      <c r="U252" s="25"/>
      <c r="V252" s="25"/>
      <c r="W252" s="25"/>
      <c r="X252" s="25"/>
      <c r="Y252" s="25"/>
      <c r="Z252" s="25"/>
      <c r="AA252" s="25"/>
      <c r="AB252" s="25"/>
      <c r="AC252" s="25"/>
    </row>
    <row r="253">
      <c r="A253" s="24" t="str">
        <f>'DE ( Tarik barang retur )'!AC230</f>
        <v>AWBR-11645-2026-6-2-01</v>
      </c>
      <c r="B253" s="24" t="str">
        <f>'DE ( Tarik barang retur )'!F230</f>
        <v>Apotek Permata Sehat Sukamajaya Sukmajaya</v>
      </c>
      <c r="C253" s="35">
        <f>'DE ( Tarik barang retur )'!G230</f>
        <v>6.28519E+17</v>
      </c>
      <c r="D253" s="24" t="str">
        <f>'DE ( Tarik barang retur )'!H230</f>
        <v>Jl. Raden Saleh No.45, Rt.003 Rw.005, Kel. Sukmajaya Kec. Sukmajaya Kota Depok</v>
      </c>
      <c r="E253" s="24" t="str">
        <f>'DE ( Tarik barang retur )'!D230</f>
        <v>260523015816445dWjGsqMUn</v>
      </c>
      <c r="F253" s="24" t="str">
        <f>'DE ( Tarik barang retur )'!R230</f>
        <v>TMP-INV-2026/05/23/ 2777850SPASMINAL Hexpharm KAPLET 10/500 MG DUS, 10 STRIP @ 10 KAPLET SALUT SELAPUTTarik Barang Retur</v>
      </c>
      <c r="G253" s="36">
        <f>'DE ( Tarik barang retur )'!AF230</f>
        <v>46175</v>
      </c>
      <c r="H253" s="22">
        <v>46175.0</v>
      </c>
      <c r="I253" s="22">
        <v>46176.0</v>
      </c>
      <c r="J253" s="21" t="s">
        <v>5294</v>
      </c>
      <c r="K253" s="24"/>
      <c r="L253" s="25"/>
      <c r="M253" s="25"/>
      <c r="N253" s="25"/>
      <c r="O253" s="25"/>
      <c r="P253" s="25"/>
      <c r="Q253" s="25"/>
      <c r="R253" s="25"/>
      <c r="S253" s="25"/>
      <c r="T253" s="25"/>
      <c r="U253" s="25"/>
      <c r="V253" s="25"/>
      <c r="W253" s="25"/>
      <c r="X253" s="25"/>
      <c r="Y253" s="25"/>
      <c r="Z253" s="25"/>
      <c r="AA253" s="25"/>
      <c r="AB253" s="25"/>
      <c r="AC253" s="25"/>
    </row>
    <row r="254">
      <c r="A254" s="24" t="str">
        <f>'DE ( Tarik barang retur )'!AC231</f>
        <v>AWBR-13565-2026-6-2-01</v>
      </c>
      <c r="B254" s="24" t="str">
        <f>'DE ( Tarik barang retur )'!F231</f>
        <v>Apotek Sabi Pharma Cilangkap Cipayung</v>
      </c>
      <c r="C254" s="35">
        <f>'DE ( Tarik barang retur )'!G231</f>
        <v>6.28121E+17</v>
      </c>
      <c r="D254" s="24" t="str">
        <f>'DE ( Tarik barang retur )'!H231</f>
        <v>Jl. Cilangkap Baru Blok R No. 3 RT 001 RW 001 Kel. Cilangkap Kec. Cipayung Kota Jakarta Timur</v>
      </c>
      <c r="E254" s="24" t="str">
        <f>'DE ( Tarik barang retur )'!D231</f>
        <v>26052202360544sHtbjoec0</v>
      </c>
      <c r="F254" s="24" t="str">
        <f>'DE ( Tarik barang retur )'!R231</f>
        <v>TMP-INV-2026/05/22/ 2774414HOLISTICARE ESTER C 1000 Indocare TABLET DUS, BOTOL PLASTIK @ 30 TABLET SALUT SELAPUTTarik Barang Retur</v>
      </c>
      <c r="G254" s="36">
        <f>'DE ( Tarik barang retur )'!AF231</f>
        <v>46175</v>
      </c>
      <c r="H254" s="22">
        <v>46176.0</v>
      </c>
      <c r="I254" s="22">
        <v>46177.0</v>
      </c>
      <c r="J254" s="21" t="s">
        <v>5294</v>
      </c>
      <c r="K254" s="24"/>
      <c r="L254" s="25"/>
      <c r="M254" s="25"/>
      <c r="N254" s="25"/>
      <c r="O254" s="25"/>
      <c r="P254" s="25"/>
      <c r="Q254" s="25"/>
      <c r="R254" s="25"/>
      <c r="S254" s="25"/>
      <c r="T254" s="25"/>
      <c r="U254" s="25"/>
      <c r="V254" s="25"/>
      <c r="W254" s="25"/>
      <c r="X254" s="25"/>
      <c r="Y254" s="25"/>
      <c r="Z254" s="25"/>
      <c r="AA254" s="25"/>
      <c r="AB254" s="25"/>
      <c r="AC254" s="25"/>
    </row>
    <row r="255">
      <c r="A255" s="24" t="str">
        <f>'DE ( Tarik barang retur )'!AC232</f>
        <v>AWBR-2823-2026-6-2-01</v>
      </c>
      <c r="B255" s="24" t="str">
        <f>'DE ( Tarik barang retur )'!F232</f>
        <v>Apotek Al Fath 21</v>
      </c>
      <c r="C255" s="35">
        <f>'DE ( Tarik barang retur )'!G232</f>
        <v>6.28571E+17</v>
      </c>
      <c r="D255" s="24" t="str">
        <f>'DE ( Tarik barang retur )'!H232</f>
        <v>Jalan KH. Abdullah Bin Nuh No. 99 RT. 05 RW. 04 Kelurahan Cibadak Kecamatan Tanah Sereal Kota Bogor 16166</v>
      </c>
      <c r="E255" s="24" t="str">
        <f>'DE ( Tarik barang retur )'!D232</f>
        <v>26042706533364RkE9bawSW</v>
      </c>
      <c r="F255" s="24" t="str">
        <f>'DE ( Tarik barang retur )'!R232</f>
        <v>TMP-INV-2026/04/28/ 2686898RHINOFED Dexa Medica SIRUP DUS, 1 BOTOL @ 60 MLTarik Barang Damaged</v>
      </c>
      <c r="G255" s="36">
        <f>'DE ( Tarik barang retur )'!AF232</f>
        <v>46175</v>
      </c>
      <c r="H255" s="22">
        <v>46178.0</v>
      </c>
      <c r="I255" s="22">
        <v>46179.0</v>
      </c>
      <c r="J255" s="21" t="s">
        <v>5294</v>
      </c>
      <c r="K255" s="24"/>
      <c r="L255" s="25"/>
      <c r="M255" s="25"/>
      <c r="N255" s="25"/>
      <c r="O255" s="25"/>
      <c r="P255" s="25"/>
      <c r="Q255" s="25"/>
      <c r="R255" s="25"/>
      <c r="S255" s="25"/>
      <c r="T255" s="25"/>
      <c r="U255" s="25"/>
      <c r="V255" s="25"/>
      <c r="W255" s="25"/>
      <c r="X255" s="25"/>
      <c r="Y255" s="25"/>
      <c r="Z255" s="25"/>
      <c r="AA255" s="25"/>
      <c r="AB255" s="25"/>
      <c r="AC255" s="25"/>
    </row>
    <row r="256">
      <c r="A256" s="24" t="str">
        <f>'DE ( Tarik barang retur )'!AC233</f>
        <v>AWBR-10661-2026-6-2-01</v>
      </c>
      <c r="B256" s="24" t="str">
        <f>'DE ( Tarik barang retur )'!F233</f>
        <v>Apotek Bunda Farma Sukaraya Karangbahagia</v>
      </c>
      <c r="C256" s="35">
        <f>'DE ( Tarik barang retur )'!G233</f>
        <v>81261117658</v>
      </c>
      <c r="D256" s="24" t="str">
        <f>'DE ( Tarik barang retur )'!H233</f>
        <v>Perum Puri Nirwarna Residence Blok KA No.11 RT 002 RW 009 Desa/Kel. Sukaraya Kec. Karang Bahagia Kab. Bekasi 17535</v>
      </c>
      <c r="E256" s="24" t="str">
        <f>'DE ( Tarik barang retur )'!D233</f>
        <v>26051301483125TUEceqnud5</v>
      </c>
      <c r="F256" s="24" t="str">
        <f>'DE ( Tarik barang retur )'!R233</f>
        <v>TMP-INV-2026/05/13/ 2740799NATUR-E SKIN START NATURAL VITAMIN E 100 IU Darya-Varia KAPSUL DUS, 8 STRIP @ 4 KAPSUL LUNAKTarik Barang Retur</v>
      </c>
      <c r="G256" s="36">
        <f>'DE ( Tarik barang retur )'!AF233</f>
        <v>46175</v>
      </c>
      <c r="H256" s="22">
        <v>46176.0</v>
      </c>
      <c r="I256" s="22">
        <v>46177.0</v>
      </c>
      <c r="J256" s="21" t="s">
        <v>5294</v>
      </c>
      <c r="K256" s="24"/>
      <c r="L256" s="25"/>
      <c r="M256" s="25"/>
      <c r="N256" s="25"/>
      <c r="O256" s="25"/>
      <c r="P256" s="25"/>
      <c r="Q256" s="25"/>
      <c r="R256" s="25"/>
      <c r="S256" s="25"/>
      <c r="T256" s="25"/>
      <c r="U256" s="25"/>
      <c r="V256" s="25"/>
      <c r="W256" s="25"/>
      <c r="X256" s="25"/>
      <c r="Y256" s="25"/>
      <c r="Z256" s="25"/>
      <c r="AA256" s="25"/>
      <c r="AB256" s="25"/>
      <c r="AC256" s="25"/>
    </row>
    <row r="257">
      <c r="A257" s="24" t="str">
        <f>'DE ( Tarik barang retur )'!AC234</f>
        <v>AWBR-1249-2026-6-2-01</v>
      </c>
      <c r="B257" s="24" t="str">
        <f>'DE ( Tarik barang retur )'!F234</f>
        <v>Apotek K24 Anggrek Cikarang Baru</v>
      </c>
      <c r="C257" s="35">
        <f>'DE ( Tarik barang retur )'!G234</f>
        <v>87877209076</v>
      </c>
      <c r="D257" s="24" t="str">
        <f>'DE ( Tarik barang retur )'!H234</f>
        <v>Jalan Anggrek Kaviling B1 No.23 Kelurahan Mekarmukti Kecamatan Cikarang Utara Kabupaten Bekasi 17530</v>
      </c>
      <c r="E257" s="24" t="str">
        <f>'DE ( Tarik barang retur )'!D234</f>
        <v>26052201463397ApYsIENkb</v>
      </c>
      <c r="F257" s="24" t="str">
        <f>'DE ( Tarik barang retur )'!R234</f>
        <v>TMP-INV-2026/05/22/ 2772092APOLAR Actavis KRIM DUS, 1 TUBE @ 10 GTarik Barang Retur</v>
      </c>
      <c r="G257" s="36">
        <f>'DE ( Tarik barang retur )'!AF234</f>
        <v>46175</v>
      </c>
      <c r="H257" s="22">
        <v>46176.0</v>
      </c>
      <c r="I257" s="22">
        <v>46177.0</v>
      </c>
      <c r="J257" s="21" t="s">
        <v>5294</v>
      </c>
      <c r="K257" s="24"/>
      <c r="L257" s="25"/>
      <c r="M257" s="25"/>
      <c r="N257" s="25"/>
      <c r="O257" s="25"/>
      <c r="P257" s="25"/>
      <c r="Q257" s="25"/>
      <c r="R257" s="25"/>
      <c r="S257" s="25"/>
      <c r="T257" s="25"/>
      <c r="U257" s="25"/>
      <c r="V257" s="25"/>
      <c r="W257" s="25"/>
      <c r="X257" s="25"/>
      <c r="Y257" s="25"/>
      <c r="Z257" s="25"/>
      <c r="AA257" s="25"/>
      <c r="AB257" s="25"/>
      <c r="AC257" s="25"/>
    </row>
    <row r="258">
      <c r="A258" s="24" t="str">
        <f>'DE ( Tarik barang retur )'!AC235</f>
        <v>AWBR-17183-2026-6-2-01</v>
      </c>
      <c r="B258" s="24" t="str">
        <f>'DE ( Tarik barang retur )'!F235</f>
        <v>Apotek Shaka Farma Kertamukti Cibitung</v>
      </c>
      <c r="C258" s="35">
        <f>'DE ( Tarik barang retur )'!G235</f>
        <v>6.28217E+17</v>
      </c>
      <c r="D258" s="24" t="str">
        <f>'DE ( Tarik barang retur )'!H235</f>
        <v>Kp. Sasak Bakar, RT/RW : 001/001, Desa/Kelurahan Kertamukti, Kec. Cibitung, Kab. Bekasi</v>
      </c>
      <c r="E258" s="24" t="str">
        <f>'DE ( Tarik barang retur )'!D235</f>
        <v>26052010463640T2Z3DBSdI</v>
      </c>
      <c r="F258" s="24" t="str">
        <f>'DE ( Tarik barang retur )'!R235</f>
        <v>TMP-INV-2026/05/21/ 2768465EGOJI RASA APPLE-BERRY Novell SIRUP DUS, BOTOL 100 MLTarik Barang Retur</v>
      </c>
      <c r="G258" s="36">
        <f>'DE ( Tarik barang retur )'!AF235</f>
        <v>46175</v>
      </c>
      <c r="H258" s="22">
        <v>46176.0</v>
      </c>
      <c r="I258" s="22">
        <v>46177.0</v>
      </c>
      <c r="J258" s="21" t="s">
        <v>5294</v>
      </c>
      <c r="K258" s="24"/>
      <c r="L258" s="25"/>
      <c r="M258" s="25"/>
      <c r="N258" s="25"/>
      <c r="O258" s="25"/>
      <c r="P258" s="25"/>
      <c r="Q258" s="25"/>
      <c r="R258" s="25"/>
      <c r="S258" s="25"/>
      <c r="T258" s="25"/>
      <c r="U258" s="25"/>
      <c r="V258" s="25"/>
      <c r="W258" s="25"/>
      <c r="X258" s="25"/>
      <c r="Y258" s="25"/>
      <c r="Z258" s="25"/>
      <c r="AA258" s="25"/>
      <c r="AB258" s="25"/>
      <c r="AC258" s="25"/>
    </row>
    <row r="259">
      <c r="A259" s="24" t="str">
        <f>'DE ( Tarik barang retur )'!AC236</f>
        <v>AWBR-15799-2026-6-2-01</v>
      </c>
      <c r="B259" s="24" t="str">
        <f>'DE ( Tarik barang retur )'!F236</f>
        <v>Klinik Berkah Gramapuri Sukajaya Cibitung</v>
      </c>
      <c r="C259" s="35">
        <f>'DE ( Tarik barang retur )'!G236</f>
        <v>6.28128E+17</v>
      </c>
      <c r="D259" s="24" t="str">
        <f>'DE ( Tarik barang retur )'!H236</f>
        <v>Perum Gramapuri Persada Ruko Blok L02/17B, Desa/Kelurahan Sukajaya, Kec. Cibitung, Kab. Bekasi</v>
      </c>
      <c r="E259" s="24" t="str">
        <f>'DE ( Tarik barang retur )'!D236</f>
        <v>26052002300263c6bvcdslk</v>
      </c>
      <c r="F259" s="24" t="str">
        <f>'DE ( Tarik barang retur )'!R236</f>
        <v>TMP-INV-2026/05/20/ 2765461CANDESARTAN CILEXETIL Dexa Medica TABLET 8 MG DUS, 3 BLISTER @ 10 TABLETTarik Barang Retur</v>
      </c>
      <c r="G259" s="36">
        <f>'DE ( Tarik barang retur )'!AF236</f>
        <v>46175</v>
      </c>
      <c r="H259" s="22">
        <v>46176.0</v>
      </c>
      <c r="I259" s="22">
        <v>46177.0</v>
      </c>
      <c r="J259" s="21" t="s">
        <v>5294</v>
      </c>
      <c r="K259" s="24"/>
      <c r="L259" s="25"/>
      <c r="M259" s="25"/>
      <c r="N259" s="25"/>
      <c r="O259" s="25"/>
      <c r="P259" s="25"/>
      <c r="Q259" s="25"/>
      <c r="R259" s="25"/>
      <c r="S259" s="25"/>
      <c r="T259" s="25"/>
      <c r="U259" s="25"/>
      <c r="V259" s="25"/>
      <c r="W259" s="25"/>
      <c r="X259" s="25"/>
      <c r="Y259" s="25"/>
      <c r="Z259" s="25"/>
      <c r="AA259" s="25"/>
      <c r="AB259" s="25"/>
      <c r="AC259" s="25"/>
    </row>
    <row r="260">
      <c r="A260" s="24" t="str">
        <f>'DE ( Tarik barang retur )'!AC237</f>
        <v>AWBR-16053-2026-6-3-01</v>
      </c>
      <c r="B260" s="24" t="str">
        <f>'DE ( Tarik barang retur )'!F237</f>
        <v>Apotek 678 Duren Jaya Bekasi Timur</v>
      </c>
      <c r="C260" s="35">
        <f>'DE ( Tarik barang retur )'!G237</f>
        <v>6.28129E+17</v>
      </c>
      <c r="D260" s="24" t="str">
        <f>'DE ( Tarik barang retur )'!H237</f>
        <v>Jl. Prof. Yamin No. 3, Desa/Kelurahan Duren Jaya, Kecamatan Bekasi Timur,Kota Bekasi, Jawa Barat,</v>
      </c>
      <c r="E260" s="24" t="str">
        <f>'DE ( Tarik barang retur )'!D237</f>
        <v>26042902173885veMWrDzOM</v>
      </c>
      <c r="F260" s="24" t="str">
        <f>'DE ( Tarik barang retur )'!R237</f>
        <v>TMP-INV-2026/04/29/ 2689914NIACEF Surya Dermato GEL DUS, TUBE 15 gTarik Barang Retur</v>
      </c>
      <c r="G260" s="36">
        <f>'DE ( Tarik barang retur )'!AF237</f>
        <v>46176</v>
      </c>
      <c r="H260" s="22">
        <v>46178.0</v>
      </c>
      <c r="I260" s="22">
        <v>46179.0</v>
      </c>
      <c r="J260" s="21" t="s">
        <v>5294</v>
      </c>
      <c r="K260" s="24"/>
      <c r="L260" s="25"/>
      <c r="M260" s="25"/>
      <c r="N260" s="25"/>
      <c r="O260" s="25"/>
      <c r="P260" s="25"/>
      <c r="Q260" s="25"/>
      <c r="R260" s="25"/>
      <c r="S260" s="25"/>
      <c r="T260" s="25"/>
      <c r="U260" s="25"/>
      <c r="V260" s="25"/>
      <c r="W260" s="25"/>
      <c r="X260" s="25"/>
      <c r="Y260" s="25"/>
      <c r="Z260" s="25"/>
      <c r="AA260" s="25"/>
      <c r="AB260" s="25"/>
      <c r="AC260" s="25"/>
    </row>
    <row r="261">
      <c r="A261" s="24" t="str">
        <f>'DE ( Tarik barang retur )'!AC238</f>
        <v>AWBR-13215-2026-6-3-01</v>
      </c>
      <c r="B261" s="24" t="str">
        <f>'DE ( Tarik barang retur )'!F238</f>
        <v>Apotek Bungur Sehat Rambutan Ciracas</v>
      </c>
      <c r="C261" s="35">
        <f>'DE ( Tarik barang retur )'!G238</f>
        <v>6.28126E+17</v>
      </c>
      <c r="D261" s="24" t="str">
        <f>'DE ( Tarik barang retur )'!H238</f>
        <v>Jl. Bungur No. 16, Desa/Kelurahan Rambutan, Kec. Ciracas, Kota Adm. Jakarta Timur</v>
      </c>
      <c r="E261" s="24" t="str">
        <f>'DE ( Tarik barang retur )'!D238</f>
        <v>26042703370207F1fV54AjZh</v>
      </c>
      <c r="F261" s="24" t="str">
        <f>'DE ( Tarik barang retur )'!R238</f>
        <v>TMP-INV-2026/04/27/ 2682379DIAPET NR Soho KAPSUL DUS, 25 BLISTER @ 4 KAPSULTarik Barang Retur</v>
      </c>
      <c r="G261" s="36">
        <f>'DE ( Tarik barang retur )'!AF238</f>
        <v>46176</v>
      </c>
      <c r="H261" s="22">
        <v>46177.0</v>
      </c>
      <c r="I261" s="22">
        <v>46179.0</v>
      </c>
      <c r="J261" s="21" t="s">
        <v>5294</v>
      </c>
      <c r="K261" s="24"/>
      <c r="L261" s="25"/>
      <c r="M261" s="25"/>
      <c r="N261" s="25"/>
      <c r="O261" s="25"/>
      <c r="P261" s="25"/>
      <c r="Q261" s="25"/>
      <c r="R261" s="25"/>
      <c r="S261" s="25"/>
      <c r="T261" s="25"/>
      <c r="U261" s="25"/>
      <c r="V261" s="25"/>
      <c r="W261" s="25"/>
      <c r="X261" s="25"/>
      <c r="Y261" s="25"/>
      <c r="Z261" s="25"/>
      <c r="AA261" s="25"/>
      <c r="AB261" s="25"/>
      <c r="AC261" s="25"/>
    </row>
    <row r="262">
      <c r="A262" s="24" t="str">
        <f>'DE ( Tarik barang retur )'!AC239</f>
        <v>AWBR-3209-2026-6-3-01</v>
      </c>
      <c r="B262" s="24" t="str">
        <f>'DE ( Tarik barang retur )'!F239</f>
        <v>Apotek Campaka</v>
      </c>
      <c r="C262" s="35">
        <f>'DE ( Tarik barang retur )'!G239</f>
        <v>62817614341</v>
      </c>
      <c r="D262" s="24" t="str">
        <f>'DE ( Tarik barang retur )'!H239</f>
        <v>Kp Sukamulya RT003 RW001 Kel.Campaka Kec. Kel.Campaka Purwakarta Jawa Barat 41181</v>
      </c>
      <c r="E262" s="24" t="str">
        <f>'DE ( Tarik barang retur )'!D239</f>
        <v>26042215113298YImuaR8Z2</v>
      </c>
      <c r="F262" s="24" t="str">
        <f>'DE ( Tarik barang retur )'!R239</f>
        <v>TMP-INV-2026/04/23/ 2670800TRINORDIOL-28 Sunthi TABLET DUS, 2 BLISTER @ 28 TABLET SALUT GULATarik Barang Retur</v>
      </c>
      <c r="G262" s="36">
        <f>'DE ( Tarik barang retur )'!AF239</f>
        <v>46176</v>
      </c>
      <c r="H262" s="22">
        <v>46176.0</v>
      </c>
      <c r="I262" s="22">
        <v>46179.0</v>
      </c>
      <c r="J262" s="21" t="s">
        <v>5294</v>
      </c>
      <c r="K262" s="24"/>
      <c r="L262" s="25"/>
      <c r="M262" s="25"/>
      <c r="N262" s="25"/>
      <c r="O262" s="25"/>
      <c r="P262" s="25"/>
      <c r="Q262" s="25"/>
      <c r="R262" s="25"/>
      <c r="S262" s="25"/>
      <c r="T262" s="25"/>
      <c r="U262" s="25"/>
      <c r="V262" s="25"/>
      <c r="W262" s="25"/>
      <c r="X262" s="25"/>
      <c r="Y262" s="25"/>
      <c r="Z262" s="25"/>
      <c r="AA262" s="25"/>
      <c r="AB262" s="25"/>
      <c r="AC262" s="25"/>
    </row>
    <row r="263">
      <c r="A263" s="24" t="str">
        <f>'DE ( Tarik barang retur )'!AC240</f>
        <v>AWBR-13679-2026-6-3-01</v>
      </c>
      <c r="B263" s="24" t="str">
        <f>'DE ( Tarik barang retur )'!F240</f>
        <v>Apotek Faresha Farma Jagakarsa Jagakarsa</v>
      </c>
      <c r="C263" s="35">
        <f>'DE ( Tarik barang retur )'!G240</f>
        <v>6.2856E+16</v>
      </c>
      <c r="D263" s="24" t="str">
        <f>'DE ( Tarik barang retur )'!H240</f>
        <v>Jalan Mohammad Kahfi I RW 04, Desa/Kelurahan Ciganjur, Kec. Jagakarsa, Kota Jakarta Selatan</v>
      </c>
      <c r="E263" s="24" t="str">
        <f>'DE ( Tarik barang retur )'!D240</f>
        <v>26042004521430QMvi5bim4Z</v>
      </c>
      <c r="F263" s="24" t="str">
        <f>'DE ( Tarik barang retur )'!R240</f>
        <v>TMP-INV-2026/04/21/ 2662111FIESTA INTIM WARM GEL Dkt DUS, TUBE 70 MLTarik Barang Retur</v>
      </c>
      <c r="G263" s="36">
        <f>'DE ( Tarik barang retur )'!AF240</f>
        <v>46176</v>
      </c>
      <c r="H263" s="22">
        <v>46179.0</v>
      </c>
      <c r="I263" s="22">
        <v>46181.0</v>
      </c>
      <c r="J263" s="21" t="s">
        <v>5294</v>
      </c>
      <c r="K263" s="24"/>
      <c r="L263" s="25"/>
      <c r="M263" s="25"/>
      <c r="N263" s="25"/>
      <c r="O263" s="25"/>
      <c r="P263" s="25"/>
      <c r="Q263" s="25"/>
      <c r="R263" s="25"/>
      <c r="S263" s="25"/>
      <c r="T263" s="25"/>
      <c r="U263" s="25"/>
      <c r="V263" s="25"/>
      <c r="W263" s="25"/>
      <c r="X263" s="25"/>
      <c r="Y263" s="25"/>
      <c r="Z263" s="25"/>
      <c r="AA263" s="25"/>
      <c r="AB263" s="25"/>
      <c r="AC263" s="25"/>
    </row>
    <row r="264">
      <c r="A264" s="24" t="str">
        <f>'DE ( Tarik barang retur )'!AC241</f>
        <v>AWBR-13036-2026-6-3-01</v>
      </c>
      <c r="B264" s="24" t="str">
        <f>'DE ( Tarik barang retur )'!F241</f>
        <v>Apotek Harrison Legenda Wisata Nagrak Gunung Putri</v>
      </c>
      <c r="C264" s="35">
        <f>'DE ( Tarik barang retur )'!G241</f>
        <v>6.28213E+17</v>
      </c>
      <c r="D264" s="24" t="str">
        <f>'DE ( Tarik barang retur )'!H241</f>
        <v>Ruko Lumibiz Legenda Wisata Blok. U12 No. 20-21 , Desa/Kel. Nagrak, Kec. Gunung Putri, Kab. Bogor</v>
      </c>
      <c r="E264" s="24" t="str">
        <f>'DE ( Tarik barang retur )'!D241</f>
        <v>26033000065870dnircsHoF</v>
      </c>
      <c r="F264" s="24" t="str">
        <f>'DE ( Tarik barang retur )'!R241</f>
        <v>TMP-INV-2026/03/30/ 2579692CURLIV PLUS Soho SIRUP DUS, BOTOL KACA @ 120 MLTarik Barang Damaged</v>
      </c>
      <c r="G264" s="36">
        <f>'DE ( Tarik barang retur )'!AF241</f>
        <v>46176</v>
      </c>
      <c r="H264" s="22">
        <v>46176.0</v>
      </c>
      <c r="I264" s="22">
        <v>46178.0</v>
      </c>
      <c r="J264" s="21" t="s">
        <v>5294</v>
      </c>
      <c r="K264" s="24"/>
      <c r="L264" s="25"/>
      <c r="M264" s="25"/>
      <c r="N264" s="25"/>
      <c r="O264" s="25"/>
      <c r="P264" s="25"/>
      <c r="Q264" s="25"/>
      <c r="R264" s="25"/>
      <c r="S264" s="25"/>
      <c r="T264" s="25"/>
      <c r="U264" s="25"/>
      <c r="V264" s="25"/>
      <c r="W264" s="25"/>
      <c r="X264" s="25"/>
      <c r="Y264" s="25"/>
      <c r="Z264" s="25"/>
      <c r="AA264" s="25"/>
      <c r="AB264" s="25"/>
      <c r="AC264" s="25"/>
    </row>
    <row r="265">
      <c r="A265" s="24" t="str">
        <f>'DE ( Tarik barang retur )'!AC242</f>
        <v>AWBR-7686-2026-6-3-01</v>
      </c>
      <c r="B265" s="24" t="str">
        <f>'DE ( Tarik barang retur )'!F242</f>
        <v>Apotek Hidayah 7686</v>
      </c>
      <c r="C265" s="35">
        <f>'DE ( Tarik barang retur )'!G242</f>
        <v>8.95365E+16</v>
      </c>
      <c r="D265" s="24" t="str">
        <f>'DE ( Tarik barang retur )'!H242</f>
        <v>Jl. DR. Husein Kartasasmita No. 43 RT. 004 RW. 002 Kel. Banjar Kec. Banjar Kota Banjar 46321</v>
      </c>
      <c r="E265" s="24" t="str">
        <f>'DE ( Tarik barang retur )'!D242</f>
        <v>26040104154887xu6E5lMOQ7</v>
      </c>
      <c r="F265" s="24" t="str">
        <f>'DE ( Tarik barang retur )'!R242</f>
        <v>TMP-INV-2026/04/02/ 2594949SAKATONIK ACTIV MULTIVITAMIN ZAT BESI Saka Farma SIRUP DUS, BOTOL KACA @ 100 MLTarik Barang Damaged</v>
      </c>
      <c r="G265" s="36">
        <f>'DE ( Tarik barang retur )'!AF242</f>
        <v>46176</v>
      </c>
      <c r="H265" s="22">
        <v>46178.0</v>
      </c>
      <c r="I265" s="22">
        <v>46179.0</v>
      </c>
      <c r="J265" s="21" t="s">
        <v>5294</v>
      </c>
      <c r="K265" s="24"/>
      <c r="L265" s="25"/>
      <c r="M265" s="25"/>
      <c r="N265" s="25"/>
      <c r="O265" s="25"/>
      <c r="P265" s="25"/>
      <c r="Q265" s="25"/>
      <c r="R265" s="25"/>
      <c r="S265" s="25"/>
      <c r="T265" s="25"/>
      <c r="U265" s="25"/>
      <c r="V265" s="25"/>
      <c r="W265" s="25"/>
      <c r="X265" s="25"/>
      <c r="Y265" s="25"/>
      <c r="Z265" s="25"/>
      <c r="AA265" s="25"/>
      <c r="AB265" s="25"/>
      <c r="AC265" s="25"/>
    </row>
    <row r="266">
      <c r="A266" s="24" t="str">
        <f>'DE ( Tarik barang retur )'!AC243</f>
        <v>AWBR-1750-2026-6-3-01</v>
      </c>
      <c r="B266" s="24" t="str">
        <f>'DE ( Tarik barang retur )'!F243</f>
        <v>Apotek JS 1</v>
      </c>
      <c r="C266" s="35">
        <f>'DE ( Tarik barang retur )'!G243</f>
        <v>82219385200</v>
      </c>
      <c r="D266" s="24" t="str">
        <f>'DE ( Tarik barang retur )'!H243</f>
        <v>Jalan Pertigaan Malaka RT 002 RW 005 Kelurahan Cilangkap Kecamatan Cipayung Jakarta Timur 13870</v>
      </c>
      <c r="E266" s="24" t="str">
        <f>'DE ( Tarik barang retur )'!D243</f>
        <v>26042305291046iFuuIQ9mS</v>
      </c>
      <c r="F266" s="24" t="str">
        <f>'DE ( Tarik barang retur )'!R243</f>
        <v>TMP-INV-2026/04/24/ 2673940HUFAGRIPP PILEK Gratia SIRUP DUS, 1 BOTOL @ 60 MLTarik Barang Damaged</v>
      </c>
      <c r="G266" s="36">
        <f>'DE ( Tarik barang retur )'!AF243</f>
        <v>46176</v>
      </c>
      <c r="H266" s="22">
        <v>46177.0</v>
      </c>
      <c r="I266" s="22">
        <v>46178.0</v>
      </c>
      <c r="J266" s="21" t="s">
        <v>5294</v>
      </c>
      <c r="K266" s="24"/>
      <c r="L266" s="25"/>
      <c r="M266" s="25"/>
      <c r="N266" s="25"/>
      <c r="O266" s="25"/>
      <c r="P266" s="25"/>
      <c r="Q266" s="25"/>
      <c r="R266" s="25"/>
      <c r="S266" s="25"/>
      <c r="T266" s="25"/>
      <c r="U266" s="25"/>
      <c r="V266" s="25"/>
      <c r="W266" s="25"/>
      <c r="X266" s="25"/>
      <c r="Y266" s="25"/>
      <c r="Z266" s="25"/>
      <c r="AA266" s="25"/>
      <c r="AB266" s="25"/>
      <c r="AC266" s="25"/>
    </row>
    <row r="267">
      <c r="A267" s="24" t="str">
        <f>'DE ( Tarik barang retur )'!AC244</f>
        <v>AWBR-1249-2026-6-3-01</v>
      </c>
      <c r="B267" s="24" t="str">
        <f>'DE ( Tarik barang retur )'!F244</f>
        <v>Apotek K24 Anggrek Cikarang Baru</v>
      </c>
      <c r="C267" s="35">
        <f>'DE ( Tarik barang retur )'!G244</f>
        <v>87877209076</v>
      </c>
      <c r="D267" s="24" t="str">
        <f>'DE ( Tarik barang retur )'!H244</f>
        <v>Jalan Anggrek Kaviling B1 No.23 Kelurahan Mekarmukti Kecamatan Cikarang Utara Kabupaten Bekasi 17530</v>
      </c>
      <c r="E267" s="24" t="str">
        <f>'DE ( Tarik barang retur )'!D244</f>
        <v>26042004341302f9S8EoteL</v>
      </c>
      <c r="F267" s="24" t="str">
        <f>'DE ( Tarik barang retur )'!R244</f>
        <v>TMP-INV-2026/04/21/ 2659700 / TMP-INV-2026/04/21/ 2660224/ TMP-INV-2026/04/21/ 2660224 / TMP-INV-2026/04/21/ 2659970 / TMP-INV-2026/04/21/TMP-INV-2026/04/25/ 2678300 2661014 HUFAGRIPP BP BATUK KERING DAN PILEK ANAK Gratia SIRUP DUS, 1 BOTOL @ 60 ML Tarik Barang Damaged &amp; Retur 
MICROGYNON (LIBI) Bayer TABLET DUS, 1 BLISTER @ 28 TABLET SALUT GULA
OTILON Sanbe TETES TELINGA DUS, BOTOL 8 ML
PEPTISOL Sanghiang Perkasa FRENCH VANILLA DUS, ALUMINIUM FOIL 180 G (3 Sachet @ 60 g)</v>
      </c>
      <c r="G267" s="36">
        <f>'DE ( Tarik barang retur )'!AF244</f>
        <v>46176</v>
      </c>
      <c r="H267" s="22">
        <v>46177.0</v>
      </c>
      <c r="I267" s="22">
        <v>46179.0</v>
      </c>
      <c r="J267" s="21" t="s">
        <v>5294</v>
      </c>
      <c r="K267" s="24"/>
      <c r="L267" s="25"/>
      <c r="M267" s="25"/>
      <c r="N267" s="25"/>
      <c r="O267" s="25"/>
      <c r="P267" s="25"/>
      <c r="Q267" s="25"/>
      <c r="R267" s="25"/>
      <c r="S267" s="25"/>
      <c r="T267" s="25"/>
      <c r="U267" s="25"/>
      <c r="V267" s="25"/>
      <c r="W267" s="25"/>
      <c r="X267" s="25"/>
      <c r="Y267" s="25"/>
      <c r="Z267" s="25"/>
      <c r="AA267" s="25"/>
      <c r="AB267" s="25"/>
      <c r="AC267" s="25"/>
    </row>
    <row r="268">
      <c r="A268" s="24" t="str">
        <f>'DE ( Tarik barang retur )'!AC245</f>
        <v>AWBR-13059-2026-6-3-01</v>
      </c>
      <c r="B268" s="24" t="str">
        <f>'DE ( Tarik barang retur )'!F245</f>
        <v>Apotek K24 Jatirahayu Jatirahayu Pondok Melati</v>
      </c>
      <c r="C268" s="35">
        <f>'DE ( Tarik barang retur )'!G245</f>
        <v>6.28228E+17</v>
      </c>
      <c r="D268" s="24" t="str">
        <f>'DE ( Tarik barang retur )'!H245</f>
        <v>Jl Raya Hankam No. 114 Kel. Jatirahayu Kec. Pondok Melati Kota Bekasi</v>
      </c>
      <c r="E268" s="24" t="str">
        <f>'DE ( Tarik barang retur )'!D245</f>
        <v>26042501345744swRGgRUAf</v>
      </c>
      <c r="F268" s="24" t="str">
        <f>'DE ( Tarik barang retur )'!R245</f>
        <v>TMP-INV-2026/04/25/ 2677611STREPSILS WITH HONEY and LEMON Reckitt Benckiser TABLET HISAP DUS, 2 ALUMINIUM FOIL @ 6 TABLET HISAPTarik Barang Retur</v>
      </c>
      <c r="G268" s="36">
        <f>'DE ( Tarik barang retur )'!AF245</f>
        <v>46176</v>
      </c>
      <c r="H268" s="22">
        <v>46191.0</v>
      </c>
      <c r="I268" s="21"/>
      <c r="J268" s="21" t="s">
        <v>5295</v>
      </c>
      <c r="K268" s="24"/>
      <c r="L268" s="25"/>
      <c r="M268" s="25"/>
      <c r="N268" s="25"/>
      <c r="O268" s="25"/>
      <c r="P268" s="25"/>
      <c r="Q268" s="25"/>
      <c r="R268" s="25"/>
      <c r="S268" s="25"/>
      <c r="T268" s="25"/>
      <c r="U268" s="25"/>
      <c r="V268" s="25"/>
      <c r="W268" s="25"/>
      <c r="X268" s="25"/>
      <c r="Y268" s="25"/>
      <c r="Z268" s="25"/>
      <c r="AA268" s="25"/>
      <c r="AB268" s="25"/>
      <c r="AC268" s="25"/>
    </row>
    <row r="269">
      <c r="A269" s="24" t="str">
        <f>'DE ( Tarik barang retur )'!AC246</f>
        <v>AWBR-11847-2026-6-3-01</v>
      </c>
      <c r="B269" s="24" t="str">
        <f>'DE ( Tarik barang retur )'!F246</f>
        <v>Apotek K24 Metland Transyogi Limus Nunggal Cileungsi</v>
      </c>
      <c r="C269" s="35">
        <f>'DE ( Tarik barang retur )'!G246</f>
        <v>6.28198E+16</v>
      </c>
      <c r="D269" s="24" t="str">
        <f>'DE ( Tarik barang retur )'!H246</f>
        <v>Ruko Perumahan Taman Metropolitan Blok PTM 2 No. 10 Desa Limusnunggal Kec. Cileungsi Kab. Bogor</v>
      </c>
      <c r="E269" s="24" t="str">
        <f>'DE ( Tarik barang retur )'!D246</f>
        <v>26040302301621VFeuNYr1EJ</v>
      </c>
      <c r="F269" s="24" t="str">
        <f>'DE ( Tarik barang retur )'!R246</f>
        <v>TMP-INV-2026/04/03/ 2596343PEPTIBREN Sanghiang RASA KACANG HIJAU DUS, 3 SACHET @ 65 GTarik Barang Retur</v>
      </c>
      <c r="G269" s="36">
        <f>'DE ( Tarik barang retur )'!AF246</f>
        <v>46176</v>
      </c>
      <c r="H269" s="22">
        <v>46176.0</v>
      </c>
      <c r="I269" s="22">
        <v>46177.0</v>
      </c>
      <c r="J269" s="21" t="s">
        <v>5294</v>
      </c>
      <c r="K269" s="24"/>
      <c r="L269" s="25"/>
      <c r="M269" s="25"/>
      <c r="N269" s="25"/>
      <c r="O269" s="25"/>
      <c r="P269" s="25"/>
      <c r="Q269" s="25"/>
      <c r="R269" s="25"/>
      <c r="S269" s="25"/>
      <c r="T269" s="25"/>
      <c r="U269" s="25"/>
      <c r="V269" s="25"/>
      <c r="W269" s="25"/>
      <c r="X269" s="25"/>
      <c r="Y269" s="25"/>
      <c r="Z269" s="25"/>
      <c r="AA269" s="25"/>
      <c r="AB269" s="25"/>
      <c r="AC269" s="25"/>
    </row>
    <row r="270">
      <c r="A270" s="24" t="str">
        <f>'DE ( Tarik barang retur )'!AC247</f>
        <v>AWBR-13771-2026-6-3-01</v>
      </c>
      <c r="B270" s="24" t="str">
        <f>'DE ( Tarik barang retur )'!F247</f>
        <v>Apotek K24 Tajur Sindangsari Bogor Timur</v>
      </c>
      <c r="C270" s="35">
        <f>'DE ( Tarik barang retur )'!G247</f>
        <v>6.28381E+17</v>
      </c>
      <c r="D270" s="24" t="str">
        <f>'DE ( Tarik barang retur )'!H247</f>
        <v>Jl. Raya Wangun No. 242, Desa/Kelurahan Sindangsari, Kec. Bogor Timur, Kota Bogor</v>
      </c>
      <c r="E270" s="24" t="str">
        <f>'DE ( Tarik barang retur )'!D247</f>
        <v>26040703573913aN2zuKC4i</v>
      </c>
      <c r="F270" s="24" t="str">
        <f>'DE ( Tarik barang retur )'!R247</f>
        <v>TMP-INV-2026/04/07/ 2611703AMLODIPINE BESILATE Hexpharm TABLET 10 MG DUS, 10 STRIP @10 TABLETTarik Barang Retur</v>
      </c>
      <c r="G270" s="36">
        <f>'DE ( Tarik barang retur )'!AF247</f>
        <v>46176</v>
      </c>
      <c r="H270" s="22">
        <v>46176.0</v>
      </c>
      <c r="I270" s="22">
        <v>46178.0</v>
      </c>
      <c r="J270" s="21" t="s">
        <v>5294</v>
      </c>
      <c r="K270" s="24"/>
      <c r="L270" s="25"/>
      <c r="M270" s="25"/>
      <c r="N270" s="25"/>
      <c r="O270" s="25"/>
      <c r="P270" s="25"/>
      <c r="Q270" s="25"/>
      <c r="R270" s="25"/>
      <c r="S270" s="25"/>
      <c r="T270" s="25"/>
      <c r="U270" s="25"/>
      <c r="V270" s="25"/>
      <c r="W270" s="25"/>
      <c r="X270" s="25"/>
      <c r="Y270" s="25"/>
      <c r="Z270" s="25"/>
      <c r="AA270" s="25"/>
      <c r="AB270" s="25"/>
      <c r="AC270" s="25"/>
    </row>
    <row r="271">
      <c r="A271" s="24" t="str">
        <f>'DE ( Tarik barang retur )'!AC248</f>
        <v>AWBR-4138-2026-6-3-01</v>
      </c>
      <c r="B271" s="24" t="str">
        <f>'DE ( Tarik barang retur )'!F248</f>
        <v>Apotek Naf Sya Farma</v>
      </c>
      <c r="C271" s="35">
        <f>'DE ( Tarik barang retur )'!G248</f>
        <v>6.28121E+17</v>
      </c>
      <c r="D271" s="24" t="str">
        <f>'DE ( Tarik barang retur )'!H248</f>
        <v>Jl.Hanjawar-Pacet Kp.Pasir Tingkik RT002 RW005 Desa Sukanagalih Kec.Pacet Kab.Cianjur Jawa Barat 43253</v>
      </c>
      <c r="E271" s="24" t="str">
        <f>'DE ( Tarik barang retur )'!D248</f>
        <v>260324222833038SAHEkvl2</v>
      </c>
      <c r="F271" s="24" t="str">
        <f>'DE ( Tarik barang retur )'!R248</f>
        <v>TMP-INV-2026/03/25/ 2564798BIO-OIL Radiant Sentral Nutrindo CAIR DUS, BOTOL 25 ML / JOHNSON`S BABY BEDTIME 2-IN-1 HAIR &amp; BODY BATH Johnson BOTOL, 200 MLTarik Barang Damaged</v>
      </c>
      <c r="G271" s="36">
        <f>'DE ( Tarik barang retur )'!AF248</f>
        <v>46176</v>
      </c>
      <c r="H271" s="22">
        <v>46180.0</v>
      </c>
      <c r="I271" s="22">
        <v>46183.0</v>
      </c>
      <c r="J271" s="21" t="s">
        <v>5294</v>
      </c>
      <c r="K271" s="24"/>
      <c r="L271" s="25"/>
      <c r="M271" s="25"/>
      <c r="N271" s="25"/>
      <c r="O271" s="25"/>
      <c r="P271" s="25"/>
      <c r="Q271" s="25"/>
      <c r="R271" s="25"/>
      <c r="S271" s="25"/>
      <c r="T271" s="25"/>
      <c r="U271" s="25"/>
      <c r="V271" s="25"/>
      <c r="W271" s="25"/>
      <c r="X271" s="25"/>
      <c r="Y271" s="25"/>
      <c r="Z271" s="25"/>
      <c r="AA271" s="25"/>
      <c r="AB271" s="25"/>
      <c r="AC271" s="25"/>
    </row>
    <row r="272">
      <c r="A272" s="24" t="str">
        <f>'DE ( Tarik barang retur )'!AC249</f>
        <v>AWBR-2278-2026-6-3-01</v>
      </c>
      <c r="B272" s="24" t="str">
        <f>'DE ( Tarik barang retur )'!F249</f>
        <v>Apotek Nurul Cireundeu</v>
      </c>
      <c r="C272" s="35">
        <f>'DE ( Tarik barang retur )'!G249</f>
        <v>85888407675</v>
      </c>
      <c r="D272" s="24" t="str">
        <f>'DE ( Tarik barang retur )'!H249</f>
        <v>Jalan Gunung Raya No. 27A RT 001 RW 011 Kelurahan Cireundeu Kecamatan Ciputat Timur Tangerang Selatan 15419</v>
      </c>
      <c r="E272" s="24" t="str">
        <f>'DE ( Tarik barang retur )'!D249</f>
        <v>260519033721717O6raluZb</v>
      </c>
      <c r="F272" s="24" t="str">
        <f>'DE ( Tarik barang retur )'!R249</f>
        <v>TMP-INV-2026/05/19/ 2762450STIMUNO RASA ANGGUR Dexa Medica SIRUP DUS, BOTOL @ 100 MLTarik Barang Retur</v>
      </c>
      <c r="G272" s="36">
        <f>'DE ( Tarik barang retur )'!AF249</f>
        <v>46176</v>
      </c>
      <c r="H272" s="22">
        <v>46176.0</v>
      </c>
      <c r="I272" s="22">
        <v>46177.0</v>
      </c>
      <c r="J272" s="21" t="s">
        <v>5294</v>
      </c>
      <c r="K272" s="24"/>
      <c r="L272" s="25"/>
      <c r="M272" s="25"/>
      <c r="N272" s="25"/>
      <c r="O272" s="25"/>
      <c r="P272" s="25"/>
      <c r="Q272" s="25"/>
      <c r="R272" s="25"/>
      <c r="S272" s="25"/>
      <c r="T272" s="25"/>
      <c r="U272" s="25"/>
      <c r="V272" s="25"/>
      <c r="W272" s="25"/>
      <c r="X272" s="25"/>
      <c r="Y272" s="25"/>
      <c r="Z272" s="25"/>
      <c r="AA272" s="25"/>
      <c r="AB272" s="25"/>
      <c r="AC272" s="25"/>
    </row>
    <row r="273">
      <c r="A273" s="24" t="str">
        <f>'DE ( Tarik barang retur )'!AC250</f>
        <v>AWBR-9487-2026-6-3-01</v>
      </c>
      <c r="B273" s="24" t="str">
        <f>'DE ( Tarik barang retur )'!F250</f>
        <v>Apotek Pharmart Bendungan Hilir Tanah Abang</v>
      </c>
      <c r="C273" s="35">
        <f>'DE ( Tarik barang retur )'!G250</f>
        <v>6.28212E+17</v>
      </c>
      <c r="D273" s="24" t="str">
        <f>'DE ( Tarik barang retur )'!H250</f>
        <v>Jalan Danau Poso No. 156, RT/RW 008/004, Kel. Bendungan Hilir, Kec. Tanah Abang, Jakarta Pusat, 10210</v>
      </c>
      <c r="E273" s="24" t="str">
        <f>'DE ( Tarik barang retur )'!D250</f>
        <v>25031701544526DUETzdhNH1</v>
      </c>
      <c r="F273" s="24" t="str">
        <f>'DE ( Tarik barang retur )'!R250</f>
        <v>TMP-INV-2025/03/17/ 1430969AMOXICILLIN Hexpharm SIRUP KERING 125 MG/5 mL BOTOL 60 MLTarik Barang Retur</v>
      </c>
      <c r="G273" s="36">
        <f>'DE ( Tarik barang retur )'!AF250</f>
        <v>46176</v>
      </c>
      <c r="H273" s="22">
        <v>46183.0</v>
      </c>
      <c r="I273" s="22">
        <v>46184.0</v>
      </c>
      <c r="J273" s="21" t="s">
        <v>5294</v>
      </c>
      <c r="K273" s="24"/>
      <c r="L273" s="25"/>
      <c r="M273" s="25"/>
      <c r="N273" s="25"/>
      <c r="O273" s="25"/>
      <c r="P273" s="25"/>
      <c r="Q273" s="25"/>
      <c r="R273" s="25"/>
      <c r="S273" s="25"/>
      <c r="T273" s="25"/>
      <c r="U273" s="25"/>
      <c r="V273" s="25"/>
      <c r="W273" s="25"/>
      <c r="X273" s="25"/>
      <c r="Y273" s="25"/>
      <c r="Z273" s="25"/>
      <c r="AA273" s="25"/>
      <c r="AB273" s="25"/>
      <c r="AC273" s="25"/>
    </row>
    <row r="274">
      <c r="A274" s="24" t="str">
        <f>'DE ( Tarik barang retur )'!AC251</f>
        <v>AWBR-10773-2026-6-3-01</v>
      </c>
      <c r="B274" s="24" t="str">
        <f>'DE ( Tarik barang retur )'!F251</f>
        <v>Apotek Prohexa Farma Kemang Kemang</v>
      </c>
      <c r="C274" s="35">
        <f>'DE ( Tarik barang retur )'!G251</f>
        <v>6.28123E+17</v>
      </c>
      <c r="D274" s="24" t="str">
        <f>'DE ( Tarik barang retur )'!H251</f>
        <v>Ruko Kemang D, Jl. Baru Kemang RT 002 RW 009, Desa/Kel. Kemang, Kec. Kemang, Kab. Bogor 16310</v>
      </c>
      <c r="E274" s="24" t="str">
        <f>'DE ( Tarik barang retur )'!D251</f>
        <v>25062203011469UxjPzHyJ80</v>
      </c>
      <c r="F274" s="24" t="str">
        <f>'DE ( Tarik barang retur )'!R251</f>
        <v>TMP-INV-2025/06/22/ 1677892NAPREX Darya-Varia DROPS DUS, BOTOL PLASTIK 15 MLTarik Barang Retur</v>
      </c>
      <c r="G274" s="36">
        <f>'DE ( Tarik barang retur )'!AF251</f>
        <v>46176</v>
      </c>
      <c r="H274" s="22">
        <v>46176.0</v>
      </c>
      <c r="I274" s="22">
        <v>46177.0</v>
      </c>
      <c r="J274" s="21" t="s">
        <v>5294</v>
      </c>
      <c r="K274" s="24"/>
      <c r="L274" s="25"/>
      <c r="M274" s="25"/>
      <c r="N274" s="25"/>
      <c r="O274" s="25"/>
      <c r="P274" s="25"/>
      <c r="Q274" s="25"/>
      <c r="R274" s="25"/>
      <c r="S274" s="25"/>
      <c r="T274" s="25"/>
      <c r="U274" s="25"/>
      <c r="V274" s="25"/>
      <c r="W274" s="25"/>
      <c r="X274" s="25"/>
      <c r="Y274" s="25"/>
      <c r="Z274" s="25"/>
      <c r="AA274" s="25"/>
      <c r="AB274" s="25"/>
      <c r="AC274" s="25"/>
    </row>
    <row r="275">
      <c r="A275" s="24" t="str">
        <f>'DE ( Tarik barang retur )'!AC252</f>
        <v>AWBR-13565-2026-6-3-01</v>
      </c>
      <c r="B275" s="24" t="str">
        <f>'DE ( Tarik barang retur )'!F252</f>
        <v>Apotek Sabi Pharma Cilangkap Cipayung</v>
      </c>
      <c r="C275" s="35">
        <f>'DE ( Tarik barang retur )'!G252</f>
        <v>6.28121E+17</v>
      </c>
      <c r="D275" s="24" t="str">
        <f>'DE ( Tarik barang retur )'!H252</f>
        <v>Jl. Cilangkap Baru Blok R No. 3 RT 001 RW 001 Kel. Cilangkap Kec. Cipayung Kota Jakarta Timur</v>
      </c>
      <c r="E275" s="24" t="str">
        <f>'DE ( Tarik barang retur )'!D252</f>
        <v>260420013405228l4aLrj5E</v>
      </c>
      <c r="F275" s="24" t="str">
        <f>'DE ( Tarik barang retur )'!R252</f>
        <v>TMP-INV-2026/04/20/ 2658246Semua Barang di Faktur TMP-INV-2026/04/20/ 2658246Tarik Barang Damaged</v>
      </c>
      <c r="G275" s="36">
        <f>'DE ( Tarik barang retur )'!AF252</f>
        <v>46176</v>
      </c>
      <c r="H275" s="22">
        <v>46177.0</v>
      </c>
      <c r="I275" s="22">
        <v>46178.0</v>
      </c>
      <c r="J275" s="21" t="s">
        <v>5294</v>
      </c>
      <c r="K275" s="24"/>
      <c r="L275" s="25"/>
      <c r="M275" s="25"/>
      <c r="N275" s="25"/>
      <c r="O275" s="25"/>
      <c r="P275" s="25"/>
      <c r="Q275" s="25"/>
      <c r="R275" s="25"/>
      <c r="S275" s="25"/>
      <c r="T275" s="25"/>
      <c r="U275" s="25"/>
      <c r="V275" s="25"/>
      <c r="W275" s="25"/>
      <c r="X275" s="25"/>
      <c r="Y275" s="25"/>
      <c r="Z275" s="25"/>
      <c r="AA275" s="25"/>
      <c r="AB275" s="25"/>
      <c r="AC275" s="25"/>
    </row>
    <row r="276">
      <c r="A276" s="24" t="str">
        <f>'DE ( Tarik barang retur )'!AC253</f>
        <v>AWBR-15199-2026-6-3-01</v>
      </c>
      <c r="B276" s="24" t="str">
        <f>'DE ( Tarik barang retur )'!F253</f>
        <v>Apotek Sarasehat Jagakarsa Jagakarsa</v>
      </c>
      <c r="C276" s="35">
        <f>'DE ( Tarik barang retur )'!G253</f>
        <v>6.28572E+17</v>
      </c>
      <c r="D276" s="24" t="str">
        <f>'DE ( Tarik barang retur )'!H253</f>
        <v>Jalan Mohamad Kahfi II No. 69 RT06 RW05, Desa/Kelurahan Srengseng Sawah, Kec. Jagakarsa, Kota Adm. Jakarta Selatan</v>
      </c>
      <c r="E276" s="24" t="str">
        <f>'DE ( Tarik barang retur )'!D253</f>
        <v>2604211024327919db9aB1ua</v>
      </c>
      <c r="F276" s="24" t="str">
        <f>'DE ( Tarik barang retur )'!R253</f>
        <v>TMP-INV-2026/04/22/ 2666589THROMBOPHOB Tunggal Idaman GEL DUS, 1 TUBE @ 20 GTarik Barang Retur</v>
      </c>
      <c r="G276" s="36">
        <f>'DE ( Tarik barang retur )'!AF253</f>
        <v>46176</v>
      </c>
      <c r="H276" s="22">
        <v>46180.0</v>
      </c>
      <c r="I276" s="22">
        <v>46182.0</v>
      </c>
      <c r="J276" s="21" t="s">
        <v>5294</v>
      </c>
      <c r="K276" s="24"/>
      <c r="L276" s="25"/>
      <c r="M276" s="25"/>
      <c r="N276" s="25"/>
      <c r="O276" s="25"/>
      <c r="P276" s="25"/>
      <c r="Q276" s="25"/>
      <c r="R276" s="25"/>
      <c r="S276" s="25"/>
      <c r="T276" s="25"/>
      <c r="U276" s="25"/>
      <c r="V276" s="25"/>
      <c r="W276" s="25"/>
      <c r="X276" s="25"/>
      <c r="Y276" s="25"/>
      <c r="Z276" s="25"/>
      <c r="AA276" s="25"/>
      <c r="AB276" s="25"/>
      <c r="AC276" s="25"/>
    </row>
    <row r="277">
      <c r="A277" s="24" t="str">
        <f>'DE ( Tarik barang retur )'!AC254</f>
        <v>AWBR-11155-2026-6-3-01</v>
      </c>
      <c r="B277" s="24" t="str">
        <f>'DE ( Tarik barang retur )'!F254</f>
        <v>Apotek Tumbuh Sehat Mekar Jaya Sukmajaya</v>
      </c>
      <c r="C277" s="35">
        <f>'DE ( Tarik barang retur )'!G254</f>
        <v>6.28132E+17</v>
      </c>
      <c r="D277" s="24" t="str">
        <f>'DE ( Tarik barang retur )'!H254</f>
        <v>Jl. Tole iskandar No 12A RT 001/001 Kel. Mekarjaya Kec. Sukmajaya Depok 16411</v>
      </c>
      <c r="E277" s="24" t="str">
        <f>'DE ( Tarik barang retur )'!D254</f>
        <v>240413010454708KjH6viGrx</v>
      </c>
      <c r="F277" s="24" t="str">
        <f>'DE ( Tarik barang retur )'!R254</f>
        <v>TMP-INV-2024/04/13/ 726060DIPROGENTA Organon SALEP DUS, TUBE @ 10 GTarik Barang Retur</v>
      </c>
      <c r="G277" s="36">
        <f>'DE ( Tarik barang retur )'!AF254</f>
        <v>46176</v>
      </c>
      <c r="H277" s="22">
        <v>46177.0</v>
      </c>
      <c r="I277" s="22">
        <v>46178.0</v>
      </c>
      <c r="J277" s="21" t="s">
        <v>5294</v>
      </c>
      <c r="K277" s="24"/>
      <c r="L277" s="25"/>
      <c r="M277" s="25"/>
      <c r="N277" s="25"/>
      <c r="O277" s="25"/>
      <c r="P277" s="25"/>
      <c r="Q277" s="25"/>
      <c r="R277" s="25"/>
      <c r="S277" s="25"/>
      <c r="T277" s="25"/>
      <c r="U277" s="25"/>
      <c r="V277" s="25"/>
      <c r="W277" s="25"/>
      <c r="X277" s="25"/>
      <c r="Y277" s="25"/>
      <c r="Z277" s="25"/>
      <c r="AA277" s="25"/>
      <c r="AB277" s="25"/>
      <c r="AC277" s="25"/>
    </row>
    <row r="278">
      <c r="A278" s="24" t="str">
        <f>'DE ( Tarik barang retur )'!AC255</f>
        <v>AWBR-12695-2026-6-3-01</v>
      </c>
      <c r="B278" s="24" t="str">
        <f>'DE ( Tarik barang retur )'!F255</f>
        <v>Klinik Pratama Ali Muchtar Sukapura Cilincing</v>
      </c>
      <c r="C278" s="35">
        <f>'DE ( Tarik barang retur )'!G255</f>
        <v>6.28527E+17</v>
      </c>
      <c r="D278" s="24" t="str">
        <f>'DE ( Tarik barang retur )'!H255</f>
        <v>Gg SMA 83 no 318 RT 3 RW 4 Kelurahan Sukapura, Kecamatan Cilincing,Kota Administrasi Jakarta Utara</v>
      </c>
      <c r="E278" s="24" t="str">
        <f>'DE ( Tarik barang retur )'!D255</f>
        <v>26040701291730gTqw5CCSMc</v>
      </c>
      <c r="F278" s="24" t="str">
        <f>'DE ( Tarik barang retur )'!R255</f>
        <v>TMP-INV-2026/04/07/ 2610675BIOPLACENTON Kalbe GEL DUS, 1 TUBE @ 15 GTarik Barang Retur</v>
      </c>
      <c r="G278" s="36">
        <f>'DE ( Tarik barang retur )'!AF255</f>
        <v>46176</v>
      </c>
      <c r="H278" s="22">
        <v>46176.0</v>
      </c>
      <c r="I278" s="22">
        <v>46177.0</v>
      </c>
      <c r="J278" s="21" t="s">
        <v>5294</v>
      </c>
      <c r="K278" s="24"/>
      <c r="L278" s="25"/>
      <c r="M278" s="25"/>
      <c r="N278" s="25"/>
      <c r="O278" s="25"/>
      <c r="P278" s="25"/>
      <c r="Q278" s="25"/>
      <c r="R278" s="25"/>
      <c r="S278" s="25"/>
      <c r="T278" s="25"/>
      <c r="U278" s="25"/>
      <c r="V278" s="25"/>
      <c r="W278" s="25"/>
      <c r="X278" s="25"/>
      <c r="Y278" s="25"/>
      <c r="Z278" s="25"/>
      <c r="AA278" s="25"/>
      <c r="AB278" s="25"/>
      <c r="AC278" s="25"/>
    </row>
    <row r="279">
      <c r="A279" s="24" t="str">
        <f>'DE ( Tarik barang retur )'!AC256</f>
        <v>AWBR-2288-2026-6-4-01</v>
      </c>
      <c r="B279" s="24" t="str">
        <f>'DE ( Tarik barang retur )'!F256</f>
        <v>Apotek Ainun</v>
      </c>
      <c r="C279" s="35">
        <f>'DE ( Tarik barang retur )'!G256</f>
        <v>81314522941</v>
      </c>
      <c r="D279" s="24" t="str">
        <f>'DE ( Tarik barang retur )'!H256</f>
        <v>Jalan Raya Parung Gunung Sindur No. 23 Desa Parung Kecamatan Parung Kabupaten Bogor 16330</v>
      </c>
      <c r="E279" s="24" t="str">
        <f>'DE ( Tarik barang retur )'!D256</f>
        <v>26052902550601EoPuRVczA</v>
      </c>
      <c r="F279" s="24" t="str">
        <f>'DE ( Tarik barang retur )'!R256</f>
        <v>TMP-INV-2026/05/29/ 2796206 / TMP-INV-2026/05/29/ 2796204 HANSAPLAST KAIN ELASTIS JUMBO Beiersdorf DUS, 50 LEMBAR (32 x 65 mm) / BALSEM LANG Eagle Indo DUS, POT KACA @ 40 G Tarik Barang Retur</v>
      </c>
      <c r="G279" s="36">
        <f>'DE ( Tarik barang retur )'!AF256</f>
        <v>46177</v>
      </c>
      <c r="H279" s="22">
        <v>46177.0</v>
      </c>
      <c r="I279" s="22">
        <v>46178.0</v>
      </c>
      <c r="J279" s="21" t="s">
        <v>5294</v>
      </c>
      <c r="K279" s="24"/>
      <c r="L279" s="25"/>
      <c r="M279" s="25"/>
      <c r="N279" s="25"/>
      <c r="O279" s="25"/>
      <c r="P279" s="25"/>
      <c r="Q279" s="25"/>
      <c r="R279" s="25"/>
      <c r="S279" s="25"/>
      <c r="T279" s="25"/>
      <c r="U279" s="25"/>
      <c r="V279" s="25"/>
      <c r="W279" s="25"/>
      <c r="X279" s="25"/>
      <c r="Y279" s="25"/>
      <c r="Z279" s="25"/>
      <c r="AA279" s="25"/>
      <c r="AB279" s="25"/>
      <c r="AC279" s="25"/>
    </row>
    <row r="280">
      <c r="A280" s="24" t="str">
        <f>'DE ( Tarik barang retur )'!AC257</f>
        <v>AWBR-12411-2026-6-4-01</v>
      </c>
      <c r="B280" s="24" t="str">
        <f>'DE ( Tarik barang retur )'!F257</f>
        <v>Apotek Bintang Sehat 1 Jayamulya Serang Baru</v>
      </c>
      <c r="C280" s="35">
        <f>'DE ( Tarik barang retur )'!G257</f>
        <v>6.28199E+17</v>
      </c>
      <c r="D280" s="24" t="str">
        <f>'DE ( Tarik barang retur )'!H257</f>
        <v>Perum Grand Vista Blok D1 RT 003 RW 009 Desa Jayamulya Kec. Serang Baru Kab. Bekasi</v>
      </c>
      <c r="E280" s="24" t="str">
        <f>'DE ( Tarik barang retur )'!D257</f>
        <v>26052902313631VAGhCAZfU</v>
      </c>
      <c r="F280" s="24" t="str">
        <f>'DE ( Tarik barang retur )'!R257</f>
        <v>TMP-INV-2026/05/29/ 2795610 RHINOFED Dexa Medica SIRUP DUS, 1 BOTOL @ 60 ML / RHINOFED Dexa Medica TABLET DUS, 5 STRIP @ 10 TABLET Tarik Barang Retur</v>
      </c>
      <c r="G280" s="36">
        <f>'DE ( Tarik barang retur )'!AF257</f>
        <v>46177</v>
      </c>
      <c r="H280" s="22">
        <v>46178.0</v>
      </c>
      <c r="I280" s="22">
        <v>46179.0</v>
      </c>
      <c r="J280" s="21" t="s">
        <v>5294</v>
      </c>
      <c r="K280" s="24"/>
      <c r="L280" s="25"/>
      <c r="M280" s="25"/>
      <c r="N280" s="25"/>
      <c r="O280" s="25"/>
      <c r="P280" s="25"/>
      <c r="Q280" s="25"/>
      <c r="R280" s="25"/>
      <c r="S280" s="25"/>
      <c r="T280" s="25"/>
      <c r="U280" s="25"/>
      <c r="V280" s="25"/>
      <c r="W280" s="25"/>
      <c r="X280" s="25"/>
      <c r="Y280" s="25"/>
      <c r="Z280" s="25"/>
      <c r="AA280" s="25"/>
      <c r="AB280" s="25"/>
      <c r="AC280" s="25"/>
    </row>
    <row r="281">
      <c r="A281" s="24" t="str">
        <f>'DE ( Tarik barang retur )'!AC258</f>
        <v>AWBR-2649-2026-6-4-01</v>
      </c>
      <c r="B281" s="24" t="str">
        <f>'DE ( Tarik barang retur )'!F258</f>
        <v>Apotek Clara Jaya</v>
      </c>
      <c r="C281" s="35">
        <f>'DE ( Tarik barang retur )'!G258</f>
        <v>6.28575E+17</v>
      </c>
      <c r="D281" s="24" t="str">
        <f>'DE ( Tarik barang retur )'!H258</f>
        <v>Jalan Monumen Pancasila Sakti RT 007 RW 002 Kelurahan Lubang Buaya Kecamatan Cipayung Jakarta Timur 13810</v>
      </c>
      <c r="E281" s="24" t="str">
        <f>'DE ( Tarik barang retur )'!D258</f>
        <v>26052903465053o3OgTv3eP</v>
      </c>
      <c r="F281" s="24" t="str">
        <f>'DE ( Tarik barang retur )'!R258</f>
        <v>TMP-INV-2026/05/29/ 2796242 SOPROS Erlimpex TABLET DUS, 3 STRIP @ 10 TABLET Tarik Barang Retur</v>
      </c>
      <c r="G281" s="36">
        <f>'DE ( Tarik barang retur )'!AF258</f>
        <v>46177</v>
      </c>
      <c r="H281" s="22">
        <v>46178.0</v>
      </c>
      <c r="I281" s="22">
        <v>46179.0</v>
      </c>
      <c r="J281" s="21" t="s">
        <v>5294</v>
      </c>
      <c r="K281" s="24"/>
      <c r="L281" s="25"/>
      <c r="M281" s="25"/>
      <c r="N281" s="25"/>
      <c r="O281" s="25"/>
      <c r="P281" s="25"/>
      <c r="Q281" s="25"/>
      <c r="R281" s="25"/>
      <c r="S281" s="25"/>
      <c r="T281" s="25"/>
      <c r="U281" s="25"/>
      <c r="V281" s="25"/>
      <c r="W281" s="25"/>
      <c r="X281" s="25"/>
      <c r="Y281" s="25"/>
      <c r="Z281" s="25"/>
      <c r="AA281" s="25"/>
      <c r="AB281" s="25"/>
      <c r="AC281" s="25"/>
    </row>
    <row r="282">
      <c r="A282" s="24" t="str">
        <f>'DE ( Tarik barang retur )'!AC259</f>
        <v>AWBR-16587-2026-6-4-01</v>
      </c>
      <c r="B282" s="24" t="str">
        <f>'DE ( Tarik barang retur )'!F259</f>
        <v>Apotek Fatih Jatibening Baru Pondok Gede</v>
      </c>
      <c r="C282" s="35">
        <f>'DE ( Tarik barang retur )'!G259</f>
        <v>6.28121E+17</v>
      </c>
      <c r="D282" s="24" t="str">
        <f>'DE ( Tarik barang retur )'!H259</f>
        <v>Jl. Lampiri Raya No.108 B Desa/Kelurahan Jatibening Baru,Kecamatan Pondok Gede, Kota Bekasi, Jawa Barat, 17412</v>
      </c>
      <c r="E282" s="24" t="str">
        <f>'DE ( Tarik barang retur )'!D259</f>
        <v>260531004734358vfPNEXzm</v>
      </c>
      <c r="F282" s="24" t="str">
        <f>'DE ( Tarik barang retur )'!R259</f>
        <v>TMP-INV-2026/06/01/ 2804717 BECOM C Sanbe KAPLET DUS, 10 STRIP @ 10 KAPLET SALUT SELAPUT Tarik Barang Retur</v>
      </c>
      <c r="G282" s="36">
        <f>'DE ( Tarik barang retur )'!AF259</f>
        <v>46177</v>
      </c>
      <c r="H282" s="22">
        <v>46178.0</v>
      </c>
      <c r="I282" s="22">
        <v>46179.0</v>
      </c>
      <c r="J282" s="21" t="s">
        <v>5294</v>
      </c>
      <c r="K282" s="24"/>
      <c r="L282" s="25"/>
      <c r="M282" s="25"/>
      <c r="N282" s="25"/>
      <c r="O282" s="25"/>
      <c r="P282" s="25"/>
      <c r="Q282" s="25"/>
      <c r="R282" s="25"/>
      <c r="S282" s="25"/>
      <c r="T282" s="25"/>
      <c r="U282" s="25"/>
      <c r="V282" s="25"/>
      <c r="W282" s="25"/>
      <c r="X282" s="25"/>
      <c r="Y282" s="25"/>
      <c r="Z282" s="25"/>
      <c r="AA282" s="25"/>
      <c r="AB282" s="25"/>
      <c r="AC282" s="25"/>
    </row>
    <row r="283">
      <c r="A283" s="24" t="str">
        <f>'DE ( Tarik barang retur )'!AC260</f>
        <v>AWBR-10958-2026-6-4-01</v>
      </c>
      <c r="B283" s="24" t="str">
        <f>'DE ( Tarik barang retur )'!F260</f>
        <v>Apotek Gold Sukamahi Cikarang Pusat</v>
      </c>
      <c r="C283" s="35">
        <f>'DE ( Tarik barang retur )'!G260</f>
        <v>6.2881E+17</v>
      </c>
      <c r="D283" s="24" t="str">
        <f>'DE ( Tarik barang retur )'!H260</f>
        <v>Kp. Cimahi RT.006 RW.003 Desa Sukamahi, Kec. Cikarang Pusat, Kabupaten Bekasi 17531</v>
      </c>
      <c r="E283" s="24" t="str">
        <f>'DE ( Tarik barang retur )'!D260</f>
        <v>260413064541601pWbJxdkun</v>
      </c>
      <c r="F283" s="24" t="str">
        <f>'DE ( Tarik barang retur )'!R260</f>
        <v>TMP-INV-2026/04/14/ 2635275 BREATHY NASAL DROPS Novell TETES HIDUNG DUS, 1 BOTOL PLASTIK @ 30 ML Tarik Barang Damaged</v>
      </c>
      <c r="G283" s="36">
        <f>'DE ( Tarik barang retur )'!AF260</f>
        <v>46177</v>
      </c>
      <c r="H283" s="22">
        <v>46178.0</v>
      </c>
      <c r="I283" s="22">
        <v>46179.0</v>
      </c>
      <c r="J283" s="21" t="s">
        <v>5294</v>
      </c>
      <c r="K283" s="24"/>
      <c r="L283" s="25"/>
      <c r="M283" s="25"/>
      <c r="N283" s="25"/>
      <c r="O283" s="25"/>
      <c r="P283" s="25"/>
      <c r="Q283" s="25"/>
      <c r="R283" s="25"/>
      <c r="S283" s="25"/>
      <c r="T283" s="25"/>
      <c r="U283" s="25"/>
      <c r="V283" s="25"/>
      <c r="W283" s="25"/>
      <c r="X283" s="25"/>
      <c r="Y283" s="25"/>
      <c r="Z283" s="25"/>
      <c r="AA283" s="25"/>
      <c r="AB283" s="25"/>
      <c r="AC283" s="25"/>
    </row>
    <row r="284">
      <c r="A284" s="24" t="str">
        <f>'DE ( Tarik barang retur )'!AC261</f>
        <v>AWBR-1148-2026-6-4-01</v>
      </c>
      <c r="B284" s="24" t="str">
        <f>'DE ( Tarik barang retur )'!F261</f>
        <v>Apotek Harrison Jonggol</v>
      </c>
      <c r="C284" s="35">
        <f>'DE ( Tarik barang retur )'!G261</f>
        <v>81350752017</v>
      </c>
      <c r="D284" s="24" t="str">
        <f>'DE ( Tarik barang retur )'!H261</f>
        <v>Jalan Raya Letkol Murlin Kp Menan RT 001 RW 004 Desa Sukamaju Kecamatan Jonggol Kab Bogor 16830</v>
      </c>
      <c r="E284" s="24" t="str">
        <f>'DE ( Tarik barang retur )'!D261</f>
        <v>260415022710165KmNwTs5gs</v>
      </c>
      <c r="F284" s="24" t="str">
        <f>'DE ( Tarik barang retur )'!R261</f>
        <v>TMP-INV-2026/04/15/ 2641112 PRORIS Pharos SUSPENSI DUS, 1 BOTOL @ 60 ML / SAN-B-PLEX PEDIATRIK Sanbe DROPS DUS, BOTOL KACA 15 ML Tarik Barang Damaged</v>
      </c>
      <c r="G284" s="36">
        <f>'DE ( Tarik barang retur )'!AF261</f>
        <v>46177</v>
      </c>
      <c r="H284" s="22">
        <v>46177.0</v>
      </c>
      <c r="I284" s="22">
        <v>46179.0</v>
      </c>
      <c r="J284" s="21" t="s">
        <v>5294</v>
      </c>
      <c r="K284" s="24"/>
      <c r="L284" s="25"/>
      <c r="M284" s="25"/>
      <c r="N284" s="25"/>
      <c r="O284" s="25"/>
      <c r="P284" s="25"/>
      <c r="Q284" s="25"/>
      <c r="R284" s="25"/>
      <c r="S284" s="25"/>
      <c r="T284" s="25"/>
      <c r="U284" s="25"/>
      <c r="V284" s="25"/>
      <c r="W284" s="25"/>
      <c r="X284" s="25"/>
      <c r="Y284" s="25"/>
      <c r="Z284" s="25"/>
      <c r="AA284" s="25"/>
      <c r="AB284" s="25"/>
      <c r="AC284" s="25"/>
    </row>
    <row r="285">
      <c r="A285" s="24" t="str">
        <f>'DE ( Tarik barang retur )'!AC262</f>
        <v>AWBR-13036-2026-6-4-01</v>
      </c>
      <c r="B285" s="24" t="str">
        <f>'DE ( Tarik barang retur )'!F262</f>
        <v>Apotek Harrison Legenda Wisata Nagrak Gunung Putri</v>
      </c>
      <c r="C285" s="35">
        <f>'DE ( Tarik barang retur )'!G262</f>
        <v>6.28213E+17</v>
      </c>
      <c r="D285" s="24" t="str">
        <f>'DE ( Tarik barang retur )'!H262</f>
        <v>Ruko Lumibiz Legenda Wisata Blok. U12 No. 20-21 , Desa/Kel. Nagrak, Kec. Gunung Putri, Kab. Bogor</v>
      </c>
      <c r="E285" s="24" t="str">
        <f>'DE ( Tarik barang retur )'!D262</f>
        <v>260416072440598XGAgLNKy</v>
      </c>
      <c r="F285" s="24" t="str">
        <f>'DE ( Tarik barang retur )'!R262</f>
        <v>TMP-INV-2026/04/17/ 2646314 TELFAST PLUS Kalventis TABLET DUS, 10 BLISTER @ 10 TABLET PELEPASAN LAMBAT Tarik Barang Damaged</v>
      </c>
      <c r="G285" s="36">
        <f>'DE ( Tarik barang retur )'!AF262</f>
        <v>46177</v>
      </c>
      <c r="H285" s="22">
        <v>46177.0</v>
      </c>
      <c r="I285" s="22">
        <v>46179.0</v>
      </c>
      <c r="J285" s="21" t="s">
        <v>5294</v>
      </c>
      <c r="K285" s="24"/>
      <c r="L285" s="25"/>
      <c r="M285" s="25"/>
      <c r="N285" s="25"/>
      <c r="O285" s="25"/>
      <c r="P285" s="25"/>
      <c r="Q285" s="25"/>
      <c r="R285" s="25"/>
      <c r="S285" s="25"/>
      <c r="T285" s="25"/>
      <c r="U285" s="25"/>
      <c r="V285" s="25"/>
      <c r="W285" s="25"/>
      <c r="X285" s="25"/>
      <c r="Y285" s="25"/>
      <c r="Z285" s="25"/>
      <c r="AA285" s="25"/>
      <c r="AB285" s="25"/>
      <c r="AC285" s="25"/>
    </row>
    <row r="286">
      <c r="A286" s="24" t="str">
        <f>'DE ( Tarik barang retur )'!AC263</f>
        <v>AWBR-1249-2026-6-4-01</v>
      </c>
      <c r="B286" s="24" t="str">
        <f>'DE ( Tarik barang retur )'!F263</f>
        <v>Apotek K24 Anggrek Cikarang Baru</v>
      </c>
      <c r="C286" s="35">
        <f>'DE ( Tarik barang retur )'!G263</f>
        <v>87877209076</v>
      </c>
      <c r="D286" s="24" t="str">
        <f>'DE ( Tarik barang retur )'!H263</f>
        <v>Jalan Anggrek Kaviling B1 No.23 Kelurahan Mekarmukti Kecamatan Cikarang Utara Kabupaten Bekasi 17530</v>
      </c>
      <c r="E286" s="24" t="str">
        <f>'DE ( Tarik barang retur )'!D263</f>
        <v>26041701520562jPjnNpSp2</v>
      </c>
      <c r="F286" s="24" t="str">
        <f>'DE ( Tarik barang retur )'!R263</f>
        <v>TMP-INV-2026/04/17/ 2647169 / TMP-INV-2026/04/17/ 2647388 INERSON Interbat SALEP DUS, TUBE @ 15 G /INPEPSA Pratapa Nirmala SUSPENSI 500 MG/5 ML DUS, 1 BOTOL @ 100 ML / MICROLAX Pharos ENEMA DUS, 1 / NATUR-E WHITE Darya-Varia Kapsul DUS, 8 STRIP @ 4 KAPSUL LUNAK TUBE @ 5 ML Tarik Barang Damaged</v>
      </c>
      <c r="G286" s="36">
        <f>'DE ( Tarik barang retur )'!AF263</f>
        <v>46177</v>
      </c>
      <c r="H286" s="22">
        <v>46178.0</v>
      </c>
      <c r="I286" s="22">
        <v>46179.0</v>
      </c>
      <c r="J286" s="21" t="s">
        <v>5294</v>
      </c>
      <c r="K286" s="24"/>
      <c r="L286" s="25"/>
      <c r="M286" s="25"/>
      <c r="N286" s="25"/>
      <c r="O286" s="25"/>
      <c r="P286" s="25"/>
      <c r="Q286" s="25"/>
      <c r="R286" s="25"/>
      <c r="S286" s="25"/>
      <c r="T286" s="25"/>
      <c r="U286" s="25"/>
      <c r="V286" s="25"/>
      <c r="W286" s="25"/>
      <c r="X286" s="25"/>
      <c r="Y286" s="25"/>
      <c r="Z286" s="25"/>
      <c r="AA286" s="25"/>
      <c r="AB286" s="25"/>
      <c r="AC286" s="25"/>
    </row>
    <row r="287">
      <c r="A287" s="24" t="str">
        <f>'DE ( Tarik barang retur )'!AC264</f>
        <v>AWBR-11472-2026-6-4-01</v>
      </c>
      <c r="B287" s="24" t="str">
        <f>'DE ( Tarik barang retur )'!F264</f>
        <v>Apotek K24 Aniva Gading Serpong Medang Pagedangan</v>
      </c>
      <c r="C287" s="35">
        <f>'DE ( Tarik barang retur )'!G264</f>
        <v>6.28111E+17</v>
      </c>
      <c r="D287" s="24" t="str">
        <f>'DE ( Tarik barang retur )'!H264</f>
        <v>Aniva Grande Blok G5 No 6, Desa/Kel. Medang, Kec. Pagedangan, Kab. Tangerang 15334</v>
      </c>
      <c r="E287" s="24" t="str">
        <f>'DE ( Tarik barang retur )'!D264</f>
        <v>260409035604150v0V7yPbLo</v>
      </c>
      <c r="F287" s="24" t="str">
        <f>'DE ( Tarik barang retur )'!R264</f>
        <v>TMP-INV-2026/04/09/ 2618796 HANSAPLAST SALEP LUKA Beiersdorf TUBE @ 50 G / STREPSILS WITH HONEY and LEMON Reckitt Benckiser TABLET HISAP DUS, 2 ALUMINIUM FOIL @ 6 TABLET HISAP Tarik Barang Retur</v>
      </c>
      <c r="G287" s="36">
        <f>'DE ( Tarik barang retur )'!AF264</f>
        <v>46177</v>
      </c>
      <c r="H287" s="22">
        <v>46177.0</v>
      </c>
      <c r="I287" s="22">
        <v>46178.0</v>
      </c>
      <c r="J287" s="21" t="s">
        <v>5294</v>
      </c>
      <c r="K287" s="24"/>
      <c r="L287" s="25"/>
      <c r="M287" s="25"/>
      <c r="N287" s="25"/>
      <c r="O287" s="25"/>
      <c r="P287" s="25"/>
      <c r="Q287" s="25"/>
      <c r="R287" s="25"/>
      <c r="S287" s="25"/>
      <c r="T287" s="25"/>
      <c r="U287" s="25"/>
      <c r="V287" s="25"/>
      <c r="W287" s="25"/>
      <c r="X287" s="25"/>
      <c r="Y287" s="25"/>
      <c r="Z287" s="25"/>
      <c r="AA287" s="25"/>
      <c r="AB287" s="25"/>
      <c r="AC287" s="25"/>
    </row>
    <row r="288">
      <c r="A288" s="24" t="str">
        <f>'DE ( Tarik barang retur )'!AC265</f>
        <v>AWBR-2144-2026-6-4-01</v>
      </c>
      <c r="B288" s="24" t="str">
        <f>'DE ( Tarik barang retur )'!F265</f>
        <v>Apotek Kreator Kesehatan</v>
      </c>
      <c r="C288" s="35">
        <f>'DE ( Tarik barang retur )'!G265</f>
        <v>81310304580</v>
      </c>
      <c r="D288" s="24" t="str">
        <f>'DE ( Tarik barang retur )'!H265</f>
        <v>Ruko Azores Banjar Wijaya Blok B-17A No. 33 Kelurahan Porsi Plawad Indah Kecamatan Cipondoh Kota Tangerang 15141</v>
      </c>
      <c r="E288" s="24" t="str">
        <f>'DE ( Tarik barang retur )'!D265</f>
        <v>26052909340236qLCP1dH7Aw</v>
      </c>
      <c r="F288" s="24" t="str">
        <f>'DE ( Tarik barang retur )'!R265</f>
        <v>TMP-INV-2026/05/30/ 2798723 ANTANGIN JRG + MADU Deltomed CAIRAN OBAT DALAM DUS, 5 SACHET@ 15 ML Tarik Barang Retur</v>
      </c>
      <c r="G288" s="36">
        <f>'DE ( Tarik barang retur )'!AF265</f>
        <v>46177</v>
      </c>
      <c r="H288" s="22">
        <v>46178.0</v>
      </c>
      <c r="I288" s="22">
        <v>46179.0</v>
      </c>
      <c r="J288" s="21" t="s">
        <v>5294</v>
      </c>
      <c r="K288" s="24"/>
      <c r="L288" s="25"/>
      <c r="M288" s="25"/>
      <c r="N288" s="25"/>
      <c r="O288" s="25"/>
      <c r="P288" s="25"/>
      <c r="Q288" s="25"/>
      <c r="R288" s="25"/>
      <c r="S288" s="25"/>
      <c r="T288" s="25"/>
      <c r="U288" s="25"/>
      <c r="V288" s="25"/>
      <c r="W288" s="25"/>
      <c r="X288" s="25"/>
      <c r="Y288" s="25"/>
      <c r="Z288" s="25"/>
      <c r="AA288" s="25"/>
      <c r="AB288" s="25"/>
      <c r="AC288" s="25"/>
    </row>
    <row r="289">
      <c r="A289" s="24" t="str">
        <f>'DE ( Tarik barang retur )'!AC266</f>
        <v>AWBR-334-2026-6-4-01</v>
      </c>
      <c r="B289" s="24" t="str">
        <f>'DE ( Tarik barang retur )'!F266</f>
        <v>Apotek Merapi</v>
      </c>
      <c r="C289" s="35">
        <f>'DE ( Tarik barang retur )'!G266</f>
        <v>2177833109</v>
      </c>
      <c r="D289" s="24" t="str">
        <f>'DE ( Tarik barang retur )'!H266</f>
        <v>Jalan Kejayaan Blok X No. 9 RT 006/ RW 012 Kelurahan Abadijaya, Kecamatan Sukmajaya Kota Depok 16417</v>
      </c>
      <c r="E289" s="24" t="str">
        <f>'DE ( Tarik barang retur )'!D266</f>
        <v>26052803311068rnUUcWlRMf</v>
      </c>
      <c r="F289" s="24" t="str">
        <f>'DE ( Tarik barang retur )'!R266</f>
        <v>TMP-INV-2026/05/28/ 2792484 TORAS Pharos TABLET 8 MG DUS,10 BLISTER @ 10 TABLET Tarik Barang Retur</v>
      </c>
      <c r="G289" s="36">
        <f>'DE ( Tarik barang retur )'!AF266</f>
        <v>46177</v>
      </c>
      <c r="H289" s="22">
        <v>46177.0</v>
      </c>
      <c r="I289" s="22">
        <v>46178.0</v>
      </c>
      <c r="J289" s="21" t="s">
        <v>5294</v>
      </c>
      <c r="K289" s="24"/>
      <c r="L289" s="25"/>
      <c r="M289" s="25"/>
      <c r="N289" s="25"/>
      <c r="O289" s="25"/>
      <c r="P289" s="25"/>
      <c r="Q289" s="25"/>
      <c r="R289" s="25"/>
      <c r="S289" s="25"/>
      <c r="T289" s="25"/>
      <c r="U289" s="25"/>
      <c r="V289" s="25"/>
      <c r="W289" s="25"/>
      <c r="X289" s="25"/>
      <c r="Y289" s="25"/>
      <c r="Z289" s="25"/>
      <c r="AA289" s="25"/>
      <c r="AB289" s="25"/>
      <c r="AC289" s="25"/>
    </row>
    <row r="290">
      <c r="A290" s="24" t="str">
        <f>'DE ( Tarik barang retur )'!AC267</f>
        <v>AWBR-28-2026-6-4-01</v>
      </c>
      <c r="B290" s="24" t="str">
        <f>'DE ( Tarik barang retur )'!F267</f>
        <v>Apotek Mitra Diani</v>
      </c>
      <c r="C290" s="35">
        <f>'DE ( Tarik barang retur )'!G267</f>
        <v>6.28138E+17</v>
      </c>
      <c r="D290" s="24" t="str">
        <f>'DE ( Tarik barang retur )'!H267</f>
        <v>Jl. Raya Pkp RT 13 RW 08 Kelapa Dua Wetan Ciracas Jakarta Timur</v>
      </c>
      <c r="E290" s="24" t="str">
        <f>'DE ( Tarik barang retur )'!D267</f>
        <v>26052807294085Lv6WZNU3je</v>
      </c>
      <c r="F290" s="24" t="str">
        <f>'DE ( Tarik barang retur )'!R267</f>
        <v>TMP-INV-2026/05/29/ 2796832 MINYAK ANGIN CAP KAPAK Yahi Utama DUS, 12 BOTOL KACA @ 28 ML Tarik Barang Retur</v>
      </c>
      <c r="G290" s="36">
        <f>'DE ( Tarik barang retur )'!AF267</f>
        <v>46177</v>
      </c>
      <c r="H290" s="22">
        <v>46177.0</v>
      </c>
      <c r="I290" s="22">
        <v>46179.0</v>
      </c>
      <c r="J290" s="21" t="s">
        <v>5294</v>
      </c>
      <c r="K290" s="24"/>
      <c r="L290" s="25"/>
      <c r="M290" s="25"/>
      <c r="N290" s="25"/>
      <c r="O290" s="25"/>
      <c r="P290" s="25"/>
      <c r="Q290" s="25"/>
      <c r="R290" s="25"/>
      <c r="S290" s="25"/>
      <c r="T290" s="25"/>
      <c r="U290" s="25"/>
      <c r="V290" s="25"/>
      <c r="W290" s="25"/>
      <c r="X290" s="25"/>
      <c r="Y290" s="25"/>
      <c r="Z290" s="25"/>
      <c r="AA290" s="25"/>
      <c r="AB290" s="25"/>
      <c r="AC290" s="25"/>
    </row>
    <row r="291">
      <c r="A291" s="24" t="str">
        <f>'DE ( Tarik barang retur )'!AC268</f>
        <v>AWBR-10778-2026-6-4-01</v>
      </c>
      <c r="B291" s="24" t="str">
        <f>'DE ( Tarik barang retur )'!F268</f>
        <v>Apotek Rahmat Bojonggenteng Jampangkulon</v>
      </c>
      <c r="C291" s="35">
        <f>'DE ( Tarik barang retur )'!G268</f>
        <v>6.28531E+17</v>
      </c>
      <c r="D291" s="24" t="str">
        <f>'DE ( Tarik barang retur )'!H268</f>
        <v>Jl. Cinagen RT 008 RW 003 Desa Bojonggenteng Kec Jampangkulon Kab. Sukabumi 43170</v>
      </c>
      <c r="E291" s="24" t="str">
        <f>'DE ( Tarik barang retur )'!D268</f>
        <v>260523103630707K2UI952zW</v>
      </c>
      <c r="F291" s="24" t="str">
        <f>'DE ( Tarik barang retur )'!R268</f>
        <v>TMP-INV-2026/05/24/ 2780098 VASELINE REPAIRING JELLY Unilever POT, 100 ML Tarik Barang Retur</v>
      </c>
      <c r="G291" s="36">
        <f>'DE ( Tarik barang retur )'!AF268</f>
        <v>46177</v>
      </c>
      <c r="H291" s="22">
        <v>46183.0</v>
      </c>
      <c r="I291" s="22">
        <v>46185.0</v>
      </c>
      <c r="J291" s="21" t="s">
        <v>5294</v>
      </c>
      <c r="K291" s="24"/>
      <c r="L291" s="25">
        <f>COUNTIFS(A:A,A291)</f>
        <v>1</v>
      </c>
      <c r="M291" s="25"/>
      <c r="N291" s="25"/>
      <c r="O291" s="25"/>
      <c r="P291" s="25"/>
      <c r="Q291" s="25"/>
      <c r="R291" s="25"/>
      <c r="S291" s="25"/>
      <c r="T291" s="25"/>
      <c r="U291" s="25"/>
      <c r="V291" s="25"/>
      <c r="W291" s="25"/>
      <c r="X291" s="25"/>
      <c r="Y291" s="25"/>
      <c r="Z291" s="25"/>
      <c r="AA291" s="25"/>
      <c r="AB291" s="25"/>
      <c r="AC291" s="25"/>
    </row>
    <row r="292">
      <c r="A292" s="24" t="str">
        <f>'DE ( Tarik barang retur )'!AC269</f>
        <v>AWBR-15006-2026-6-4-01</v>
      </c>
      <c r="B292" s="24" t="str">
        <f>'DE ( Tarik barang retur )'!F269</f>
        <v>Apotek Rifi Farma Wanajaya Cibitung</v>
      </c>
      <c r="C292" s="35">
        <f>'DE ( Tarik barang retur )'!G269</f>
        <v>6.28132E+17</v>
      </c>
      <c r="D292" s="24" t="str">
        <f>'DE ( Tarik barang retur )'!H269</f>
        <v>Perum Villa Mutiara Jaya Blok M 66 No.20 Rt 002/ 010 , Desa/Kelurahan Wanajaya, Kec. Cibitung, Kab. Bekasi</v>
      </c>
      <c r="E292" s="24" t="str">
        <f>'DE ( Tarik barang retur )'!D269</f>
        <v>26053014034097xsAxAS4JW</v>
      </c>
      <c r="F292" s="24" t="str">
        <f>'DE ( Tarik barang retur )'!R269</f>
        <v>TMP-INV-2026/05/31/ 2801352 VICKS FORMULA 44 ANAK-ANAK (RASA STRAWBERRY) Darya-Varia SIRUP DUS, BOTOL PLASTIK 54 ML Tarik Barang Retur</v>
      </c>
      <c r="G292" s="36">
        <f>'DE ( Tarik barang retur )'!AF269</f>
        <v>46177</v>
      </c>
      <c r="H292" s="22">
        <v>46179.0</v>
      </c>
      <c r="I292" s="22">
        <v>46179.0</v>
      </c>
      <c r="J292" s="21" t="s">
        <v>5294</v>
      </c>
      <c r="K292" s="24"/>
      <c r="L292" s="25"/>
      <c r="M292" s="25"/>
      <c r="N292" s="25"/>
      <c r="O292" s="25"/>
      <c r="P292" s="25"/>
      <c r="Q292" s="25"/>
      <c r="R292" s="25"/>
      <c r="S292" s="25"/>
      <c r="T292" s="25"/>
      <c r="U292" s="25"/>
      <c r="V292" s="25"/>
      <c r="W292" s="25"/>
      <c r="X292" s="25"/>
      <c r="Y292" s="25"/>
      <c r="Z292" s="25"/>
      <c r="AA292" s="25"/>
      <c r="AB292" s="25"/>
      <c r="AC292" s="25"/>
    </row>
    <row r="293">
      <c r="A293" s="24" t="str">
        <f>'DE ( Tarik barang retur )'!AC270</f>
        <v>AWBR-2281-2026-6-4-01</v>
      </c>
      <c r="B293" s="24" t="str">
        <f>'DE ( Tarik barang retur )'!F270</f>
        <v>Apotek Wynetta</v>
      </c>
      <c r="C293" s="35">
        <f>'DE ( Tarik barang retur )'!G270</f>
        <v>81519121661</v>
      </c>
      <c r="D293" s="24" t="str">
        <f>'DE ( Tarik barang retur )'!H270</f>
        <v>Villa Bogor Indah 6 Blok B1 No. 12 RT 002 RW 014 Desa Pasir Jambu Kecamatan Sukaraja Kabupaten Bogor 16711</v>
      </c>
      <c r="E293" s="24" t="str">
        <f>'DE ( Tarik barang retur )'!D270</f>
        <v>26052409551252RlffEbqJ</v>
      </c>
      <c r="F293" s="24" t="str">
        <f>'DE ( Tarik barang retur )'!R270</f>
        <v>TMP-INV-2026/05/25/ 2780674 GENTAMICIN SULFATE Erela SALEP 0.1 % TUBE @ 5 GRAM Tarik Barang Retur</v>
      </c>
      <c r="G293" s="36">
        <f>'DE ( Tarik barang retur )'!AF270</f>
        <v>46177</v>
      </c>
      <c r="H293" s="22">
        <v>46177.0</v>
      </c>
      <c r="I293" s="22">
        <v>46178.0</v>
      </c>
      <c r="J293" s="21" t="s">
        <v>5294</v>
      </c>
      <c r="K293" s="24"/>
      <c r="L293" s="25"/>
      <c r="M293" s="25"/>
      <c r="N293" s="25"/>
      <c r="O293" s="25"/>
      <c r="P293" s="25"/>
      <c r="Q293" s="25"/>
      <c r="R293" s="25"/>
      <c r="S293" s="25"/>
      <c r="T293" s="25"/>
      <c r="U293" s="25"/>
      <c r="V293" s="25"/>
      <c r="W293" s="25"/>
      <c r="X293" s="25"/>
      <c r="Y293" s="25"/>
      <c r="Z293" s="25"/>
      <c r="AA293" s="25"/>
      <c r="AB293" s="25"/>
      <c r="AC293" s="25"/>
    </row>
    <row r="294">
      <c r="A294" s="24" t="str">
        <f>'DE ( Tarik barang retur )'!AC271</f>
        <v>AWBR-11437-2026-6-5-01</v>
      </c>
      <c r="B294" s="24" t="str">
        <f>'DE ( Tarik barang retur )'!F271</f>
        <v>Apotek Berlian Farma Rasamala Bakti Jaya Sukmajaya</v>
      </c>
      <c r="C294" s="35">
        <f>'DE ( Tarik barang retur )'!G271</f>
        <v>6.28537E+17</v>
      </c>
      <c r="D294" s="24" t="str">
        <f>'DE ( Tarik barang retur )'!H271</f>
        <v>Jl. Rasamala Raya No. 423 Kel. Baktijaya Kec. Sukmajaya Kota Depok 16418</v>
      </c>
      <c r="E294" s="24" t="str">
        <f>'DE ( Tarik barang retur )'!D271</f>
        <v>26060203232522g910lrsRl</v>
      </c>
      <c r="F294" s="24" t="str">
        <f>'DE ( Tarik barang retur )'!R271</f>
        <v>TMP-INV-2026/06/02/ 2809060 ANTANGIN PERMEN HERBAL RASA MADU MINT DUS, 15 SACHET @ 10 g Tarik Barang Retur</v>
      </c>
      <c r="G294" s="36">
        <f>'DE ( Tarik barang retur )'!AF271</f>
        <v>46178</v>
      </c>
      <c r="H294" s="22">
        <v>46178.0</v>
      </c>
      <c r="I294" s="22">
        <v>46180.0</v>
      </c>
      <c r="J294" s="21" t="s">
        <v>5294</v>
      </c>
      <c r="K294" s="24"/>
      <c r="L294" s="25"/>
      <c r="M294" s="25"/>
      <c r="N294" s="25"/>
      <c r="O294" s="25"/>
      <c r="P294" s="25"/>
      <c r="Q294" s="25"/>
      <c r="R294" s="25"/>
      <c r="S294" s="25"/>
      <c r="T294" s="25"/>
      <c r="U294" s="25"/>
      <c r="V294" s="25"/>
      <c r="W294" s="25"/>
      <c r="X294" s="25"/>
      <c r="Y294" s="25"/>
      <c r="Z294" s="25"/>
      <c r="AA294" s="25"/>
      <c r="AB294" s="25"/>
      <c r="AC294" s="25"/>
    </row>
    <row r="295">
      <c r="A295" s="24" t="str">
        <f>'DE ( Tarik barang retur )'!AC272</f>
        <v>AWBR-5942-2026-6-5-01</v>
      </c>
      <c r="B295" s="24" t="str">
        <f>'DE ( Tarik barang retur )'!F272</f>
        <v>Apotek Cahaya 5942</v>
      </c>
      <c r="C295" s="35">
        <f>'DE ( Tarik barang retur )'!G272</f>
        <v>85883142584</v>
      </c>
      <c r="D295" s="24" t="str">
        <f>'DE ( Tarik barang retur )'!H272</f>
        <v>Jalan Ceger Raya No. 52 RT 002 RW 001 Kelurahan Jurangmangu Timur Kecamatan Pondok Aren Kota Tangerang Selatan 15222</v>
      </c>
      <c r="E295" s="24" t="str">
        <f>'DE ( Tarik barang retur )'!D272</f>
        <v>26060203172600oVdCQFmLE</v>
      </c>
      <c r="F295" s="24" t="str">
        <f>'DE ( Tarik barang retur )'!R272</f>
        <v>TMP-INV-2026/06/02/ 2808448 IBUPROFEN Bernofarm SUSPENSI 100 MG / 5 ML DUS, 10 BOTOL @ 60 ML Tarik Barang Retur</v>
      </c>
      <c r="G295" s="36">
        <f>'DE ( Tarik barang retur )'!AF272</f>
        <v>46178</v>
      </c>
      <c r="H295" s="22">
        <v>46179.0</v>
      </c>
      <c r="I295" s="22">
        <v>46180.0</v>
      </c>
      <c r="J295" s="21" t="s">
        <v>5294</v>
      </c>
      <c r="K295" s="24"/>
      <c r="L295" s="25"/>
      <c r="M295" s="25"/>
      <c r="N295" s="25"/>
      <c r="O295" s="25"/>
      <c r="P295" s="25"/>
      <c r="Q295" s="25"/>
      <c r="R295" s="25"/>
      <c r="S295" s="25"/>
      <c r="T295" s="25"/>
      <c r="U295" s="25"/>
      <c r="V295" s="25"/>
      <c r="W295" s="25"/>
      <c r="X295" s="25"/>
      <c r="Y295" s="25"/>
      <c r="Z295" s="25"/>
      <c r="AA295" s="25"/>
      <c r="AB295" s="25"/>
      <c r="AC295" s="25"/>
    </row>
    <row r="296">
      <c r="A296" s="24" t="str">
        <f>'DE ( Tarik barang retur )'!AC273</f>
        <v>AWBR-916-2026-6-5-01</v>
      </c>
      <c r="B296" s="24" t="str">
        <f>'DE ( Tarik barang retur )'!F273</f>
        <v>Apotek Danez Farma Jatibening</v>
      </c>
      <c r="C296" s="35">
        <f>'DE ( Tarik barang retur )'!G273</f>
        <v>81317054040</v>
      </c>
      <c r="D296" s="24" t="str">
        <f>'DE ( Tarik barang retur )'!H273</f>
        <v>Jalan Jatibening Estate Kav.2 Kelurahan Jatibening Kecamatan Pondok Gede Kota Bekasi 17412</v>
      </c>
      <c r="E296" s="24" t="str">
        <f>'DE ( Tarik barang retur )'!D273</f>
        <v>26053114193571j6PirlywH</v>
      </c>
      <c r="F296" s="24" t="str">
        <f>'DE ( Tarik barang retur )'!R273</f>
        <v>TMP-INV-2026/06/01/ 2804943 IMBOOST FORCE FCT+ Soho KAPLET DUS, 3 STRIP @ 10 KAPLET SALUT SELAPUT Tarik Barang Retur</v>
      </c>
      <c r="G296" s="36">
        <f>'DE ( Tarik barang retur )'!AF273</f>
        <v>46178</v>
      </c>
      <c r="H296" s="22">
        <v>46179.0</v>
      </c>
      <c r="I296" s="22">
        <v>46179.0</v>
      </c>
      <c r="J296" s="21" t="s">
        <v>5294</v>
      </c>
      <c r="K296" s="24"/>
      <c r="L296" s="25"/>
      <c r="M296" s="25"/>
      <c r="N296" s="25"/>
      <c r="O296" s="25"/>
      <c r="P296" s="25"/>
      <c r="Q296" s="25"/>
      <c r="R296" s="25"/>
      <c r="S296" s="25"/>
      <c r="T296" s="25"/>
      <c r="U296" s="25"/>
      <c r="V296" s="25"/>
      <c r="W296" s="25"/>
      <c r="X296" s="25"/>
      <c r="Y296" s="25"/>
      <c r="Z296" s="25"/>
      <c r="AA296" s="25"/>
      <c r="AB296" s="25"/>
      <c r="AC296" s="25"/>
    </row>
    <row r="297">
      <c r="A297" s="24" t="str">
        <f>'DE ( Tarik barang retur )'!AC274</f>
        <v>AWBR-724-2026-6-5-01</v>
      </c>
      <c r="B297" s="24" t="str">
        <f>'DE ( Tarik barang retur )'!F274</f>
        <v>Apotek Dewi Farma</v>
      </c>
      <c r="C297" s="35">
        <f>'DE ( Tarik barang retur )'!G274</f>
        <v>85283705505</v>
      </c>
      <c r="D297" s="24" t="str">
        <f>'DE ( Tarik barang retur )'!H274</f>
        <v>Jalan Mess AL Kranggan Wetan RT.001/RW.012, Kelurahan Jatirangga, Kecamatan Jatisampurna, Kota Bekasi 17434</v>
      </c>
      <c r="E297" s="24" t="str">
        <f>'DE ( Tarik barang retur )'!D274</f>
        <v>26053005291715DJ1L80h7J</v>
      </c>
      <c r="F297" s="24" t="str">
        <f>'DE ( Tarik barang retur )'!R274</f>
        <v>TMP-INV-2026/05/31/ 2802082 SERETIDE 125 Gsk INHALER 25/125 MCG DUS, 1 CANISTER @ 120 DOSIS DENGAN DOSE COUNTER Tarik Barang Retur</v>
      </c>
      <c r="G297" s="36">
        <f>'DE ( Tarik barang retur )'!AF274</f>
        <v>46178</v>
      </c>
      <c r="H297" s="22">
        <v>46179.0</v>
      </c>
      <c r="I297" s="22">
        <v>46179.0</v>
      </c>
      <c r="J297" s="21" t="s">
        <v>5294</v>
      </c>
      <c r="K297" s="24"/>
      <c r="L297" s="25"/>
      <c r="M297" s="25"/>
      <c r="N297" s="25"/>
      <c r="O297" s="25"/>
      <c r="P297" s="25"/>
      <c r="Q297" s="25"/>
      <c r="R297" s="25"/>
      <c r="S297" s="25"/>
      <c r="T297" s="25"/>
      <c r="U297" s="25"/>
      <c r="V297" s="25"/>
      <c r="W297" s="25"/>
      <c r="X297" s="25"/>
      <c r="Y297" s="25"/>
      <c r="Z297" s="25"/>
      <c r="AA297" s="25"/>
      <c r="AB297" s="25"/>
      <c r="AC297" s="25"/>
    </row>
    <row r="298">
      <c r="A298" s="24" t="str">
        <f>'DE ( Tarik barang retur )'!AC275</f>
        <v>AWBR-581-2026-6-5-01</v>
      </c>
      <c r="B298" s="24" t="str">
        <f>'DE ( Tarik barang retur )'!F275</f>
        <v>Apotek Eka Mitra Sehat</v>
      </c>
      <c r="C298" s="35">
        <f>'DE ( Tarik barang retur )'!G275</f>
        <v>81315668881</v>
      </c>
      <c r="D298" s="24" t="str">
        <f>'DE ( Tarik barang retur )'!H275</f>
        <v>Jalan Srengseng Sawah No. 23 RT 010 RW 00, Kelurahan Srengseng Sawah, Kecamatan Jagakarsa, Jakarta Selatan, DKI Jakarta 12640</v>
      </c>
      <c r="E298" s="24" t="str">
        <f>'DE ( Tarik barang retur )'!D275</f>
        <v>26052604000422MPJ9ffTQ6n</v>
      </c>
      <c r="F298" s="24" t="str">
        <f>'DE ( Tarik barang retur )'!R275</f>
        <v>TMP-INV-2026/05/26/ 2787652 IMBOOST FORCE ES Soho KAPLET DUS, 3 STRIP @ 10 KAPLET SALUT SELAPUT Tarik Barang Retur</v>
      </c>
      <c r="G298" s="36">
        <f>'DE ( Tarik barang retur )'!AF275</f>
        <v>46178</v>
      </c>
      <c r="H298" s="22">
        <v>46178.0</v>
      </c>
      <c r="I298" s="22">
        <v>46180.0</v>
      </c>
      <c r="J298" s="21" t="s">
        <v>5294</v>
      </c>
      <c r="K298" s="24"/>
      <c r="L298" s="25"/>
      <c r="M298" s="25"/>
      <c r="N298" s="25"/>
      <c r="O298" s="25"/>
      <c r="P298" s="25"/>
      <c r="Q298" s="25"/>
      <c r="R298" s="25"/>
      <c r="S298" s="25"/>
      <c r="T298" s="25"/>
      <c r="U298" s="25"/>
      <c r="V298" s="25"/>
      <c r="W298" s="25"/>
      <c r="X298" s="25"/>
      <c r="Y298" s="25"/>
      <c r="Z298" s="25"/>
      <c r="AA298" s="25"/>
      <c r="AB298" s="25"/>
      <c r="AC298" s="25"/>
    </row>
    <row r="299">
      <c r="A299" s="24" t="str">
        <f>'DE ( Tarik barang retur )'!AC276</f>
        <v>AWBR-12089-2026-6-5-01</v>
      </c>
      <c r="B299" s="24" t="str">
        <f>'DE ( Tarik barang retur )'!F276</f>
        <v>Apotek Fegas Farma Aren Jaya Bekasi Timur</v>
      </c>
      <c r="C299" s="35">
        <f>'DE ( Tarik barang retur )'!G276</f>
        <v>6.28139E+17</v>
      </c>
      <c r="D299" s="24" t="str">
        <f>'DE ( Tarik barang retur )'!H276</f>
        <v>Jl. Setiamekar Ruko No. 4 RT 003 RW 005 Kel. Aren Jaya Kec. Bekasi Timur Kota Bekasi</v>
      </c>
      <c r="E299" s="24" t="str">
        <f>'DE ( Tarik barang retur )'!D276</f>
        <v>26041505285656uKssvGWqF7</v>
      </c>
      <c r="F299" s="24" t="str">
        <f>'DE ( Tarik barang retur )'!R276</f>
        <v>TMP-INV-2026/04/16/ 2642836 P-PRED Cendo TETES MATA Minidose CATCH COVER, 5 BOTOL PLASTIK @ 0,6 ML Tarik Barang Damaged</v>
      </c>
      <c r="G299" s="36">
        <f>'DE ( Tarik barang retur )'!AF276</f>
        <v>46178</v>
      </c>
      <c r="H299" s="22">
        <v>46179.0</v>
      </c>
      <c r="I299" s="22">
        <v>46179.0</v>
      </c>
      <c r="J299" s="21" t="s">
        <v>5294</v>
      </c>
      <c r="K299" s="24"/>
      <c r="L299" s="25"/>
      <c r="M299" s="25"/>
      <c r="N299" s="25"/>
      <c r="O299" s="25"/>
      <c r="P299" s="25"/>
      <c r="Q299" s="25"/>
      <c r="R299" s="25"/>
      <c r="S299" s="25"/>
      <c r="T299" s="25"/>
      <c r="U299" s="25"/>
      <c r="V299" s="25"/>
      <c r="W299" s="25"/>
      <c r="X299" s="25"/>
      <c r="Y299" s="25"/>
      <c r="Z299" s="25"/>
      <c r="AA299" s="25"/>
      <c r="AB299" s="25"/>
      <c r="AC299" s="25"/>
    </row>
    <row r="300">
      <c r="A300" s="24" t="str">
        <f>'DE ( Tarik barang retur )'!AC277</f>
        <v>AWBR-10722-2026-6-5-01</v>
      </c>
      <c r="B300" s="24" t="str">
        <f>'DE ( Tarik barang retur )'!F277</f>
        <v>Apotek Fikri Setu Cipayung</v>
      </c>
      <c r="C300" s="35">
        <f>'DE ( Tarik barang retur )'!G277</f>
        <v>6.28177E+16</v>
      </c>
      <c r="D300" s="24" t="str">
        <f>'DE ( Tarik barang retur )'!H277</f>
        <v>Jalan Terusan Mabes Hankam RT 007 RW 004, Desa/Kelurahan Setu, Kecamatan Cipayung, Kota Administrasi Jakarta Timur, DKI Jakarta 13880</v>
      </c>
      <c r="E300" s="24" t="str">
        <f>'DE ( Tarik barang retur )'!D277</f>
        <v>26053103530968IyzmUiSvh</v>
      </c>
      <c r="F300" s="24" t="str">
        <f>'DE ( Tarik barang retur )'!R277</f>
        <v>TMP-INV-2026/06/01/ 2804894 DULCOLAX Boehringer SUPPOSITORIA 10 MG DUS, 1 STRIP @ 5 SUPPOSITORIA Tarik Barang Retur</v>
      </c>
      <c r="G300" s="36">
        <f>'DE ( Tarik barang retur )'!AF277</f>
        <v>46178</v>
      </c>
      <c r="H300" s="22">
        <v>46179.0</v>
      </c>
      <c r="I300" s="22">
        <v>46179.0</v>
      </c>
      <c r="J300" s="21" t="s">
        <v>5294</v>
      </c>
      <c r="K300" s="24"/>
      <c r="L300" s="25"/>
      <c r="M300" s="25"/>
      <c r="N300" s="25"/>
      <c r="O300" s="25"/>
      <c r="P300" s="25"/>
      <c r="Q300" s="25"/>
      <c r="R300" s="25"/>
      <c r="S300" s="25"/>
      <c r="T300" s="25"/>
      <c r="U300" s="25"/>
      <c r="V300" s="25"/>
      <c r="W300" s="25"/>
      <c r="X300" s="25"/>
      <c r="Y300" s="25"/>
      <c r="Z300" s="25"/>
      <c r="AA300" s="25"/>
      <c r="AB300" s="25"/>
      <c r="AC300" s="25"/>
    </row>
    <row r="301">
      <c r="A301" s="24" t="str">
        <f>'DE ( Tarik barang retur )'!AC278</f>
        <v>AWBR-10645-2026-6-5-01</v>
      </c>
      <c r="B301" s="24" t="str">
        <f>'DE ( Tarik barang retur )'!F278</f>
        <v>Apotek Habiby Muktiwari Cibitung</v>
      </c>
      <c r="C301" s="35">
        <f>'DE ( Tarik barang retur )'!G278</f>
        <v>6.28584E+17</v>
      </c>
      <c r="D301" s="24" t="str">
        <f>'DE ( Tarik barang retur )'!H278</f>
        <v>Perumahan Permata Muktiwari Residence Blok A1 No. 05 Desa/Kelurahan Muktiwari, Kecamatan Cibitung, Kabupaten Bekasi, Jawa Barat 17519</v>
      </c>
      <c r="E301" s="24" t="str">
        <f>'DE ( Tarik barang retur )'!D278</f>
        <v>25031202525677MxlO1sNq</v>
      </c>
      <c r="F301" s="24" t="str">
        <f>'DE ( Tarik barang retur )'!R278</f>
        <v>TMP-INV-2025/03/12/ 1419577 VOLTAREN Gsk EMULGEL 1 % DUS, TUBE @ 20 G Tarik Barang Retur</v>
      </c>
      <c r="G301" s="36">
        <f>'DE ( Tarik barang retur )'!AF278</f>
        <v>46178</v>
      </c>
      <c r="H301" s="22">
        <v>46179.0</v>
      </c>
      <c r="I301" s="22">
        <v>46180.0</v>
      </c>
      <c r="J301" s="21" t="s">
        <v>5294</v>
      </c>
      <c r="K301" s="24"/>
      <c r="L301" s="25"/>
      <c r="M301" s="25"/>
      <c r="N301" s="25"/>
      <c r="O301" s="25"/>
      <c r="P301" s="25"/>
      <c r="Q301" s="25"/>
      <c r="R301" s="25"/>
      <c r="S301" s="25"/>
      <c r="T301" s="25"/>
      <c r="U301" s="25"/>
      <c r="V301" s="25"/>
      <c r="W301" s="25"/>
      <c r="X301" s="25"/>
      <c r="Y301" s="25"/>
      <c r="Z301" s="25"/>
      <c r="AA301" s="25"/>
      <c r="AB301" s="25"/>
      <c r="AC301" s="25"/>
    </row>
    <row r="302">
      <c r="A302" s="24" t="str">
        <f>'DE ( Tarik barang retur )'!AC279</f>
        <v>AWBR-12625-2026-6-5-01</v>
      </c>
      <c r="B302" s="24" t="str">
        <f>'DE ( Tarik barang retur )'!F279</f>
        <v>Apotek Hugo Farma Cilebut Barat Sukaraja</v>
      </c>
      <c r="C302" s="35">
        <f>'DE ( Tarik barang retur )'!G279</f>
        <v>6.28217E+17</v>
      </c>
      <c r="D302" s="24" t="str">
        <f>'DE ( Tarik barang retur )'!H279</f>
        <v>Ruko Komplek Permata Bogor Residence Blok A2 No.2, Desa/Kelurahan Cilebut Barat, Kec. Sukaraja, Kab. Bogor</v>
      </c>
      <c r="E302" s="24" t="str">
        <f>'DE ( Tarik barang retur )'!D279</f>
        <v>26031003275204UECQOm4KE</v>
      </c>
      <c r="F302" s="24" t="str">
        <f>'DE ( Tarik barang retur )'!R279</f>
        <v>TMP-INV-2026/03/11/ 2520364 IMBOOST EXTRA VIT C dan D3 KIDS Soho TABLET HISAP DUS, BOTOL PLASTIK @ 21 TABLET HISAP Tarik Barang Damaged</v>
      </c>
      <c r="G302" s="36">
        <f>'DE ( Tarik barang retur )'!AF279</f>
        <v>46178</v>
      </c>
      <c r="H302" s="22">
        <v>46178.0</v>
      </c>
      <c r="I302" s="22">
        <v>46179.0</v>
      </c>
      <c r="J302" s="21" t="s">
        <v>5294</v>
      </c>
      <c r="K302" s="24"/>
      <c r="L302" s="25"/>
      <c r="M302" s="25"/>
      <c r="N302" s="25"/>
      <c r="O302" s="25"/>
      <c r="P302" s="25"/>
      <c r="Q302" s="25"/>
      <c r="R302" s="25"/>
      <c r="S302" s="25"/>
      <c r="T302" s="25"/>
      <c r="U302" s="25"/>
      <c r="V302" s="25"/>
      <c r="W302" s="25"/>
      <c r="X302" s="25"/>
      <c r="Y302" s="25"/>
      <c r="Z302" s="25"/>
      <c r="AA302" s="25"/>
      <c r="AB302" s="25"/>
      <c r="AC302" s="25"/>
    </row>
    <row r="303">
      <c r="A303" s="24" t="str">
        <f>'DE ( Tarik barang retur )'!AC280</f>
        <v>AWBR-14008-2026-6-5-01</v>
      </c>
      <c r="B303" s="24" t="str">
        <f>'DE ( Tarik barang retur )'!F280</f>
        <v>Apotek Inofarma Tanah Pasir</v>
      </c>
      <c r="C303" s="35">
        <f>'DE ( Tarik barang retur )'!G280</f>
        <v>6.28598E+17</v>
      </c>
      <c r="D303" s="24" t="str">
        <f>'DE ( Tarik barang retur )'!H280</f>
        <v>Jl. Tanah Pasir No. 1 RT 16 RW 11, Kel. Penjaringan, Kec. Penjaringan, Jakarta Utara</v>
      </c>
      <c r="E303" s="24" t="str">
        <f>'DE ( Tarik barang retur )'!D280</f>
        <v>25100906541278p9RKswuHa</v>
      </c>
      <c r="F303" s="24" t="str">
        <f>'DE ( Tarik barang retur )'!R280</f>
        <v>TMP-INV-2025/10/10/ 2013024 / TMP-INV-2025/10/10/ 2013195 / TMP-INV-2025/10/10/ 2013195 / TMP-INV-2026/01/14/ 2327863 / TMP-INV-2026/01/20 / 2347820 ONEMED CRUTCH UKURAN M (KRUK) 2 PCS (SEPASANG)
ONEMED QUAD CANE (TONGKAT PYRAMID) 1 PCS
ONEMED WHEELCHAIR COMFORT ONE (KURSI RODA) 1 PCS
BLACKMORES ULTRA REFINED HABBATUSSAUDA OIL Kalbe KAPSUL BOTOL KACA @ 30 KAPSUL LUNAK
KRATINGDAENG SUPER Asia Health Energi Beverages BOTOL KACA @ 150 ML
KRATINGDAENG SUPER Asia Health Energi Beverages BOTOL KACA @ 150 ML
 Tarik Barang Retur</v>
      </c>
      <c r="G303" s="36">
        <f>'DE ( Tarik barang retur )'!AF280</f>
        <v>46178</v>
      </c>
      <c r="H303" s="22">
        <v>46179.0</v>
      </c>
      <c r="I303" s="22">
        <v>46180.0</v>
      </c>
      <c r="J303" s="21" t="s">
        <v>5294</v>
      </c>
      <c r="K303" s="24"/>
      <c r="L303" s="25"/>
      <c r="M303" s="25"/>
      <c r="N303" s="25"/>
      <c r="O303" s="25"/>
      <c r="P303" s="25"/>
      <c r="Q303" s="25"/>
      <c r="R303" s="25"/>
      <c r="S303" s="25"/>
      <c r="T303" s="25"/>
      <c r="U303" s="25"/>
      <c r="V303" s="25"/>
      <c r="W303" s="25"/>
      <c r="X303" s="25"/>
      <c r="Y303" s="25"/>
      <c r="Z303" s="25"/>
      <c r="AA303" s="25"/>
      <c r="AB303" s="25"/>
      <c r="AC303" s="25"/>
    </row>
    <row r="304">
      <c r="A304" s="24" t="str">
        <f>'DE ( Tarik barang retur )'!AC281</f>
        <v>AWBR-17055-2026-6-5-01</v>
      </c>
      <c r="B304" s="24" t="str">
        <f>'DE ( Tarik barang retur )'!F281</f>
        <v>Apotek Isa Pondok Betung Pondok Aren</v>
      </c>
      <c r="C304" s="35">
        <f>'DE ( Tarik barang retur )'!G281</f>
        <v>6.2881E+17</v>
      </c>
      <c r="D304" s="24" t="str">
        <f>'DE ( Tarik barang retur )'!H281</f>
        <v>Jl. Pondok Betung Raya, RT 01 RW 05 Kel. Pondok Betung Kec. Pondok Aren Kota Tangerang Selatan</v>
      </c>
      <c r="E304" s="24" t="str">
        <f>'DE ( Tarik barang retur )'!D281</f>
        <v>260403234841121otPcM2e</v>
      </c>
      <c r="F304" s="24" t="str">
        <f>'DE ( Tarik barang retur )'!R281</f>
        <v>TMP-INV-2026/04/04/ 2601092 LIFREE POPOK PEREKAT UK. L PLASTIK @ 1 PCS UK. M PLASTIK @ 1 PCS UK. XL PLASTIK @ 1 PCS Tarik Barang Retur</v>
      </c>
      <c r="G304" s="36">
        <f>'DE ( Tarik barang retur )'!AF281</f>
        <v>46178</v>
      </c>
      <c r="H304" s="22">
        <v>46179.0</v>
      </c>
      <c r="I304" s="22">
        <v>46180.0</v>
      </c>
      <c r="J304" s="21" t="s">
        <v>5294</v>
      </c>
      <c r="K304" s="24"/>
      <c r="L304" s="25"/>
      <c r="M304" s="25"/>
      <c r="N304" s="25"/>
      <c r="O304" s="25"/>
      <c r="P304" s="25"/>
      <c r="Q304" s="25"/>
      <c r="R304" s="25"/>
      <c r="S304" s="25"/>
      <c r="T304" s="25"/>
      <c r="U304" s="25"/>
      <c r="V304" s="25"/>
      <c r="W304" s="25"/>
      <c r="X304" s="25"/>
      <c r="Y304" s="25"/>
      <c r="Z304" s="25"/>
      <c r="AA304" s="25"/>
      <c r="AB304" s="25"/>
      <c r="AC304" s="25"/>
    </row>
    <row r="305">
      <c r="A305" s="24" t="str">
        <f>'DE ( Tarik barang retur )'!AC282</f>
        <v>AWBR-8869-2026-6-5-01</v>
      </c>
      <c r="B305" s="24" t="str">
        <f>'DE ( Tarik barang retur )'!F282</f>
        <v>Apotek Ishaura Sejahtera Medika Sukakarya Warudoyong</v>
      </c>
      <c r="C305" s="35">
        <f>'DE ( Tarik barang retur )'!G282</f>
        <v>85703465396</v>
      </c>
      <c r="D305" s="24" t="str">
        <f>'DE ( Tarik barang retur )'!H282</f>
        <v>Jalan KH. Ahmad Sanusi RT 001 RW 002 Desa Sukakarya Kec. Warudoyong Kota Sukabumi 43135</v>
      </c>
      <c r="E305" s="24" t="str">
        <f>'DE ( Tarik barang retur )'!D282</f>
        <v>260525035818257eG1xBQbs</v>
      </c>
      <c r="F305" s="24" t="str">
        <f>'DE ( Tarik barang retur )'!R282</f>
        <v>TMP-INV-2026/05/25/ 2783543 OBAT SAKIT GIGI CAP BURUNG KAKAK TUA Samco Farma DUS, BOTOL KACA @ 2 ML Tarik Barang Retur</v>
      </c>
      <c r="G305" s="36">
        <f>'DE ( Tarik barang retur )'!AF282</f>
        <v>46178</v>
      </c>
      <c r="H305" s="22">
        <v>46181.0</v>
      </c>
      <c r="I305" s="22">
        <v>46183.0</v>
      </c>
      <c r="J305" s="21" t="s">
        <v>5294</v>
      </c>
      <c r="K305" s="24"/>
      <c r="L305" s="25"/>
      <c r="M305" s="25"/>
      <c r="N305" s="25"/>
      <c r="O305" s="25"/>
      <c r="P305" s="25"/>
      <c r="Q305" s="25"/>
      <c r="R305" s="25"/>
      <c r="S305" s="25"/>
      <c r="T305" s="25"/>
      <c r="U305" s="25"/>
      <c r="V305" s="25"/>
      <c r="W305" s="25"/>
      <c r="X305" s="25"/>
      <c r="Y305" s="25"/>
      <c r="Z305" s="25"/>
      <c r="AA305" s="25"/>
      <c r="AB305" s="25"/>
      <c r="AC305" s="25"/>
    </row>
    <row r="306">
      <c r="A306" s="24" t="str">
        <f>'DE ( Tarik barang retur )'!AC283</f>
        <v>AWBR-10908-2026-6-5-01</v>
      </c>
      <c r="B306" s="24" t="str">
        <f>'DE ( Tarik barang retur )'!F283</f>
        <v>Apotek K24 Ciracas Ciracas Ciracas</v>
      </c>
      <c r="C306" s="35">
        <f>'DE ( Tarik barang retur )'!G283</f>
        <v>6.28139E+17</v>
      </c>
      <c r="D306" s="24" t="str">
        <f>'DE ( Tarik barang retur )'!H283</f>
        <v>Jl. Raya Ciracas No.66 Rt.003 Rw.05, Desa/Kelurahan Ciracas, Kec. Ciracas, Kota Adm. Jakarta Timur 13740</v>
      </c>
      <c r="E306" s="24" t="str">
        <f>'DE ( Tarik barang retur )'!D283</f>
        <v>260202151246266s9eydF</v>
      </c>
      <c r="F306" s="24" t="str">
        <f>'DE ( Tarik barang retur )'!R283</f>
        <v>TMP-INV-2026/02/03/ 2393745 BIO-OIL Radiant Body Lotion DUS, BOTOL 175 ML Tarik Barang Retur</v>
      </c>
      <c r="G306" s="36">
        <f>'DE ( Tarik barang retur )'!AF283</f>
        <v>46178</v>
      </c>
      <c r="H306" s="22">
        <v>46178.0</v>
      </c>
      <c r="I306" s="22">
        <v>46180.0</v>
      </c>
      <c r="J306" s="21" t="s">
        <v>5294</v>
      </c>
      <c r="K306" s="24"/>
      <c r="L306" s="25"/>
      <c r="M306" s="25"/>
      <c r="N306" s="25"/>
      <c r="O306" s="25"/>
      <c r="P306" s="25"/>
      <c r="Q306" s="25"/>
      <c r="R306" s="25"/>
      <c r="S306" s="25"/>
      <c r="T306" s="25"/>
      <c r="U306" s="25"/>
      <c r="V306" s="25"/>
      <c r="W306" s="25"/>
      <c r="X306" s="25"/>
      <c r="Y306" s="25"/>
      <c r="Z306" s="25"/>
      <c r="AA306" s="25"/>
      <c r="AB306" s="25"/>
      <c r="AC306" s="25"/>
    </row>
    <row r="307">
      <c r="A307" s="24" t="str">
        <f>'DE ( Tarik barang retur )'!AC284</f>
        <v>AWBR-12490-2026-6-5-01</v>
      </c>
      <c r="B307" s="24" t="str">
        <f>'DE ( Tarik barang retur )'!F284</f>
        <v>Apotek K24 Pilar Karangasih Cikarang Utara</v>
      </c>
      <c r="C307" s="35">
        <f>'DE ( Tarik barang retur )'!G284</f>
        <v>6.28127E+17</v>
      </c>
      <c r="D307" s="24" t="str">
        <f>'DE ( Tarik barang retur )'!H284</f>
        <v>Jl. Ki Hajar Dewantara Kp. Pilar Barat No. 129, Desa/Kelurahan Karangasih, Kec. Cikarang Utara, Kab. Bekasi</v>
      </c>
      <c r="E307" s="24" t="str">
        <f>'DE ( Tarik barang retur )'!D284</f>
        <v>260526014144117RDu6JYBw</v>
      </c>
      <c r="F307" s="24" t="str">
        <f>'DE ( Tarik barang retur )'!R284</f>
        <v>TMP-INV-2026/05/26/ 2786613 MEFINAL Sanbe KAPSUL 250 MG DUS, 10 STRIP @ 10 KAPSUL Tarik Barang Retur</v>
      </c>
      <c r="G307" s="36">
        <f>'DE ( Tarik barang retur )'!AF284</f>
        <v>46178</v>
      </c>
      <c r="H307" s="22">
        <v>46179.0</v>
      </c>
      <c r="I307" s="22">
        <v>46179.0</v>
      </c>
      <c r="J307" s="21" t="s">
        <v>5294</v>
      </c>
      <c r="K307" s="24"/>
      <c r="L307" s="25"/>
      <c r="M307" s="25"/>
      <c r="N307" s="25"/>
      <c r="O307" s="25"/>
      <c r="P307" s="25"/>
      <c r="Q307" s="25"/>
      <c r="R307" s="25"/>
      <c r="S307" s="25"/>
      <c r="T307" s="25"/>
      <c r="U307" s="25"/>
      <c r="V307" s="25"/>
      <c r="W307" s="25"/>
      <c r="X307" s="25"/>
      <c r="Y307" s="25"/>
      <c r="Z307" s="25"/>
      <c r="AA307" s="25"/>
      <c r="AB307" s="25"/>
      <c r="AC307" s="25"/>
    </row>
    <row r="308">
      <c r="A308" s="24" t="str">
        <f>'DE ( Tarik barang retur )'!AC285</f>
        <v>AWBR-12612-2026-6-5-01</v>
      </c>
      <c r="B308" s="24" t="str">
        <f>'DE ( Tarik barang retur )'!F285</f>
        <v>Apotek K24 Pitara Depok Pancoran Mas Pancoran Mas</v>
      </c>
      <c r="C308" s="35">
        <f>'DE ( Tarik barang retur )'!G285</f>
        <v>6.28112E+16</v>
      </c>
      <c r="D308" s="24" t="str">
        <f>'DE ( Tarik barang retur )'!H285</f>
        <v>Jalan Pitara Raya No.16, Desa/Kelurahan Pancoran Mas, Kec. Pancoran Mas, Kota Depok,</v>
      </c>
      <c r="E308" s="24" t="str">
        <f>'DE ( Tarik barang retur )'!D285</f>
        <v>26053007352882N9E0IJzH4</v>
      </c>
      <c r="F308" s="24" t="str">
        <f>'DE ( Tarik barang retur )'!R285</f>
        <v>TMP-INV-2026/06/01/ 2804719 HANSAPLAST SALEP LUKA Beiersdorf TUBE @ 50 G Tarik Barang Retur</v>
      </c>
      <c r="G308" s="36">
        <f>'DE ( Tarik barang retur )'!AF285</f>
        <v>46178</v>
      </c>
      <c r="H308" s="22">
        <v>46178.0</v>
      </c>
      <c r="I308" s="22">
        <v>46179.0</v>
      </c>
      <c r="J308" s="21" t="s">
        <v>5294</v>
      </c>
      <c r="K308" s="24"/>
      <c r="L308" s="25"/>
      <c r="M308" s="25"/>
      <c r="N308" s="25"/>
      <c r="O308" s="25"/>
      <c r="P308" s="25"/>
      <c r="Q308" s="25"/>
      <c r="R308" s="25"/>
      <c r="S308" s="25"/>
      <c r="T308" s="25"/>
      <c r="U308" s="25"/>
      <c r="V308" s="25"/>
      <c r="W308" s="25"/>
      <c r="X308" s="25"/>
      <c r="Y308" s="25"/>
      <c r="Z308" s="25"/>
      <c r="AA308" s="25"/>
      <c r="AB308" s="25"/>
      <c r="AC308" s="25"/>
    </row>
    <row r="309">
      <c r="A309" s="24" t="str">
        <f>'DE ( Tarik barang retur )'!AC286</f>
        <v>AWBR-13426-2026-6-5-01</v>
      </c>
      <c r="B309" s="24" t="str">
        <f>'DE ( Tarik barang retur )'!F286</f>
        <v>Apotek Kalimulya Kalimulya Cilodong</v>
      </c>
      <c r="C309" s="35">
        <f>'DE ( Tarik barang retur )'!G286</f>
        <v>6.28526E+17</v>
      </c>
      <c r="D309" s="24" t="str">
        <f>'DE ( Tarik barang retur )'!H286</f>
        <v>Jl. Raya Kalimulya RT. 005 RW. 002, Desa/Kel. Kalimulya, Kec. Cilodong, Kota Depok</v>
      </c>
      <c r="E309" s="24" t="str">
        <f>'DE ( Tarik barang retur )'!D286</f>
        <v>26060101203720ejXr9X8aKw</v>
      </c>
      <c r="F309" s="24" t="str">
        <f>'DE ( Tarik barang retur )'!R286</f>
        <v>TMP-INV-2026/06/01/ 2804832 ALOCLAIR PLUS MOUTHWASH Enseval OBAT KUMUR BOTOL 60 ML Tarik Barang Retur</v>
      </c>
      <c r="G309" s="36">
        <f>'DE ( Tarik barang retur )'!AF286</f>
        <v>46178</v>
      </c>
      <c r="H309" s="22">
        <v>46178.0</v>
      </c>
      <c r="I309" s="22">
        <v>46179.0</v>
      </c>
      <c r="J309" s="21" t="s">
        <v>5294</v>
      </c>
      <c r="K309" s="24"/>
      <c r="L309" s="25"/>
      <c r="M309" s="25"/>
      <c r="N309" s="25"/>
      <c r="O309" s="25"/>
      <c r="P309" s="25"/>
      <c r="Q309" s="25"/>
      <c r="R309" s="25"/>
      <c r="S309" s="25"/>
      <c r="T309" s="25"/>
      <c r="U309" s="25"/>
      <c r="V309" s="25"/>
      <c r="W309" s="25"/>
      <c r="X309" s="25"/>
      <c r="Y309" s="25"/>
      <c r="Z309" s="25"/>
      <c r="AA309" s="25"/>
      <c r="AB309" s="25"/>
      <c r="AC309" s="25"/>
    </row>
    <row r="310">
      <c r="A310" s="24" t="str">
        <f>'DE ( Tarik barang retur )'!AC287</f>
        <v>AWBR-4174-2026-6-5-01</v>
      </c>
      <c r="B310" s="24" t="str">
        <f>'DE ( Tarik barang retur )'!F287</f>
        <v>Apotek Karomah 4174</v>
      </c>
      <c r="C310" s="35">
        <f>'DE ( Tarik barang retur )'!G287</f>
        <v>8130964542</v>
      </c>
      <c r="D310" s="24" t="str">
        <f>'DE ( Tarik barang retur )'!H287</f>
        <v>Kp. Kedung Gede RT 013 RW 005 Desa/Kelurahan Kedung Waringin Kecamatan Kedung Waringin Kabupaten Bekasi 17540</v>
      </c>
      <c r="E310" s="24" t="str">
        <f>'DE ( Tarik barang retur )'!D287</f>
        <v>26052514285751kfMEBSV0nX</v>
      </c>
      <c r="F310" s="24" t="str">
        <f>'DE ( Tarik barang retur )'!R287</f>
        <v>TMP-INV-2026/05/26/ 2784933 MINYAK ANGIN CAP KAPAK Yahi Utama DUS, 12 BOTOL KACA @ 5 ML Tarik Barang Retur</v>
      </c>
      <c r="G310" s="36">
        <f>'DE ( Tarik barang retur )'!AF287</f>
        <v>46178</v>
      </c>
      <c r="H310" s="22">
        <v>46180.0</v>
      </c>
      <c r="I310" s="22">
        <v>46180.0</v>
      </c>
      <c r="J310" s="21" t="s">
        <v>5294</v>
      </c>
      <c r="K310" s="24"/>
      <c r="L310" s="25"/>
      <c r="M310" s="25"/>
      <c r="N310" s="25"/>
      <c r="O310" s="25"/>
      <c r="P310" s="25"/>
      <c r="Q310" s="25"/>
      <c r="R310" s="25"/>
      <c r="S310" s="25"/>
      <c r="T310" s="25"/>
      <c r="U310" s="25"/>
      <c r="V310" s="25"/>
      <c r="W310" s="25"/>
      <c r="X310" s="25"/>
      <c r="Y310" s="25"/>
      <c r="Z310" s="25"/>
      <c r="AA310" s="25"/>
      <c r="AB310" s="25"/>
      <c r="AC310" s="25"/>
    </row>
    <row r="311">
      <c r="A311" s="24" t="str">
        <f>'DE ( Tarik barang retur )'!AC288</f>
        <v>AWBR-453-2026-6-5-01</v>
      </c>
      <c r="B311" s="24" t="str">
        <f>'DE ( Tarik barang retur )'!F288</f>
        <v>Apotek Kurnia Jaya</v>
      </c>
      <c r="C311" s="35">
        <f>'DE ( Tarik barang retur )'!G288</f>
        <v>82389858226</v>
      </c>
      <c r="D311" s="24" t="str">
        <f>'DE ( Tarik barang retur )'!H288</f>
        <v>Jalan Lingkungan III RT 005 RW 003, Kelurahan Tegal Alur, Kecamatan Kali Deres Kota Administrasi, Jakarta Barat, DKI Jakarta 11820</v>
      </c>
      <c r="E311" s="24" t="str">
        <f>'DE ( Tarik barang retur )'!D288</f>
        <v>26052600572628ot2QcOH3r</v>
      </c>
      <c r="F311" s="24" t="str">
        <f>'DE ( Tarik barang retur )'!R288</f>
        <v>TMP-INV-2026/05/26/ 2786522 ALOCLAIR PLUS MOUTHWASH Enseval OBAT KUMUR BOTOL 60 ML Tarik Barang Retur</v>
      </c>
      <c r="G311" s="36">
        <f>'DE ( Tarik barang retur )'!AF288</f>
        <v>46178</v>
      </c>
      <c r="H311" s="22">
        <v>46186.0</v>
      </c>
      <c r="I311" s="22">
        <v>46187.0</v>
      </c>
      <c r="J311" s="21" t="s">
        <v>5294</v>
      </c>
      <c r="K311" s="24"/>
      <c r="L311" s="25">
        <f>COUNTIFS(A:A,A311)</f>
        <v>1</v>
      </c>
      <c r="M311" s="25"/>
      <c r="N311" s="25"/>
      <c r="O311" s="25"/>
      <c r="P311" s="25"/>
      <c r="Q311" s="25"/>
      <c r="R311" s="25"/>
      <c r="S311" s="25"/>
      <c r="T311" s="25"/>
      <c r="U311" s="25"/>
      <c r="V311" s="25"/>
      <c r="W311" s="25"/>
      <c r="X311" s="25"/>
      <c r="Y311" s="25"/>
      <c r="Z311" s="25"/>
      <c r="AA311" s="25"/>
      <c r="AB311" s="25"/>
      <c r="AC311" s="25"/>
    </row>
    <row r="312">
      <c r="A312" s="24" t="str">
        <f>'DE ( Tarik barang retur )'!AC289</f>
        <v>AWBR-13249-2026-6-5-01</v>
      </c>
      <c r="B312" s="24" t="str">
        <f>'DE ( Tarik barang retur )'!F289</f>
        <v>Apotek Lambang Sari 4 Lambangsari Tambun Selatan</v>
      </c>
      <c r="C312" s="35">
        <f>'DE ( Tarik barang retur )'!G289</f>
        <v>6.28139E+17</v>
      </c>
      <c r="D312" s="24" t="str">
        <f>'DE ( Tarik barang retur )'!H289</f>
        <v>Jln. Raya Mustikajaya Ruko No. 4 Desa/Kelurahan Lambangsari,Kecamatan Tambun Selatan,Kabupaten Bekasi,Jawa Barat,17510</v>
      </c>
      <c r="E312" s="24" t="str">
        <f>'DE ( Tarik barang retur )'!D289</f>
        <v>26060103204678MoDyj8i2q</v>
      </c>
      <c r="F312" s="24" t="str">
        <f>'DE ( Tarik barang retur )'!R289</f>
        <v>TMP-INV-2026/06/01/ 2803803 FARMOTEN Pratapa Nirmala TABLET 25 MG DUS, 10 STRIP @ 10 TABLET Tarik Barang Retur</v>
      </c>
      <c r="G312" s="36">
        <f>'DE ( Tarik barang retur )'!AF289</f>
        <v>46178</v>
      </c>
      <c r="H312" s="22">
        <v>46179.0</v>
      </c>
      <c r="I312" s="22">
        <v>46179.0</v>
      </c>
      <c r="J312" s="21" t="s">
        <v>5294</v>
      </c>
      <c r="K312" s="24"/>
      <c r="L312" s="25"/>
      <c r="M312" s="25"/>
      <c r="N312" s="25"/>
      <c r="O312" s="25"/>
      <c r="P312" s="25"/>
      <c r="Q312" s="25"/>
      <c r="R312" s="25"/>
      <c r="S312" s="25"/>
      <c r="T312" s="25"/>
      <c r="U312" s="25"/>
      <c r="V312" s="25"/>
      <c r="W312" s="25"/>
      <c r="X312" s="25"/>
      <c r="Y312" s="25"/>
      <c r="Z312" s="25"/>
      <c r="AA312" s="25"/>
      <c r="AB312" s="25"/>
      <c r="AC312" s="25"/>
    </row>
    <row r="313">
      <c r="A313" s="24" t="str">
        <f>'DE ( Tarik barang retur )'!AC290</f>
        <v>AWBR-5239-2026-6-5-01</v>
      </c>
      <c r="B313" s="24" t="str">
        <f>'DE ( Tarik barang retur )'!F290</f>
        <v>Apotek Maryam Farma</v>
      </c>
      <c r="C313" s="35">
        <f>'DE ( Tarik barang retur )'!G290</f>
        <v>6.28578E+17</v>
      </c>
      <c r="D313" s="24" t="str">
        <f>'DE ( Tarik barang retur )'!H290</f>
        <v>Jl. Karang Satria No. 123 RT. 005 RW. 007, Kel.Durenjaya, Kec.Bekasi Timur, Bekasi, Jawa Barat 17111</v>
      </c>
      <c r="E313" s="24" t="str">
        <f>'DE ( Tarik barang retur )'!D290</f>
        <v>26052501141221gClmgOd362</v>
      </c>
      <c r="F313" s="24" t="str">
        <f>'DE ( Tarik barang retur )'!R290</f>
        <v>TMP-INV-2026/05/25/ 2782054 PARACETAMOL Holi KAPLET 500 MG DUS, 10 STRIP @ 10 KAPLET Tarik Barang Retur</v>
      </c>
      <c r="G313" s="36">
        <f>'DE ( Tarik barang retur )'!AF290</f>
        <v>46178</v>
      </c>
      <c r="H313" s="22">
        <v>46179.0</v>
      </c>
      <c r="I313" s="22">
        <v>46179.0</v>
      </c>
      <c r="J313" s="21" t="s">
        <v>5294</v>
      </c>
      <c r="K313" s="24"/>
      <c r="L313" s="25"/>
      <c r="M313" s="25"/>
      <c r="N313" s="25"/>
      <c r="O313" s="25"/>
      <c r="P313" s="25"/>
      <c r="Q313" s="25"/>
      <c r="R313" s="25"/>
      <c r="S313" s="25"/>
      <c r="T313" s="25"/>
      <c r="U313" s="25"/>
      <c r="V313" s="25"/>
      <c r="W313" s="25"/>
      <c r="X313" s="25"/>
      <c r="Y313" s="25"/>
      <c r="Z313" s="25"/>
      <c r="AA313" s="25"/>
      <c r="AB313" s="25"/>
      <c r="AC313" s="25"/>
    </row>
    <row r="314">
      <c r="A314" s="24" t="str">
        <f>'DE ( Tarik barang retur )'!AC291</f>
        <v>AWBR-6535-2026-6-5-01</v>
      </c>
      <c r="B314" s="24" t="str">
        <f>'DE ( Tarik barang retur )'!F291</f>
        <v>Apotek Medpharm</v>
      </c>
      <c r="C314" s="35">
        <f>'DE ( Tarik barang retur )'!G291</f>
        <v>6.2813E+16</v>
      </c>
      <c r="D314" s="24" t="str">
        <f>'DE ( Tarik barang retur )'!H291</f>
        <v>Jl. Kemang Raya No. 60 Desa Cilodong Kecamatan Cilodong Kota Depok kode pos 16413</v>
      </c>
      <c r="E314" s="24" t="str">
        <f>'DE ( Tarik barang retur )'!D291</f>
        <v>260526005532183VNpcr4O4</v>
      </c>
      <c r="F314" s="24" t="str">
        <f>'DE ( Tarik barang retur )'!R291</f>
        <v>TMP-INV-2026/05/26/ 2787696 CITICOLINE Bernofarm TABLET 500 MG DUS, 3 BLISTER @ 10 TABLET Tarik Barang Retur</v>
      </c>
      <c r="G314" s="36">
        <f>'DE ( Tarik barang retur )'!AF291</f>
        <v>46178</v>
      </c>
      <c r="H314" s="22">
        <v>46178.0</v>
      </c>
      <c r="I314" s="22">
        <v>46179.0</v>
      </c>
      <c r="J314" s="21" t="s">
        <v>5294</v>
      </c>
      <c r="K314" s="24"/>
      <c r="L314" s="25"/>
      <c r="M314" s="25"/>
      <c r="N314" s="25"/>
      <c r="O314" s="25"/>
      <c r="P314" s="25"/>
      <c r="Q314" s="25"/>
      <c r="R314" s="25"/>
      <c r="S314" s="25"/>
      <c r="T314" s="25"/>
      <c r="U314" s="25"/>
      <c r="V314" s="25"/>
      <c r="W314" s="25"/>
      <c r="X314" s="25"/>
      <c r="Y314" s="25"/>
      <c r="Z314" s="25"/>
      <c r="AA314" s="25"/>
      <c r="AB314" s="25"/>
      <c r="AC314" s="25"/>
    </row>
    <row r="315">
      <c r="A315" s="24" t="str">
        <f>'DE ( Tarik barang retur )'!AC292</f>
        <v>AWBR-10650-2026-6-5-01</v>
      </c>
      <c r="B315" s="24" t="str">
        <f>'DE ( Tarik barang retur )'!F292</f>
        <v>Apotek Medpharm GDC Tirtajaya Sukmajaya</v>
      </c>
      <c r="C315" s="35">
        <f>'DE ( Tarik barang retur )'!G292</f>
        <v>6.28138E+17</v>
      </c>
      <c r="D315" s="24" t="str">
        <f>'DE ( Tarik barang retur )'!H292</f>
        <v>Ruko Gardenia, Grand Depok City, Grand Depok City, Jalan KSU Parung Serab, Kelurahan Tirtajaya, Kecamatan Sukmajaya, Kota Depok, Jawa Barat 16412</v>
      </c>
      <c r="E315" s="24" t="str">
        <f>'DE ( Tarik barang retur )'!D292</f>
        <v>260523040754207D9k83Md4t</v>
      </c>
      <c r="F315" s="24" t="str">
        <f>'DE ( Tarik barang retur )'!R292</f>
        <v>TMP-INV-2026/05/24/ 2779678 NELLCO SPECIAL OBH FLU DAN BATUK SIRUP DUS, BOTOL @ 100 ML Tarik Barang Retur</v>
      </c>
      <c r="G315" s="36">
        <f>'DE ( Tarik barang retur )'!AF292</f>
        <v>46178</v>
      </c>
      <c r="H315" s="22">
        <v>46178.0</v>
      </c>
      <c r="I315" s="22">
        <v>46179.0</v>
      </c>
      <c r="J315" s="21" t="s">
        <v>5294</v>
      </c>
      <c r="K315" s="24"/>
      <c r="L315" s="25"/>
      <c r="M315" s="25"/>
      <c r="N315" s="25"/>
      <c r="O315" s="25"/>
      <c r="P315" s="25"/>
      <c r="Q315" s="25"/>
      <c r="R315" s="25"/>
      <c r="S315" s="25"/>
      <c r="T315" s="25"/>
      <c r="U315" s="25"/>
      <c r="V315" s="25"/>
      <c r="W315" s="25"/>
      <c r="X315" s="25"/>
      <c r="Y315" s="25"/>
      <c r="Z315" s="25"/>
      <c r="AA315" s="25"/>
      <c r="AB315" s="25"/>
      <c r="AC315" s="25"/>
    </row>
    <row r="316">
      <c r="A316" s="24" t="str">
        <f>'DE ( Tarik barang retur )'!AC293</f>
        <v>AWBR-3042-2026-6-5-01</v>
      </c>
      <c r="B316" s="24" t="str">
        <f>'DE ( Tarik barang retur )'!F293</f>
        <v>Apotek Najah</v>
      </c>
      <c r="C316" s="35">
        <f>'DE ( Tarik barang retur )'!G293</f>
        <v>6.2859E+16</v>
      </c>
      <c r="D316" s="24" t="str">
        <f>'DE ( Tarik barang retur )'!H293</f>
        <v>Jl. Ruko Little China JD 20, Legenda Wisata Desa/Kelurahan Nagrak, Kecamatan Gunung Putri, Kabupaten Bogor, Jawa Barat, 16967</v>
      </c>
      <c r="E316" s="24" t="str">
        <f>'DE ( Tarik barang retur )'!D293</f>
        <v>260523102042150XVGnNvpw</v>
      </c>
      <c r="F316" s="24" t="str">
        <f>'DE ( Tarik barang retur )'!R293</f>
        <v>TMP-INV-2026/05/24/ 2779127 PULMOSOL Sanghiang RASA CREAMY VANILA DUS, 3 SACHET @ 50 G Tarik Barang Retur</v>
      </c>
      <c r="G316" s="36">
        <f>'DE ( Tarik barang retur )'!AF293</f>
        <v>46178</v>
      </c>
      <c r="H316" s="22">
        <v>46178.0</v>
      </c>
      <c r="I316" s="22">
        <v>46179.0</v>
      </c>
      <c r="J316" s="21" t="s">
        <v>5294</v>
      </c>
      <c r="K316" s="24"/>
      <c r="L316" s="25"/>
      <c r="M316" s="25"/>
      <c r="N316" s="25"/>
      <c r="O316" s="25"/>
      <c r="P316" s="25"/>
      <c r="Q316" s="25"/>
      <c r="R316" s="25"/>
      <c r="S316" s="25"/>
      <c r="T316" s="25"/>
      <c r="U316" s="25"/>
      <c r="V316" s="25"/>
      <c r="W316" s="25"/>
      <c r="X316" s="25"/>
      <c r="Y316" s="25"/>
      <c r="Z316" s="25"/>
      <c r="AA316" s="25"/>
      <c r="AB316" s="25"/>
      <c r="AC316" s="25"/>
    </row>
    <row r="317">
      <c r="A317" s="24" t="str">
        <f>'DE ( Tarik barang retur )'!AC294</f>
        <v>AWBR-11985-2026-6-5-01</v>
      </c>
      <c r="B317" s="24" t="str">
        <f>'DE ( Tarik barang retur )'!F294</f>
        <v>Apotek Nindya Jonggol Jonggol</v>
      </c>
      <c r="C317" s="35">
        <f>'DE ( Tarik barang retur )'!G294</f>
        <v>6.28521E+17</v>
      </c>
      <c r="D317" s="24" t="str">
        <f>'DE ( Tarik barang retur )'!H294</f>
        <v>Jl. M. Bakri No. 9 Desa Jonggol Kecamatan Jonggol Kab. Bogor</v>
      </c>
      <c r="E317" s="24" t="str">
        <f>'DE ( Tarik barang retur )'!D294</f>
        <v>26053003261333wX9coi3QKu</v>
      </c>
      <c r="F317" s="24" t="str">
        <f>'DE ( Tarik barang retur )'!R294</f>
        <v>TMP-INV-2026/05/30/ 2799437 TRINORDIOL-28 Sunthi TABLET DUS, 2 BLISTER @ 28 TABLET SALUT GULA Tarik Barang Retur</v>
      </c>
      <c r="G317" s="36">
        <f>'DE ( Tarik barang retur )'!AF294</f>
        <v>46178</v>
      </c>
      <c r="H317" s="22">
        <v>46178.0</v>
      </c>
      <c r="I317" s="22">
        <v>46179.0</v>
      </c>
      <c r="J317" s="21" t="s">
        <v>5294</v>
      </c>
      <c r="K317" s="24"/>
      <c r="L317" s="25"/>
      <c r="M317" s="25"/>
      <c r="N317" s="25"/>
      <c r="O317" s="25"/>
      <c r="P317" s="25"/>
      <c r="Q317" s="25"/>
      <c r="R317" s="25"/>
      <c r="S317" s="25"/>
      <c r="T317" s="25"/>
      <c r="U317" s="25"/>
      <c r="V317" s="25"/>
      <c r="W317" s="25"/>
      <c r="X317" s="25"/>
      <c r="Y317" s="25"/>
      <c r="Z317" s="25"/>
      <c r="AA317" s="25"/>
      <c r="AB317" s="25"/>
      <c r="AC317" s="25"/>
    </row>
    <row r="318">
      <c r="A318" s="24" t="str">
        <f>'DE ( Tarik barang retur )'!AC295</f>
        <v>AWBR-8989-2026-6-5-01</v>
      </c>
      <c r="B318" s="24" t="str">
        <f>'DE ( Tarik barang retur )'!F295</f>
        <v>Apotek Plus Serpong Farma Babakan Setu</v>
      </c>
      <c r="C318" s="35">
        <f>'DE ( Tarik barang retur )'!G295</f>
        <v>85299456766</v>
      </c>
      <c r="D318" s="24" t="str">
        <f>'DE ( Tarik barang retur )'!H295</f>
        <v>Jl. Raya Pasar jengkol No. 63 Kel. Babakan Kec. Setu Kota Tangerang Selatan 15315</v>
      </c>
      <c r="E318" s="24" t="str">
        <f>'DE ( Tarik barang retur )'!D295</f>
        <v>26052200474212lUPeN2KTER</v>
      </c>
      <c r="F318" s="24" t="str">
        <f>'DE ( Tarik barang retur )'!R295</f>
        <v>TMP-INV-2026/05/22/ 2773843 AMARYL-M Aventis TABLET 1/250 MG DUS, 3 BLISTER @ 10 TABLET SALUT SELAPUT Tarik Barang Retur</v>
      </c>
      <c r="G318" s="36">
        <f>'DE ( Tarik barang retur )'!AF295</f>
        <v>46178</v>
      </c>
      <c r="H318" s="22">
        <v>46178.0</v>
      </c>
      <c r="I318" s="22">
        <v>46179.0</v>
      </c>
      <c r="J318" s="21" t="s">
        <v>5294</v>
      </c>
      <c r="K318" s="24"/>
      <c r="L318" s="25"/>
      <c r="M318" s="25"/>
      <c r="N318" s="25"/>
      <c r="O318" s="25"/>
      <c r="P318" s="25"/>
      <c r="Q318" s="25"/>
      <c r="R318" s="25"/>
      <c r="S318" s="25"/>
      <c r="T318" s="25"/>
      <c r="U318" s="25"/>
      <c r="V318" s="25"/>
      <c r="W318" s="25"/>
      <c r="X318" s="25"/>
      <c r="Y318" s="25"/>
      <c r="Z318" s="25"/>
      <c r="AA318" s="25"/>
      <c r="AB318" s="25"/>
      <c r="AC318" s="25"/>
    </row>
    <row r="319">
      <c r="A319" s="24" t="str">
        <f>'DE ( Tarik barang retur )'!AC296</f>
        <v>AWBR-12466-2026-6-5-01</v>
      </c>
      <c r="B319" s="24" t="str">
        <f>'DE ( Tarik barang retur )'!F296</f>
        <v>Apotek Sabi Pharma Bakti Jaya Setu</v>
      </c>
      <c r="C319" s="35">
        <f>'DE ( Tarik barang retur )'!G296</f>
        <v>6.28572E+17</v>
      </c>
      <c r="D319" s="24" t="str">
        <f>'DE ( Tarik barang retur )'!H296</f>
        <v>Ruko Terrace Park Residence Blok A No. 19, Jl. AMD Babakan Pocis Kel. Bakti Jaya Kec. Setu Kota Tangerang Selatan</v>
      </c>
      <c r="E319" s="24" t="str">
        <f>'DE ( Tarik barang retur )'!D296</f>
        <v>26052603182168EQqHMjkrQ</v>
      </c>
      <c r="F319" s="24" t="str">
        <f>'DE ( Tarik barang retur )'!R296</f>
        <v>TMP-INV-2026/05/26/ 2787298 PEPTISOL Sanghiang Perkasa FRENCH VANILLA DUS, ALUMINIUM FOIL 180 G (3 Sachet @ 60 g) Tarik Barang Retur</v>
      </c>
      <c r="G319" s="36">
        <f>'DE ( Tarik barang retur )'!AF296</f>
        <v>46178</v>
      </c>
      <c r="H319" s="22">
        <v>46178.0</v>
      </c>
      <c r="I319" s="22">
        <v>46179.0</v>
      </c>
      <c r="J319" s="21" t="s">
        <v>5294</v>
      </c>
      <c r="K319" s="24"/>
      <c r="L319" s="25"/>
      <c r="M319" s="25"/>
      <c r="N319" s="25"/>
      <c r="O319" s="25"/>
      <c r="P319" s="25"/>
      <c r="Q319" s="25"/>
      <c r="R319" s="25"/>
      <c r="S319" s="25"/>
      <c r="T319" s="25"/>
      <c r="U319" s="25"/>
      <c r="V319" s="25"/>
      <c r="W319" s="25"/>
      <c r="X319" s="25"/>
      <c r="Y319" s="25"/>
      <c r="Z319" s="25"/>
      <c r="AA319" s="25"/>
      <c r="AB319" s="25"/>
      <c r="AC319" s="25"/>
    </row>
    <row r="320">
      <c r="A320" s="24" t="str">
        <f>'DE ( Tarik barang retur )'!AC297</f>
        <v>AWBR-15708-2026-6-5-01</v>
      </c>
      <c r="B320" s="24" t="str">
        <f>'DE ( Tarik barang retur )'!F297</f>
        <v>Apotek Sabi Pharma Cempaka Putih Ciputat Timur</v>
      </c>
      <c r="C320" s="35">
        <f>'DE ( Tarik barang retur )'!G297</f>
        <v>6.2813E+16</v>
      </c>
      <c r="D320" s="24" t="str">
        <f>'DE ( Tarik barang retur )'!H297</f>
        <v>Jl. Raya Kompas No. 34 RT 01 RW 01 Kel. Pondok Ranji Kec. Ciputat Timur Kota Tangerang Selatan</v>
      </c>
      <c r="E320" s="24" t="str">
        <f>'DE ( Tarik barang retur )'!D297</f>
        <v>260602032050786ScbnzoD2</v>
      </c>
      <c r="F320" s="24" t="str">
        <f>'DE ( Tarik barang retur )'!R297</f>
        <v>TMP-INV-2026/06/02/ 2808482 IMBOOST FORCE FCT+ Soho KAPLET DUS, 3 STRIP @ 10 KAPLET SALUT SELAPUT Tarik Barang Retur</v>
      </c>
      <c r="G320" s="36">
        <f>'DE ( Tarik barang retur )'!AF297</f>
        <v>46178</v>
      </c>
      <c r="H320" s="22">
        <v>46178.0</v>
      </c>
      <c r="I320" s="22">
        <v>46179.0</v>
      </c>
      <c r="J320" s="21" t="s">
        <v>5294</v>
      </c>
      <c r="K320" s="24"/>
      <c r="L320" s="25"/>
      <c r="M320" s="25"/>
      <c r="N320" s="25"/>
      <c r="O320" s="25"/>
      <c r="P320" s="25"/>
      <c r="Q320" s="25"/>
      <c r="R320" s="25"/>
      <c r="S320" s="25"/>
      <c r="T320" s="25"/>
      <c r="U320" s="25"/>
      <c r="V320" s="25"/>
      <c r="W320" s="25"/>
      <c r="X320" s="25"/>
      <c r="Y320" s="25"/>
      <c r="Z320" s="25"/>
      <c r="AA320" s="25"/>
      <c r="AB320" s="25"/>
      <c r="AC320" s="25"/>
    </row>
    <row r="321">
      <c r="A321" s="24" t="str">
        <f>'DE ( Tarik barang retur )'!AC298</f>
        <v>AWBR-2148-2026-6-5-01</v>
      </c>
      <c r="B321" s="24" t="str">
        <f>'DE ( Tarik barang retur )'!F298</f>
        <v>Apotek Salima Farma</v>
      </c>
      <c r="C321" s="35">
        <f>'DE ( Tarik barang retur )'!G298</f>
        <v>81327050527</v>
      </c>
      <c r="D321" s="24" t="str">
        <f>'DE ( Tarik barang retur )'!H298</f>
        <v>Jalan Pondok Ungu Permai Blok AM 1 No.3 RT 012 RW 012 Kelurahan Kaliabang Tengah Kecamatan Bekasi Utara Kota Bekasi 17125</v>
      </c>
      <c r="E321" s="24" t="str">
        <f>'DE ( Tarik barang retur )'!D298</f>
        <v>26052402322379bnQdTNbA54</v>
      </c>
      <c r="F321" s="24" t="str">
        <f>'DE ( Tarik barang retur )'!R298</f>
        <v>TMP-INV-2026/05/24/ 2779009 DISOLF Dexa Medica TABLET 490 MG DUS, 5 STRIP @ 6 TABLET SALUT ENTERIK Tarik Barang Retur</v>
      </c>
      <c r="G321" s="36">
        <f>'DE ( Tarik barang retur )'!AF298</f>
        <v>46178</v>
      </c>
      <c r="H321" s="22">
        <v>46179.0</v>
      </c>
      <c r="I321" s="22">
        <v>46179.0</v>
      </c>
      <c r="J321" s="21" t="s">
        <v>5294</v>
      </c>
      <c r="K321" s="24"/>
      <c r="L321" s="25"/>
      <c r="M321" s="25"/>
      <c r="N321" s="25"/>
      <c r="O321" s="25"/>
      <c r="P321" s="25"/>
      <c r="Q321" s="25"/>
      <c r="R321" s="25"/>
      <c r="S321" s="25"/>
      <c r="T321" s="25"/>
      <c r="U321" s="25"/>
      <c r="V321" s="25"/>
      <c r="W321" s="25"/>
      <c r="X321" s="25"/>
      <c r="Y321" s="25"/>
      <c r="Z321" s="25"/>
      <c r="AA321" s="25"/>
      <c r="AB321" s="25"/>
      <c r="AC321" s="25"/>
    </row>
    <row r="322">
      <c r="A322" s="24" t="str">
        <f>'DE ( Tarik barang retur )'!AC299</f>
        <v>AWBR-1288-2026-6-5-01</v>
      </c>
      <c r="B322" s="24" t="str">
        <f>'DE ( Tarik barang retur )'!F299</f>
        <v>Apotek Sehat Utama</v>
      </c>
      <c r="C322" s="35">
        <f>'DE ( Tarik barang retur )'!G299</f>
        <v>8128011014</v>
      </c>
      <c r="D322" s="24" t="str">
        <f>'DE ( Tarik barang retur )'!H299</f>
        <v>Jalan Raya Narogong KM. 22 No. 62 RT 007 RW 005 Desa Cileungsi Kecamatan Cileungsi Kabupaten Bogor 16820</v>
      </c>
      <c r="E322" s="24" t="str">
        <f>'DE ( Tarik barang retur )'!D299</f>
        <v>26060111545335HmmAHv2c</v>
      </c>
      <c r="F322" s="24" t="str">
        <f>'DE ( Tarik barang retur )'!R299</f>
        <v>TMP-INV-2026/06/02/ 2808444 DAFOXA Dexa TABLET DUS, 3 BLISTER @ 10 TABLET SALUT SELAPUT Tarik Barang Retur</v>
      </c>
      <c r="G322" s="36">
        <f>'DE ( Tarik barang retur )'!AF299</f>
        <v>46178</v>
      </c>
      <c r="H322" s="22">
        <v>46178.0</v>
      </c>
      <c r="I322" s="22">
        <v>46179.0</v>
      </c>
      <c r="J322" s="21" t="s">
        <v>5294</v>
      </c>
      <c r="K322" s="24"/>
      <c r="L322" s="25"/>
      <c r="M322" s="25"/>
      <c r="N322" s="25"/>
      <c r="O322" s="25"/>
      <c r="P322" s="25"/>
      <c r="Q322" s="25"/>
      <c r="R322" s="25"/>
      <c r="S322" s="25"/>
      <c r="T322" s="25"/>
      <c r="U322" s="25"/>
      <c r="V322" s="25"/>
      <c r="W322" s="25"/>
      <c r="X322" s="25"/>
      <c r="Y322" s="25"/>
      <c r="Z322" s="25"/>
      <c r="AA322" s="25"/>
      <c r="AB322" s="25"/>
      <c r="AC322" s="25"/>
    </row>
    <row r="323">
      <c r="A323" s="24" t="str">
        <f>'DE ( Tarik barang retur )'!AC300</f>
        <v>AWBR-1149-2026-6-5-01</v>
      </c>
      <c r="B323" s="24" t="str">
        <f>'DE ( Tarik barang retur )'!F300</f>
        <v>Apotek Waras</v>
      </c>
      <c r="C323" s="35">
        <f>'DE ( Tarik barang retur )'!G300</f>
        <v>81399209703</v>
      </c>
      <c r="D323" s="24" t="str">
        <f>'DE ( Tarik barang retur )'!H300</f>
        <v>Jalan KH. Fudholi No.67 Desa Karang Asih Kecamatan Cikarang Utara Kabupaten Bekasi 17530</v>
      </c>
      <c r="E323" s="24" t="str">
        <f>'DE ( Tarik barang retur )'!D300</f>
        <v>26042408502408T0UxXAX3j</v>
      </c>
      <c r="F323" s="24" t="str">
        <f>'DE ( Tarik barang retur )'!R300</f>
        <v>TMP-INV-2026/04/25/ 2677925 PRIMOLUT N Bayer TABLET 5 MG DUS, 2 BLISTER @ 15 TABLET Tarik Barang Retur</v>
      </c>
      <c r="G323" s="36">
        <f>'DE ( Tarik barang retur )'!AF300</f>
        <v>46178</v>
      </c>
      <c r="H323" s="22">
        <v>46179.0</v>
      </c>
      <c r="I323" s="22">
        <v>46180.0</v>
      </c>
      <c r="J323" s="21" t="s">
        <v>5294</v>
      </c>
      <c r="K323" s="24"/>
      <c r="L323" s="25"/>
      <c r="M323" s="25"/>
      <c r="N323" s="25"/>
      <c r="O323" s="25"/>
      <c r="P323" s="25"/>
      <c r="Q323" s="25"/>
      <c r="R323" s="25"/>
      <c r="S323" s="25"/>
      <c r="T323" s="25"/>
      <c r="U323" s="25"/>
      <c r="V323" s="25"/>
      <c r="W323" s="25"/>
      <c r="X323" s="25"/>
      <c r="Y323" s="25"/>
      <c r="Z323" s="25"/>
      <c r="AA323" s="25"/>
      <c r="AB323" s="25"/>
      <c r="AC323" s="25"/>
    </row>
    <row r="324">
      <c r="A324" s="24" t="str">
        <f>'DE ( Tarik barang retur )'!AC301</f>
        <v>AWBR-8423-2026-6-5-01</v>
      </c>
      <c r="B324" s="24" t="str">
        <f>'DE ( Tarik barang retur )'!F301</f>
        <v>Apotek Zee33</v>
      </c>
      <c r="C324" s="35">
        <f>'DE ( Tarik barang retur )'!G301</f>
        <v>81398912227</v>
      </c>
      <c r="D324" s="24" t="str">
        <f>'DE ( Tarik barang retur )'!H301</f>
        <v>Jl. Damai PBSI No. 3D RT.011 RW 01, Desa/Kelurahan Cipayung, Kec. Cipayung, Kota Adm. Jakarta Timur,13840</v>
      </c>
      <c r="E324" s="24" t="str">
        <f>'DE ( Tarik barang retur )'!D301</f>
        <v>26052400533712SG2sHWSej</v>
      </c>
      <c r="F324" s="24" t="str">
        <f>'DE ( Tarik barang retur )'!R301</f>
        <v>TMP-INV-2026/05/24/ 2779724 L-BIO CAP Lapi KAPSUL DUS, 2 BOTOL PLASTIK @ 15 KAPSUL Tarik Barang Retur</v>
      </c>
      <c r="G324" s="36">
        <f>'DE ( Tarik barang retur )'!AF301</f>
        <v>46178</v>
      </c>
      <c r="H324" s="22">
        <v>46179.0</v>
      </c>
      <c r="I324" s="22">
        <v>46179.0</v>
      </c>
      <c r="J324" s="21" t="s">
        <v>5294</v>
      </c>
      <c r="K324" s="24"/>
      <c r="L324" s="25"/>
      <c r="M324" s="25"/>
      <c r="N324" s="25"/>
      <c r="O324" s="25"/>
      <c r="P324" s="25"/>
      <c r="Q324" s="25"/>
      <c r="R324" s="25"/>
      <c r="S324" s="25"/>
      <c r="T324" s="25"/>
      <c r="U324" s="25"/>
      <c r="V324" s="25"/>
      <c r="W324" s="25"/>
      <c r="X324" s="25"/>
      <c r="Y324" s="25"/>
      <c r="Z324" s="25"/>
      <c r="AA324" s="25"/>
      <c r="AB324" s="25"/>
      <c r="AC324" s="25"/>
    </row>
    <row r="325">
      <c r="A325" s="24" t="str">
        <f>'DE ( Tarik barang retur )'!AC302</f>
        <v>AWBR-16406-2026-5-26-1-01</v>
      </c>
      <c r="B325" s="24" t="str">
        <f>'DE ( Tarik barang retur )'!F302</f>
        <v>Apotek Chiara Sukamulya Pagaden</v>
      </c>
      <c r="C325" s="35">
        <f>'DE ( Tarik barang retur )'!G302</f>
        <v>6.28122E+16</v>
      </c>
      <c r="D325" s="24" t="str">
        <f>'DE ( Tarik barang retur )'!H302</f>
        <v>Jl. Pasar Inpres Pagaden RT 035 RW 009, Desa/Kelurahan Sukamulya, Kec. Pagaden, Kab. Subang</v>
      </c>
      <c r="E325" s="24" t="str">
        <f>'DE ( Tarik barang retur )'!D302</f>
        <v>26051423081116NlRcmX6Kk</v>
      </c>
      <c r="F325" s="24" t="str">
        <f>'DE ( Tarik barang retur )'!R302</f>
        <v>TMP-INV-2026/05/15/ 2749386 KENSHIN Midix KAPLET DUS, 12 CATCH COVER @ STRIP @ 4 KAPLET Tarik Barang Retur</v>
      </c>
      <c r="G325" s="36">
        <f>'DE ( Tarik barang retur )'!AF302</f>
        <v>46178</v>
      </c>
      <c r="H325" s="22">
        <v>46179.0</v>
      </c>
      <c r="I325" s="22">
        <v>46182.0</v>
      </c>
      <c r="J325" s="21" t="s">
        <v>5294</v>
      </c>
      <c r="K325" s="24"/>
      <c r="L325" s="25"/>
      <c r="M325" s="25"/>
      <c r="N325" s="25"/>
      <c r="O325" s="25"/>
      <c r="P325" s="25"/>
      <c r="Q325" s="25"/>
      <c r="R325" s="25"/>
      <c r="S325" s="25"/>
      <c r="T325" s="25"/>
      <c r="U325" s="25"/>
      <c r="V325" s="25"/>
      <c r="W325" s="25"/>
      <c r="X325" s="25"/>
      <c r="Y325" s="25"/>
      <c r="Z325" s="25"/>
      <c r="AA325" s="25"/>
      <c r="AB325" s="25"/>
      <c r="AC325" s="25"/>
    </row>
    <row r="326">
      <c r="A326" s="24" t="str">
        <f>'DE ( Tarik barang retur )'!AC303</f>
        <v>AWBR-4645-2026-5-26-1-01</v>
      </c>
      <c r="B326" s="24" t="str">
        <f>'DE ( Tarik barang retur )'!F303</f>
        <v>Apotek Joglo Farma</v>
      </c>
      <c r="C326" s="35">
        <f>'DE ( Tarik barang retur )'!G303</f>
        <v>6.28122E+17</v>
      </c>
      <c r="D326" s="24" t="str">
        <f>'DE ( Tarik barang retur )'!H303</f>
        <v>Jl. Mariwati No. 5 Kp. Joglo Desa Cibadak, Kecamatan. Sukaresmi, Kabupaten. Cianjur</v>
      </c>
      <c r="E326" s="24" t="str">
        <f>'DE ( Tarik barang retur )'!D303</f>
        <v>26033113224426Tcow4czGh</v>
      </c>
      <c r="F326" s="24" t="str">
        <f>'DE ( Tarik barang retur )'!R303</f>
        <v>TMP-INV-2026/04/01/ 2590657 Semua Barang di Faktur TMP-INV-2026/04/01/ 2590657 Tarik Barang Retur</v>
      </c>
      <c r="G326" s="36">
        <f>'DE ( Tarik barang retur )'!AF303</f>
        <v>46178</v>
      </c>
      <c r="H326" s="22">
        <v>46182.0</v>
      </c>
      <c r="I326" s="22">
        <v>46183.0</v>
      </c>
      <c r="J326" s="21" t="s">
        <v>5294</v>
      </c>
      <c r="K326" s="24"/>
      <c r="L326" s="25"/>
      <c r="M326" s="25"/>
      <c r="N326" s="25"/>
      <c r="O326" s="25"/>
      <c r="P326" s="25"/>
      <c r="Q326" s="25"/>
      <c r="R326" s="25"/>
      <c r="S326" s="25"/>
      <c r="T326" s="25"/>
      <c r="U326" s="25"/>
      <c r="V326" s="25"/>
      <c r="W326" s="25"/>
      <c r="X326" s="25"/>
      <c r="Y326" s="25"/>
      <c r="Z326" s="25"/>
      <c r="AA326" s="25"/>
      <c r="AB326" s="25"/>
      <c r="AC326" s="25"/>
    </row>
    <row r="327">
      <c r="A327" s="24" t="str">
        <f>'DE ( Tarik barang retur )'!AC304</f>
        <v>AWBR-17105-2026-5-26-1-01</v>
      </c>
      <c r="B327" s="24" t="str">
        <f>'DE ( Tarik barang retur )'!F304</f>
        <v>Apotek Lestari Medika Utama Cisaga Cisaga</v>
      </c>
      <c r="C327" s="35">
        <f>'DE ( Tarik barang retur )'!G304</f>
        <v>6.28533E+17</v>
      </c>
      <c r="D327" s="24" t="str">
        <f>'DE ( Tarik barang retur )'!H304</f>
        <v>Jalan Cisaga -Rancah RT 001 RW 001, Desa/Kelurahan Cisaga,Kec. Cisaga, Kab. Ciamis</v>
      </c>
      <c r="E327" s="24" t="str">
        <f>'DE ( Tarik barang retur )'!D304</f>
        <v>26051210395345qMiwP1cox</v>
      </c>
      <c r="F327" s="24" t="str">
        <f>'DE ( Tarik barang retur )'!R304</f>
        <v>TMP-INV-2026/05/13/ 2743349 MEDISIO Faratu 36 % DUS, 1 BOTOL PLASIK @ 10 ML Tarik Barang Retur</v>
      </c>
      <c r="G327" s="36">
        <f>'DE ( Tarik barang retur )'!AF304</f>
        <v>46178</v>
      </c>
      <c r="H327" s="22">
        <v>46178.0</v>
      </c>
      <c r="I327" s="22">
        <v>46182.0</v>
      </c>
      <c r="J327" s="21" t="s">
        <v>5294</v>
      </c>
      <c r="K327" s="24"/>
      <c r="L327" s="25"/>
      <c r="M327" s="25"/>
      <c r="N327" s="25"/>
      <c r="O327" s="25"/>
      <c r="P327" s="25"/>
      <c r="Q327" s="25"/>
      <c r="R327" s="25"/>
      <c r="S327" s="25"/>
      <c r="T327" s="25"/>
      <c r="U327" s="25"/>
      <c r="V327" s="25"/>
      <c r="W327" s="25"/>
      <c r="X327" s="25"/>
      <c r="Y327" s="25"/>
      <c r="Z327" s="25"/>
      <c r="AA327" s="25"/>
      <c r="AB327" s="25"/>
      <c r="AC327" s="25"/>
    </row>
    <row r="328">
      <c r="A328" s="24" t="str">
        <f>'DE ( Tarik barang retur )'!AC305</f>
        <v>AWBR-16838-2026-5-26-1-01</v>
      </c>
      <c r="B328" s="24" t="str">
        <f>'DE ( Tarik barang retur )'!F305</f>
        <v>Apotek Penuai Sindanglaya Cipanas</v>
      </c>
      <c r="C328" s="35">
        <f>'DE ( Tarik barang retur )'!G305</f>
        <v>6.28534E+17</v>
      </c>
      <c r="D328" s="24" t="str">
        <f>'DE ( Tarik barang retur )'!H305</f>
        <v>Jl. Raya Cipanas RT 001 RW 011 Desa Cipendawa Kec. Pacet Kab Cianjur</v>
      </c>
      <c r="E328" s="24" t="str">
        <f>'DE ( Tarik barang retur )'!D305</f>
        <v>26040806083140BLygcLkVGb</v>
      </c>
      <c r="F328" s="24" t="str">
        <f>'DE ( Tarik barang retur )'!R305</f>
        <v>TMP-INV-2026/04/09/ 2620193 / TMP-INV-2026/04/09/ 2620215 BIOPLACENTON Kalbe GEL DUS, 1 TUBE @ 15 G / BYEBYE-FEVER ANAK Hisamitsu PLESTER KOMPRES DEMAM DUS, 10 LEMBAR Tarik Barang Retur</v>
      </c>
      <c r="G328" s="36">
        <f>'DE ( Tarik barang retur )'!AF305</f>
        <v>46178</v>
      </c>
      <c r="H328" s="22">
        <v>46183.0</v>
      </c>
      <c r="I328" s="22">
        <v>46186.0</v>
      </c>
      <c r="J328" s="21" t="s">
        <v>5294</v>
      </c>
      <c r="K328" s="24"/>
      <c r="L328" s="25"/>
      <c r="M328" s="25"/>
      <c r="N328" s="25"/>
      <c r="O328" s="25"/>
      <c r="P328" s="25"/>
      <c r="Q328" s="25"/>
      <c r="R328" s="25"/>
      <c r="S328" s="25"/>
      <c r="T328" s="25"/>
      <c r="U328" s="25"/>
      <c r="V328" s="25"/>
      <c r="W328" s="25"/>
      <c r="X328" s="25"/>
      <c r="Y328" s="25"/>
      <c r="Z328" s="25"/>
      <c r="AA328" s="25"/>
      <c r="AB328" s="25"/>
      <c r="AC328" s="25"/>
    </row>
    <row r="329">
      <c r="A329" s="24" t="str">
        <f>'DE ( Tarik barang retur )'!AC306</f>
        <v>AWBR-17037-2026-5-26-1-01</v>
      </c>
      <c r="B329" s="24" t="str">
        <f>'DE ( Tarik barang retur )'!F306</f>
        <v>Apotek Sabi Pharma Palabuhanratu Palabuhanratu</v>
      </c>
      <c r="C329" s="35">
        <f>'DE ( Tarik barang retur )'!G306</f>
        <v>6.28577E+17</v>
      </c>
      <c r="D329" s="24" t="str">
        <f>'DE ( Tarik barang retur )'!H306</f>
        <v>Jl. Raya Cangehgar No.2, RT.002/RW.003 Kp. Cangehgar Desa Palabuhanratu, Kec. Pelabuhanratu, Kabupaten Sukabumi</v>
      </c>
      <c r="E329" s="24" t="str">
        <f>'DE ( Tarik barang retur )'!D306</f>
        <v>260513010617071MeqqubpOw</v>
      </c>
      <c r="F329" s="24" t="str">
        <f>'DE ( Tarik barang retur )'!R306</f>
        <v>TMP-INV-2026/05/13/ 2743106 SP TROCHES Meiji TABLET HISAP RASA STRAWBERRY AMPLOP @ 1 BLISTER @ 6 TABLET HISAP Tarik Barang Retur</v>
      </c>
      <c r="G329" s="36">
        <f>'DE ( Tarik barang retur )'!AF306</f>
        <v>46178</v>
      </c>
      <c r="H329" s="21"/>
      <c r="I329" s="24"/>
      <c r="J329" s="21" t="s">
        <v>5307</v>
      </c>
      <c r="K329" s="24"/>
      <c r="L329" s="25"/>
      <c r="M329" s="25"/>
      <c r="N329" s="25"/>
      <c r="O329" s="25"/>
      <c r="P329" s="25"/>
      <c r="Q329" s="25"/>
      <c r="R329" s="25"/>
      <c r="S329" s="25"/>
      <c r="T329" s="25"/>
      <c r="U329" s="25"/>
      <c r="V329" s="25"/>
      <c r="W329" s="25"/>
      <c r="X329" s="25"/>
      <c r="Y329" s="25"/>
      <c r="Z329" s="25"/>
      <c r="AA329" s="25"/>
      <c r="AB329" s="25"/>
      <c r="AC329" s="25"/>
    </row>
    <row r="330">
      <c r="A330" s="24" t="str">
        <f>'DE ( Tarik barang retur )'!AC307</f>
        <v>AWBR-16009-2026-5-23-01</v>
      </c>
      <c r="B330" s="24" t="str">
        <f>'DE ( Tarik barang retur )'!F307</f>
        <v>Apotek Jaya Medika Premiere Muara Ciujung Barat Rangkasbitung</v>
      </c>
      <c r="C330" s="35">
        <f>'DE ( Tarik barang retur )'!G307</f>
        <v>6.28122E+17</v>
      </c>
      <c r="D330" s="24" t="str">
        <f>'DE ( Tarik barang retur )'!H307</f>
        <v>Jl. Multatuli No.62 RT/RW 001/002 Muara Ciujung Barat, Desa/Kelurahan Muara Ciujung Barat, Kec. Rangkasbitung, Kab. Lebak</v>
      </c>
      <c r="E330" s="24" t="str">
        <f>'DE ( Tarik barang retur )'!D307</f>
        <v>26050408090871H5p2r5yxg</v>
      </c>
      <c r="F330" s="24" t="str">
        <f>'DE ( Tarik barang retur )'!R307</f>
        <v>TMP-INV-2026/05/05/ 2712518 / IMBOOST FORCE ULTIMATE Soho KAPLET DUS, 3 STRIP @ 10 KAPLET SALUT SELAPUT / Tarik Barang Retur</v>
      </c>
      <c r="G330" s="36">
        <f>'DE ( Tarik barang retur )'!AF307</f>
        <v>46178</v>
      </c>
      <c r="H330" s="22">
        <v>46178.0</v>
      </c>
      <c r="I330" s="22">
        <v>46179.0</v>
      </c>
      <c r="J330" s="21" t="s">
        <v>5294</v>
      </c>
      <c r="K330" s="24"/>
      <c r="L330" s="25"/>
      <c r="M330" s="25"/>
      <c r="N330" s="25"/>
      <c r="O330" s="25"/>
      <c r="P330" s="25"/>
      <c r="Q330" s="25"/>
      <c r="R330" s="25"/>
      <c r="S330" s="25"/>
      <c r="T330" s="25"/>
      <c r="U330" s="25"/>
      <c r="V330" s="25"/>
      <c r="W330" s="25"/>
      <c r="X330" s="25"/>
      <c r="Y330" s="25"/>
      <c r="Z330" s="25"/>
      <c r="AA330" s="25"/>
      <c r="AB330" s="25"/>
      <c r="AC330" s="25"/>
    </row>
    <row r="331">
      <c r="A331" s="24" t="str">
        <f>'DE ( Tarik barang retur )'!AC308</f>
        <v>AWBR-4627-2026-5-21-01</v>
      </c>
      <c r="B331" s="24" t="str">
        <f>'DE ( Tarik barang retur )'!F308</f>
        <v>Apotek Pawanta Kalibaruwetan Kalibaru</v>
      </c>
      <c r="C331" s="35">
        <f>'DE ( Tarik barang retur )'!G308</f>
        <v>6.28232E+17</v>
      </c>
      <c r="D331" s="24" t="str">
        <f>'DE ( Tarik barang retur )'!H308</f>
        <v>Dusun Tegalpakis RT. 004 RW. 004, Desa Kalibaru Wetan, Kecamatan Kalibaru,Kabupaten Banyuwangi,Jawa Timur, 68467</v>
      </c>
      <c r="E331" s="24" t="str">
        <f>'DE ( Tarik barang retur )'!D308</f>
        <v>26052200495469Fj6vRwDZd</v>
      </c>
      <c r="F331" s="24" t="str">
        <f>'DE ( Tarik barang retur )'!R308</f>
        <v>TMP-INV-2026/04/13/ 2633219 - TOLAK ANGIN BATUK Sido Muncul - Tarik Barang Lebih</v>
      </c>
      <c r="G331" s="36">
        <f>'DE ( Tarik barang retur )'!AF308</f>
        <v>46178</v>
      </c>
      <c r="H331" s="22">
        <v>46184.0</v>
      </c>
      <c r="I331" s="22">
        <v>46184.0</v>
      </c>
      <c r="J331" s="21" t="s">
        <v>5294</v>
      </c>
      <c r="K331" s="24"/>
      <c r="L331" s="25"/>
      <c r="M331" s="25"/>
      <c r="N331" s="25"/>
      <c r="O331" s="25"/>
      <c r="P331" s="25"/>
      <c r="Q331" s="25"/>
      <c r="R331" s="25"/>
      <c r="S331" s="25"/>
      <c r="T331" s="25"/>
      <c r="U331" s="25"/>
      <c r="V331" s="25"/>
      <c r="W331" s="25"/>
      <c r="X331" s="25"/>
      <c r="Y331" s="25"/>
      <c r="Z331" s="25"/>
      <c r="AA331" s="25"/>
      <c r="AB331" s="25"/>
      <c r="AC331" s="25"/>
    </row>
    <row r="332">
      <c r="A332" s="24" t="str">
        <f>'DE ( Tarik barang retur )'!AC309</f>
        <v>AWBR-1040-2026-6-6-01</v>
      </c>
      <c r="B332" s="24" t="str">
        <f>'DE ( Tarik barang retur )'!F309</f>
        <v>Apotek Bahagia 1040</v>
      </c>
      <c r="C332" s="35">
        <f>'DE ( Tarik barang retur )'!G309</f>
        <v>81291779304</v>
      </c>
      <c r="D332" s="24" t="str">
        <f>'DE ( Tarik barang retur )'!H309</f>
        <v>Perum Pondok Ungu Permai Sektor V Blok E1 No.17A Kelurahan Bahagia Kecamatan Babelan Bekasi 17610</v>
      </c>
      <c r="E332" s="24" t="str">
        <f>'DE ( Tarik barang retur )'!D309</f>
        <v>2605270646534683oPzgR6B</v>
      </c>
      <c r="F332" s="24" t="str">
        <f>'DE ( Tarik barang retur )'!R309</f>
        <v>TMP-INV-2026/05/27/ 2789869 NEPHROLIT Kalbe KAPSUL DUS, 20 STRIP @ 5 KAPSUL / XENICAL Tunggal Idaman KAPSUL 120 MG DUS, 1 BLISTER @ 21 KAPSUL Tarik Barang Retur</v>
      </c>
      <c r="G332" s="36">
        <f>'DE ( Tarik barang retur )'!AF309</f>
        <v>46179</v>
      </c>
      <c r="H332" s="22">
        <v>46180.0</v>
      </c>
      <c r="I332" s="22">
        <v>46180.0</v>
      </c>
      <c r="J332" s="21" t="s">
        <v>5294</v>
      </c>
      <c r="K332" s="24"/>
      <c r="L332" s="25"/>
      <c r="M332" s="25"/>
      <c r="N332" s="25"/>
      <c r="O332" s="25"/>
      <c r="P332" s="25"/>
      <c r="Q332" s="25"/>
      <c r="R332" s="25"/>
      <c r="S332" s="25"/>
      <c r="T332" s="25"/>
      <c r="U332" s="25"/>
      <c r="V332" s="25"/>
      <c r="W332" s="25"/>
      <c r="X332" s="25"/>
      <c r="Y332" s="25"/>
      <c r="Z332" s="25"/>
      <c r="AA332" s="25"/>
      <c r="AB332" s="25"/>
      <c r="AC332" s="25"/>
    </row>
    <row r="333">
      <c r="A333" s="24" t="str">
        <f>'DE ( Tarik barang retur )'!AC310</f>
        <v>AWBR-7207-2026-6-6-01</v>
      </c>
      <c r="B333" s="24" t="str">
        <f>'DE ( Tarik barang retur )'!F310</f>
        <v>Apotek Cemerlang Farma</v>
      </c>
      <c r="C333" s="35">
        <f>'DE ( Tarik barang retur )'!G310</f>
        <v>6.28211E+17</v>
      </c>
      <c r="D333" s="24" t="str">
        <f>'DE ( Tarik barang retur )'!H310</f>
        <v>Jl. Buwek Raya No. 94 RT 003/RW 022 Desa Sumberjaya, Kec. Tambun Selatan, Kabupaten Bekasi</v>
      </c>
      <c r="E333" s="24" t="str">
        <f>'DE ( Tarik barang retur )'!D310</f>
        <v>26041315220171wI6ixqa73</v>
      </c>
      <c r="F333" s="24" t="str">
        <f>'DE ( Tarik barang retur )'!R310</f>
        <v>TMP-INV-2026/04/14/ 2635278 DETTOL ANTISEPTIK CAIR BOTOL 245 ML Tarik Barang Damaged</v>
      </c>
      <c r="G333" s="36">
        <f>'DE ( Tarik barang retur )'!AF310</f>
        <v>46179</v>
      </c>
      <c r="H333" s="22">
        <v>46181.0</v>
      </c>
      <c r="I333" s="22">
        <v>46185.0</v>
      </c>
      <c r="J333" s="21" t="s">
        <v>5294</v>
      </c>
      <c r="K333" s="24"/>
      <c r="L333" s="25"/>
      <c r="M333" s="25"/>
      <c r="N333" s="25"/>
      <c r="O333" s="25"/>
      <c r="P333" s="25"/>
      <c r="Q333" s="25"/>
      <c r="R333" s="25"/>
      <c r="S333" s="25"/>
      <c r="T333" s="25"/>
      <c r="U333" s="25"/>
      <c r="V333" s="25"/>
      <c r="W333" s="25"/>
      <c r="X333" s="25"/>
      <c r="Y333" s="25"/>
      <c r="Z333" s="25"/>
      <c r="AA333" s="25"/>
      <c r="AB333" s="25"/>
      <c r="AC333" s="25"/>
    </row>
    <row r="334">
      <c r="A334" s="24" t="str">
        <f>'DE ( Tarik barang retur )'!AC311</f>
        <v>AWBR-10645-2026-6-6-01</v>
      </c>
      <c r="B334" s="24" t="str">
        <f>'DE ( Tarik barang retur )'!F311</f>
        <v>Apotek Habiby Muktiwari Cibitung</v>
      </c>
      <c r="C334" s="35">
        <f>'DE ( Tarik barang retur )'!G311</f>
        <v>6.28584E+17</v>
      </c>
      <c r="D334" s="24" t="str">
        <f>'DE ( Tarik barang retur )'!H311</f>
        <v>Perumahan Permata Muktiwari Residence Blok A1 No. 05 Desa/Kelurahan Muktiwari, Kecamatan Cibitung, Kabupaten Bekasi, Jawa Barat 17519</v>
      </c>
      <c r="E334" s="24" t="str">
        <f>'DE ( Tarik barang retur )'!D311</f>
        <v>26051309064050LfprE0Jh</v>
      </c>
      <c r="F334" s="24" t="str">
        <f>'DE ( Tarik barang retur )'!R311</f>
        <v>TMP-INV-2026/05/14/ 2743793 DULCOLAX Boehringer SUPPOSITORIA 5 MG DUS, 1 STRIP @ 6 SUPPOSITORIA Tarik Barang Damaged</v>
      </c>
      <c r="G334" s="36">
        <f>'DE ( Tarik barang retur )'!AF311</f>
        <v>46179</v>
      </c>
      <c r="H334" s="22">
        <v>46180.0</v>
      </c>
      <c r="I334" s="22">
        <v>46180.0</v>
      </c>
      <c r="J334" s="21" t="s">
        <v>5294</v>
      </c>
      <c r="K334" s="24"/>
      <c r="L334" s="25"/>
      <c r="M334" s="25"/>
      <c r="N334" s="25"/>
      <c r="O334" s="25"/>
      <c r="P334" s="25"/>
      <c r="Q334" s="25"/>
      <c r="R334" s="25"/>
      <c r="S334" s="25"/>
      <c r="T334" s="25"/>
      <c r="U334" s="25"/>
      <c r="V334" s="25"/>
      <c r="W334" s="25"/>
      <c r="X334" s="25"/>
      <c r="Y334" s="25"/>
      <c r="Z334" s="25"/>
      <c r="AA334" s="25"/>
      <c r="AB334" s="25"/>
      <c r="AC334" s="25"/>
    </row>
    <row r="335">
      <c r="A335" s="24" t="str">
        <f>'DE ( Tarik barang retur )'!AC312</f>
        <v>AWBR-11223-2026-6-6-01</v>
      </c>
      <c r="B335" s="24" t="str">
        <f>'DE ( Tarik barang retur )'!F312</f>
        <v>Apotek Jivaka Kalijaya Cikarang Barat</v>
      </c>
      <c r="C335" s="35">
        <f>'DE ( Tarik barang retur )'!G312</f>
        <v>6.28211E+17</v>
      </c>
      <c r="D335" s="24" t="str">
        <f>'DE ( Tarik barang retur )'!H312</f>
        <v>Kp. Cikarang Poncol RT 03 RW 05 Desa/Kel. Kalijaya, Kec. Cikarang Barat, Kab. Bekasi, 17530</v>
      </c>
      <c r="E335" s="24" t="str">
        <f>'DE ( Tarik barang retur )'!D312</f>
        <v>260422103851883eOqp8a9b</v>
      </c>
      <c r="F335" s="24" t="str">
        <f>'DE ( Tarik barang retur )'!R312</f>
        <v>TMP-INV-2026/04/23/ 2667611 Tarik Form Retur</v>
      </c>
      <c r="G335" s="36">
        <f>'DE ( Tarik barang retur )'!AF312</f>
        <v>46179</v>
      </c>
      <c r="H335" s="22">
        <v>46180.0</v>
      </c>
      <c r="I335" s="22">
        <v>46180.0</v>
      </c>
      <c r="J335" s="21" t="s">
        <v>5294</v>
      </c>
      <c r="K335" s="24"/>
      <c r="L335" s="25"/>
      <c r="M335" s="25"/>
      <c r="N335" s="25"/>
      <c r="O335" s="25"/>
      <c r="P335" s="25"/>
      <c r="Q335" s="25"/>
      <c r="R335" s="25"/>
      <c r="S335" s="25"/>
      <c r="T335" s="25"/>
      <c r="U335" s="25"/>
      <c r="V335" s="25"/>
      <c r="W335" s="25"/>
      <c r="X335" s="25"/>
      <c r="Y335" s="25"/>
      <c r="Z335" s="25"/>
      <c r="AA335" s="25"/>
      <c r="AB335" s="25"/>
      <c r="AC335" s="25"/>
    </row>
    <row r="336">
      <c r="A336" s="24" t="str">
        <f>'DE ( Tarik barang retur )'!AC313</f>
        <v>AWBR-8946-2026-6-6-01</v>
      </c>
      <c r="B336" s="24" t="str">
        <f>'DE ( Tarik barang retur )'!F313</f>
        <v>Apotek JS Apotek 2 Kelapa Dua Wetan Ciracas inactive</v>
      </c>
      <c r="C336" s="35">
        <f>'DE ( Tarik barang retur )'!G313</f>
        <v>6.28222E+17</v>
      </c>
      <c r="D336" s="24" t="str">
        <f>'DE ( Tarik barang retur )'!H313</f>
        <v>Jalan Raya Kelapa Dua Wetan, Kel. Kelapa Dua Wetan, Kec. Ciracas, Kota Jakarta Timur, DKI Jakarta 13720</v>
      </c>
      <c r="E336" s="24" t="str">
        <f>'DE ( Tarik barang retur )'!D313</f>
        <v>24050413230897IDQGiWFoA</v>
      </c>
      <c r="F336" s="24" t="str">
        <f>'DE ( Tarik barang retur )'!R313</f>
        <v>TMP-INV-2024/05/05/ 764117 FIESTA INTIM WARM GEL Dkt DUS, TUBE 70 ML Tarik Barang Retur</v>
      </c>
      <c r="G336" s="36">
        <f>'DE ( Tarik barang retur )'!AF313</f>
        <v>46179</v>
      </c>
      <c r="H336" s="22">
        <v>46180.0</v>
      </c>
      <c r="I336" s="22">
        <v>46182.0</v>
      </c>
      <c r="J336" s="21" t="s">
        <v>5294</v>
      </c>
      <c r="K336" s="24"/>
      <c r="L336" s="25"/>
      <c r="M336" s="25"/>
      <c r="N336" s="25"/>
      <c r="O336" s="25"/>
      <c r="P336" s="25"/>
      <c r="Q336" s="25"/>
      <c r="R336" s="25"/>
      <c r="S336" s="25"/>
      <c r="T336" s="25"/>
      <c r="U336" s="25"/>
      <c r="V336" s="25"/>
      <c r="W336" s="25"/>
      <c r="X336" s="25"/>
      <c r="Y336" s="25"/>
      <c r="Z336" s="25"/>
      <c r="AA336" s="25"/>
      <c r="AB336" s="25"/>
      <c r="AC336" s="25"/>
    </row>
    <row r="337">
      <c r="A337" s="24" t="str">
        <f>'DE ( Tarik barang retur )'!AC314</f>
        <v>AWBR-10700-2026-6-6-01</v>
      </c>
      <c r="B337" s="24" t="str">
        <f>'DE ( Tarik barang retur )'!F314</f>
        <v>Apotek K24 Citra Indah 2 Sukamaju Jonggol</v>
      </c>
      <c r="C337" s="35">
        <f>'DE ( Tarik barang retur )'!G314</f>
        <v>6.28139E+17</v>
      </c>
      <c r="D337" s="24" t="str">
        <f>'DE ( Tarik barang retur )'!H314</f>
        <v>Ruko Citra Indah Jonggol Blok SS 05 No. 3, Perum Citra Indah Desa/Kelurahan Sukamaju, Kecamatan Jonggol, Kabupaten Bogor, Jawa Barat 16830</v>
      </c>
      <c r="E337" s="24" t="str">
        <f>'DE ( Tarik barang retur )'!D314</f>
        <v>26050603424749YfmtBJSBb</v>
      </c>
      <c r="F337" s="24" t="str">
        <f>'DE ( Tarik barang retur )'!R314</f>
        <v>TMP-INV-2026/05/06/ 2715985 / TMP-INV-2026/05/18/ 2756619 ALPENTIN Actavis KAPSUL 100 MG DUS, 5 BLISTER @ 10 KAPSUL / TRINORDIOL-28 Sunthi TABLET DUS, 2 BLISTER @ 28 TABLET SALUT GULA / INCIDAL-OD Bayer KAPSUL DUS, 1 STRIP @ 4 KAPSUL Tarik Barang Retur</v>
      </c>
      <c r="G337" s="36">
        <f>'DE ( Tarik barang retur )'!AF314</f>
        <v>46179</v>
      </c>
      <c r="H337" s="22">
        <v>46179.0</v>
      </c>
      <c r="I337" s="22">
        <v>46180.0</v>
      </c>
      <c r="J337" s="21" t="s">
        <v>5294</v>
      </c>
      <c r="K337" s="24"/>
      <c r="L337" s="25"/>
      <c r="M337" s="25"/>
      <c r="N337" s="25"/>
      <c r="O337" s="25"/>
      <c r="P337" s="25"/>
      <c r="Q337" s="25"/>
      <c r="R337" s="25"/>
      <c r="S337" s="25"/>
      <c r="T337" s="25"/>
      <c r="U337" s="25"/>
      <c r="V337" s="25"/>
      <c r="W337" s="25"/>
      <c r="X337" s="25"/>
      <c r="Y337" s="25"/>
      <c r="Z337" s="25"/>
      <c r="AA337" s="25"/>
      <c r="AB337" s="25"/>
      <c r="AC337" s="25"/>
    </row>
    <row r="338">
      <c r="A338" s="24" t="str">
        <f>'DE ( Tarik barang retur )'!AC315</f>
        <v>AWBR-9208-2026-6-6-01</v>
      </c>
      <c r="B338" s="24" t="str">
        <f>'DE ( Tarik barang retur )'!F315</f>
        <v>Apotek Kalilicin Rangkapan Jaya Pancoran Mas</v>
      </c>
      <c r="C338" s="35">
        <f>'DE ( Tarik barang retur )'!G315</f>
        <v>215703335</v>
      </c>
      <c r="D338" s="24" t="str">
        <f>'DE ( Tarik barang retur )'!H315</f>
        <v>Ruko Rangkapan Jaya No 02-03, Kel. Rangkapan Jaya, Kec. Pancoran Mas, Kota Depok 16435</v>
      </c>
      <c r="E338" s="24" t="str">
        <f>'DE ( Tarik barang retur )'!D315</f>
        <v>26051004515031AKLLf4PVdJ</v>
      </c>
      <c r="F338" s="24" t="str">
        <f>'DE ( Tarik barang retur )'!R315</f>
        <v>TMP-INV-2026/05/10/ 2730572/ TMP-INV-2026/05/12/ 2738592 FENRIS Interbat SUSPENSI DUS, BOTOL 60 ML / TRINORDIOL-28 Sunthi TABLET DUS, 2 BLISTER @ 28 TABLET SALUT GULA Tarik Barang Retur</v>
      </c>
      <c r="G338" s="36">
        <f>'DE ( Tarik barang retur )'!AF315</f>
        <v>46179</v>
      </c>
      <c r="H338" s="22">
        <v>46179.0</v>
      </c>
      <c r="I338" s="22">
        <v>46180.0</v>
      </c>
      <c r="J338" s="21" t="s">
        <v>5294</v>
      </c>
      <c r="K338" s="24"/>
      <c r="L338" s="25"/>
      <c r="M338" s="25"/>
      <c r="N338" s="25"/>
      <c r="O338" s="25"/>
      <c r="P338" s="25"/>
      <c r="Q338" s="25"/>
      <c r="R338" s="25"/>
      <c r="S338" s="25"/>
      <c r="T338" s="25"/>
      <c r="U338" s="25"/>
      <c r="V338" s="25"/>
      <c r="W338" s="25"/>
      <c r="X338" s="25"/>
      <c r="Y338" s="25"/>
      <c r="Z338" s="25"/>
      <c r="AA338" s="25"/>
      <c r="AB338" s="25"/>
      <c r="AC338" s="25"/>
    </row>
    <row r="339">
      <c r="A339" s="24" t="str">
        <f>'DE ( Tarik barang retur )'!AC316</f>
        <v>AWBR-1032-2026-6-6-01</v>
      </c>
      <c r="B339" s="24" t="str">
        <f>'DE ( Tarik barang retur )'!F316</f>
        <v>Apotek Mitra Ciracas</v>
      </c>
      <c r="C339" s="35">
        <f>'DE ( Tarik barang retur )'!G316</f>
        <v>81310611737</v>
      </c>
      <c r="D339" s="24" t="str">
        <f>'DE ( Tarik barang retur )'!H316</f>
        <v>Jalan Centex No.85 RT 002 RW 003 Kelurahan Ciracas Kecamatan Ciracas Jakarta Timur 13740</v>
      </c>
      <c r="E339" s="24" t="str">
        <f>'DE ( Tarik barang retur )'!D316</f>
        <v>26052604582364HxU8b6JWO</v>
      </c>
      <c r="F339" s="24" t="str">
        <f>'DE ( Tarik barang retur )'!R316</f>
        <v>TMP-INV-2026/05/27/ 2789466 LISINOPRIL DIHYDRATE Bernofarm TABLET 5 MG DUS, 10 STRIP @ 10 TABLET Tarik Barang Retur</v>
      </c>
      <c r="G339" s="36">
        <f>'DE ( Tarik barang retur )'!AF316</f>
        <v>46179</v>
      </c>
      <c r="H339" s="22">
        <v>46181.0</v>
      </c>
      <c r="I339" s="22">
        <v>46182.0</v>
      </c>
      <c r="J339" s="21" t="s">
        <v>5294</v>
      </c>
      <c r="K339" s="24"/>
      <c r="L339" s="25"/>
      <c r="M339" s="25"/>
      <c r="N339" s="25"/>
      <c r="O339" s="25"/>
      <c r="P339" s="25"/>
      <c r="Q339" s="25"/>
      <c r="R339" s="25"/>
      <c r="S339" s="25"/>
      <c r="T339" s="25"/>
      <c r="U339" s="25"/>
      <c r="V339" s="25"/>
      <c r="W339" s="25"/>
      <c r="X339" s="25"/>
      <c r="Y339" s="25"/>
      <c r="Z339" s="25"/>
      <c r="AA339" s="25"/>
      <c r="AB339" s="25"/>
      <c r="AC339" s="25"/>
    </row>
    <row r="340">
      <c r="A340" s="24" t="str">
        <f>'DE ( Tarik barang retur )'!AC317</f>
        <v>AWBR-990-2026-6-6-01</v>
      </c>
      <c r="B340" s="24" t="str">
        <f>'DE ( Tarik barang retur )'!F317</f>
        <v>Apotek Nurhikmah</v>
      </c>
      <c r="C340" s="35">
        <f>'DE ( Tarik barang retur )'!G317</f>
        <v>81991086509</v>
      </c>
      <c r="D340" s="24" t="str">
        <f>'DE ( Tarik barang retur )'!H317</f>
        <v>Jalan Raya Parung No.576 RT 001 RW 006 Desa Parung Kecamatan Parung Kabupaten Bogor Bogor 16330</v>
      </c>
      <c r="E340" s="24" t="str">
        <f>'DE ( Tarik barang retur )'!D317</f>
        <v>26053005191270q0MptT3urd</v>
      </c>
      <c r="F340" s="24" t="str">
        <f>'DE ( Tarik barang retur )'!R317</f>
        <v>TMP-INV-2026/06/01/ 2804645 COOL-VITA HEALTHY SKIN COLLAGEN+VITAMIN C TUBE PLASTIK @ 10 TABLET EFFERVESCENT Tarik Barang Retur</v>
      </c>
      <c r="G340" s="36">
        <f>'DE ( Tarik barang retur )'!AF317</f>
        <v>46179</v>
      </c>
      <c r="H340" s="22">
        <v>46180.0</v>
      </c>
      <c r="I340" s="22">
        <v>46182.0</v>
      </c>
      <c r="J340" s="21" t="s">
        <v>5294</v>
      </c>
      <c r="K340" s="24"/>
      <c r="L340" s="25"/>
      <c r="M340" s="25"/>
      <c r="N340" s="25"/>
      <c r="O340" s="25"/>
      <c r="P340" s="25"/>
      <c r="Q340" s="25"/>
      <c r="R340" s="25"/>
      <c r="S340" s="25"/>
      <c r="T340" s="25"/>
      <c r="U340" s="25"/>
      <c r="V340" s="25"/>
      <c r="W340" s="25"/>
      <c r="X340" s="25"/>
      <c r="Y340" s="25"/>
      <c r="Z340" s="25"/>
      <c r="AA340" s="25"/>
      <c r="AB340" s="25"/>
      <c r="AC340" s="25"/>
    </row>
    <row r="341">
      <c r="A341" s="24" t="str">
        <f>'DE ( Tarik barang retur )'!AC318</f>
        <v>AWBR-9487-2026-6-6-01</v>
      </c>
      <c r="B341" s="24" t="str">
        <f>'DE ( Tarik barang retur )'!F318</f>
        <v>Apotek Pharmart Bendungan Hilir Tanah Abang</v>
      </c>
      <c r="C341" s="35">
        <f>'DE ( Tarik barang retur )'!G318</f>
        <v>6.28212E+17</v>
      </c>
      <c r="D341" s="24" t="str">
        <f>'DE ( Tarik barang retur )'!H318</f>
        <v>Jalan Danau Poso No. 156, RT/RW 008/004, Kel. Bendungan Hilir, Kec. Tanah Abang, Jakarta Pusat, 10210</v>
      </c>
      <c r="E341" s="24" t="str">
        <f>'DE ( Tarik barang retur )'!D318</f>
        <v>25062600185726E9LZExBQQC</v>
      </c>
      <c r="F341" s="24" t="str">
        <f>'DE ( Tarik barang retur )'!R318</f>
        <v>TMP-INV-2025/06/26/ 1688745 BLACKMORES FISH OIL MINI CAPS ODOURLESS Kalbe KAPSUL BOTOL KACA @ 90 KAPSUL LUNAK Tarik Barang Retur</v>
      </c>
      <c r="G341" s="36">
        <f>'DE ( Tarik barang retur )'!AF318</f>
        <v>46179</v>
      </c>
      <c r="H341" s="22">
        <v>46183.0</v>
      </c>
      <c r="I341" s="22">
        <v>46184.0</v>
      </c>
      <c r="J341" s="21" t="s">
        <v>5294</v>
      </c>
      <c r="K341" s="24"/>
      <c r="L341" s="25"/>
      <c r="M341" s="25"/>
      <c r="N341" s="25"/>
      <c r="O341" s="25"/>
      <c r="P341" s="25"/>
      <c r="Q341" s="25"/>
      <c r="R341" s="25"/>
      <c r="S341" s="25"/>
      <c r="T341" s="25"/>
      <c r="U341" s="25"/>
      <c r="V341" s="25"/>
      <c r="W341" s="25"/>
      <c r="X341" s="25"/>
      <c r="Y341" s="25"/>
      <c r="Z341" s="25"/>
      <c r="AA341" s="25"/>
      <c r="AB341" s="25"/>
      <c r="AC341" s="25"/>
    </row>
    <row r="342">
      <c r="A342" s="24" t="str">
        <f>'DE ( Tarik barang retur )'!AC319</f>
        <v>AWBR-7723-2026-4-17-SR-01</v>
      </c>
      <c r="B342" s="24" t="str">
        <f>'DE ( Tarik barang retur )'!F319</f>
        <v>Apotek Haka Farma</v>
      </c>
      <c r="C342" s="35">
        <f>'DE ( Tarik barang retur )'!G319</f>
        <v>81287123733</v>
      </c>
      <c r="D342" s="24" t="str">
        <f>'DE ( Tarik barang retur )'!H319</f>
        <v>Jl. Telaga asih No. 08 RT 01 RW 01 Desa Telaga Asih, Kec. Cikarang Barat Kab. Bekasi 17520</v>
      </c>
      <c r="E342" s="24" t="str">
        <f>'DE ( Tarik barang retur )'!D319</f>
        <v>26040401425304kPK4ItymUi</v>
      </c>
      <c r="F342" s="24" t="str">
        <f>'DE ( Tarik barang retur )'!R319</f>
        <v>FUFANG E JIAO ORAL SOLUTION DUS, 8 BOTOL KACA @ 20 ML ( 1 ) Tarik Barang Retur</v>
      </c>
      <c r="G342" s="36">
        <f>'DE ( Tarik barang retur )'!AF319</f>
        <v>46179</v>
      </c>
      <c r="H342" s="22">
        <v>46180.0</v>
      </c>
      <c r="I342" s="22">
        <v>46180.0</v>
      </c>
      <c r="J342" s="21" t="s">
        <v>5294</v>
      </c>
      <c r="K342" s="24"/>
      <c r="L342" s="25"/>
      <c r="M342" s="25"/>
      <c r="N342" s="25"/>
      <c r="O342" s="25"/>
      <c r="P342" s="25"/>
      <c r="Q342" s="25"/>
      <c r="R342" s="25"/>
      <c r="S342" s="25"/>
      <c r="T342" s="25"/>
      <c r="U342" s="25"/>
      <c r="V342" s="25"/>
      <c r="W342" s="25"/>
      <c r="X342" s="25"/>
      <c r="Y342" s="25"/>
      <c r="Z342" s="25"/>
      <c r="AA342" s="25"/>
      <c r="AB342" s="25"/>
      <c r="AC342" s="25"/>
    </row>
    <row r="343">
      <c r="A343" s="24" t="str">
        <f>'DE ( Tarik barang retur )'!AC320</f>
        <v>AWBR-850-2026-2-10-SR-1-01</v>
      </c>
      <c r="B343" s="24" t="str">
        <f>'DE ( Tarik barang retur )'!F320</f>
        <v>Apotek K24 Cipinang Jaya</v>
      </c>
      <c r="C343" s="35">
        <f>'DE ( Tarik barang retur )'!G320</f>
        <v>2122895920</v>
      </c>
      <c r="D343" s="24" t="str">
        <f>'DE ( Tarik barang retur )'!H320</f>
        <v>Jalan Cipinang Jaya Blok A No. 09 Suite 103 Kelurahan Cipinang Besar Selatan, Kecamatan Jatinegara, Kota Jakarta Timur 13410</v>
      </c>
      <c r="E343" s="24" t="str">
        <f>'DE ( Tarik barang retur )'!D320</f>
        <v>260202151246266s9eydF</v>
      </c>
      <c r="F343" s="24" t="str">
        <f>'DE ( Tarik barang retur )'!R320</f>
        <v>BIO-OIL Radiant Body Lotion DUS, BOTOL 175 ML ( 1 ) Tarik Barang Retur</v>
      </c>
      <c r="G343" s="36">
        <f>'DE ( Tarik barang retur )'!AF320</f>
        <v>46179</v>
      </c>
      <c r="H343" s="22">
        <v>46184.0</v>
      </c>
      <c r="I343" s="22">
        <v>46184.0</v>
      </c>
      <c r="J343" s="21" t="s">
        <v>5294</v>
      </c>
      <c r="K343" s="24"/>
      <c r="L343" s="25"/>
      <c r="M343" s="25"/>
      <c r="N343" s="25"/>
      <c r="O343" s="25"/>
      <c r="P343" s="25"/>
      <c r="Q343" s="25"/>
      <c r="R343" s="25"/>
      <c r="S343" s="25"/>
      <c r="T343" s="25"/>
      <c r="U343" s="25"/>
      <c r="V343" s="25"/>
      <c r="W343" s="25"/>
      <c r="X343" s="25"/>
      <c r="Y343" s="25"/>
      <c r="Z343" s="25"/>
      <c r="AA343" s="25"/>
      <c r="AB343" s="25"/>
      <c r="AC343" s="25"/>
    </row>
    <row r="344">
      <c r="A344" s="24" t="str">
        <f>'DE ( Tarik barang retur )'!AC321</f>
        <v>AWBR-15825-2026-4-24-SR-01</v>
      </c>
      <c r="B344" s="24" t="str">
        <f>'DE ( Tarik barang retur )'!F321</f>
        <v>Apotek MMK24 Abadi Jaya Sukmajaya</v>
      </c>
      <c r="C344" s="35">
        <f>'DE ( Tarik barang retur )'!G321</f>
        <v>6.28125E+17</v>
      </c>
      <c r="D344" s="24" t="str">
        <f>'DE ( Tarik barang retur )'!H321</f>
        <v>Jl. Kejayaan Blok 10 No. 10, Desa/Kelurahan Abadi Jaya, Kec.Sukmajaya, Kota Depok,</v>
      </c>
      <c r="E344" s="24" t="str">
        <f>'DE ( Tarik barang retur )'!D321</f>
        <v>25110404205461GN7qe8ABk</v>
      </c>
      <c r="F344" s="24" t="str">
        <f>'DE ( Tarik barang retur )'!R321</f>
        <v>REDOXON FORTIMUN Bayer TABLET EFFERVESCENT DUS, TUBE @ 10 TABLET EFFERVESCENT ( 1 ) Tarik Barang Retur</v>
      </c>
      <c r="G344" s="36">
        <f>'DE ( Tarik barang retur )'!AF321</f>
        <v>46179</v>
      </c>
      <c r="H344" s="22">
        <v>46180.0</v>
      </c>
      <c r="I344" s="22">
        <v>46182.0</v>
      </c>
      <c r="J344" s="21" t="s">
        <v>5294</v>
      </c>
      <c r="K344" s="24"/>
      <c r="L344" s="25"/>
      <c r="M344" s="25"/>
      <c r="N344" s="25"/>
      <c r="O344" s="25"/>
      <c r="P344" s="25"/>
      <c r="Q344" s="25"/>
      <c r="R344" s="25"/>
      <c r="S344" s="25"/>
      <c r="T344" s="25"/>
      <c r="U344" s="25"/>
      <c r="V344" s="25"/>
      <c r="W344" s="25"/>
      <c r="X344" s="25"/>
      <c r="Y344" s="25"/>
      <c r="Z344" s="25"/>
      <c r="AA344" s="25"/>
      <c r="AB344" s="25"/>
      <c r="AC344" s="25"/>
    </row>
    <row r="345">
      <c r="A345" s="24" t="str">
        <f>'DE ( Tarik barang retur )'!AC322</f>
        <v>AWBR-15825-2026-4-25-SR-01</v>
      </c>
      <c r="B345" s="24" t="str">
        <f>'DE ( Tarik barang retur )'!F322</f>
        <v>Apotek MMK24 Abadi Jaya Sukmajaya</v>
      </c>
      <c r="C345" s="35">
        <f>'DE ( Tarik barang retur )'!G322</f>
        <v>6.28125E+17</v>
      </c>
      <c r="D345" s="24" t="str">
        <f>'DE ( Tarik barang retur )'!H322</f>
        <v>Jl. Kejayaan Blok 10 No. 10, Desa/Kelurahan Abadi Jaya, Kec.Sukmajaya, Kota Depok,</v>
      </c>
      <c r="E345" s="24" t="str">
        <f>'DE ( Tarik barang retur )'!D322</f>
        <v>251105054313146VUv03RgXN</v>
      </c>
      <c r="F345" s="24" t="str">
        <f>'DE ( Tarik barang retur )'!R322</f>
        <v>REDOXON FORTIMUN Bayer TABLET EFFERVESCENT DUS, TUBE @ 10 TABLET EFFERVESCENT ( 2 ) Tarik Barang Retur</v>
      </c>
      <c r="G345" s="36">
        <f>'DE ( Tarik barang retur )'!AF322</f>
        <v>46179</v>
      </c>
      <c r="H345" s="22">
        <v>46180.0</v>
      </c>
      <c r="I345" s="22">
        <v>46182.0</v>
      </c>
      <c r="J345" s="21" t="s">
        <v>5294</v>
      </c>
      <c r="K345" s="24"/>
      <c r="L345" s="25"/>
      <c r="M345" s="25"/>
      <c r="N345" s="25"/>
      <c r="O345" s="25"/>
      <c r="P345" s="25"/>
      <c r="Q345" s="25"/>
      <c r="R345" s="25"/>
      <c r="S345" s="25"/>
      <c r="T345" s="25"/>
      <c r="U345" s="25"/>
      <c r="V345" s="25"/>
      <c r="W345" s="25"/>
      <c r="X345" s="25"/>
      <c r="Y345" s="25"/>
      <c r="Z345" s="25"/>
      <c r="AA345" s="25"/>
      <c r="AB345" s="25"/>
      <c r="AC345" s="25"/>
    </row>
    <row r="346">
      <c r="A346" s="24" t="str">
        <f>'DE ( Tarik barang retur )'!AC323</f>
        <v>AWBR-290-2026-6-2-SR-01</v>
      </c>
      <c r="B346" s="24" t="str">
        <f>'DE ( Tarik barang retur )'!F323</f>
        <v>Apotek Satya Esy</v>
      </c>
      <c r="C346" s="35">
        <f>'DE ( Tarik barang retur )'!G323</f>
        <v>217336043</v>
      </c>
      <c r="D346" s="24" t="str">
        <f>'DE ( Tarik barang retur )'!H323</f>
        <v>Jl. HOS Cokroaminoto No. 46 D, Kelurahan Karang Tengah, Kecamatan Karang Tengah, Tangerang, Banten 15157</v>
      </c>
      <c r="E346" s="24" t="str">
        <f>'DE ( Tarik barang retur )'!D323</f>
        <v>26042803170257oUpb9iOLk</v>
      </c>
      <c r="F346" s="24" t="str">
        <f>'DE ( Tarik barang retur )'!R323</f>
        <v>Semua Barang pada Nomor Faktur TMP-INV-2026/04/29/ 2690320 Tarik Barang Damaged</v>
      </c>
      <c r="G346" s="36">
        <f>'DE ( Tarik barang retur )'!AF323</f>
        <v>46179</v>
      </c>
      <c r="H346" s="22">
        <v>46186.0</v>
      </c>
      <c r="I346" s="22">
        <v>46187.0</v>
      </c>
      <c r="J346" s="21" t="s">
        <v>5294</v>
      </c>
      <c r="K346" s="24"/>
      <c r="L346" s="25"/>
      <c r="M346" s="25"/>
      <c r="N346" s="25"/>
      <c r="O346" s="25"/>
      <c r="P346" s="25"/>
      <c r="Q346" s="25"/>
      <c r="R346" s="25"/>
      <c r="S346" s="25"/>
      <c r="T346" s="25"/>
      <c r="U346" s="25"/>
      <c r="V346" s="25"/>
      <c r="W346" s="25"/>
      <c r="X346" s="25"/>
      <c r="Y346" s="25"/>
      <c r="Z346" s="25"/>
      <c r="AA346" s="25"/>
      <c r="AB346" s="25"/>
      <c r="AC346" s="25"/>
    </row>
    <row r="347">
      <c r="A347" s="24" t="str">
        <f>'DE ( Tarik barang retur )'!AC324</f>
        <v>AWBR-7659-2026-4-18-SR-01</v>
      </c>
      <c r="B347" s="24" t="str">
        <f>'DE ( Tarik barang retur )'!F324</f>
        <v>Apotek Unggul Jaya</v>
      </c>
      <c r="C347" s="35">
        <f>'DE ( Tarik barang retur )'!G324</f>
        <v>6.28132E+17</v>
      </c>
      <c r="D347" s="24" t="str">
        <f>'DE ( Tarik barang retur )'!H324</f>
        <v>Kp. Kadu RT/RW 001/001 Kel. Kadu, Kec. Curug, Kab. Tangerang 15810</v>
      </c>
      <c r="E347" s="24" t="str">
        <f>'DE ( Tarik barang retur )'!D324</f>
        <v>26040603445286nRZqLpXAIA</v>
      </c>
      <c r="F347" s="24" t="str">
        <f>'DE ( Tarik barang retur )'!R324</f>
        <v>JANUMET MSD TABLET 50/500 MG DUS, 4 BLISTER @ 7 TABLET SALUT SELAPUT ( 1 ) Tarik Barang Retur</v>
      </c>
      <c r="G347" s="36">
        <f>'DE ( Tarik barang retur )'!AF324</f>
        <v>46179</v>
      </c>
      <c r="H347" s="22">
        <v>46179.0</v>
      </c>
      <c r="I347" s="22">
        <v>46181.0</v>
      </c>
      <c r="J347" s="21" t="s">
        <v>5294</v>
      </c>
      <c r="K347" s="24"/>
      <c r="L347" s="25"/>
      <c r="M347" s="25"/>
      <c r="N347" s="25"/>
      <c r="O347" s="25"/>
      <c r="P347" s="25"/>
      <c r="Q347" s="25"/>
      <c r="R347" s="25"/>
      <c r="S347" s="25"/>
      <c r="T347" s="25"/>
      <c r="U347" s="25"/>
      <c r="V347" s="25"/>
      <c r="W347" s="25"/>
      <c r="X347" s="25"/>
      <c r="Y347" s="25"/>
      <c r="Z347" s="25"/>
      <c r="AA347" s="25"/>
      <c r="AB347" s="25"/>
      <c r="AC347" s="25"/>
    </row>
    <row r="348">
      <c r="A348" s="24" t="str">
        <f>'DE ( Tarik barang retur )'!AC325</f>
        <v>AWBR-1267-2026-6-7-01</v>
      </c>
      <c r="B348" s="24" t="str">
        <f>'DE ( Tarik barang retur )'!F325</f>
        <v>Apotek 23 Plus</v>
      </c>
      <c r="C348" s="35">
        <f>'DE ( Tarik barang retur )'!G325</f>
        <v>85722700017</v>
      </c>
      <c r="D348" s="24" t="str">
        <f>'DE ( Tarik barang retur )'!H325</f>
        <v>Jalan Kampung Sawah No.93 RT 03/02 Kelurahan Jatimurni Kecamatan Pondok Melati Kota Bekasi 17431</v>
      </c>
      <c r="E348" s="24" t="str">
        <f>'DE ( Tarik barang retur )'!D325</f>
        <v>26060123364373BSQshj8j45</v>
      </c>
      <c r="F348" s="24" t="str">
        <f>'DE ( Tarik barang retur )'!R325</f>
        <v>TMP-INV-2026/06/02/ 2809156 / TMP-INV-2026/06/02/ 2809145 SHEN NONG SHI DIE DA YAO JING Saras subur DUS, BOTOL @ 30 ML Tarik Barang Retur</v>
      </c>
      <c r="G348" s="36">
        <f>'DE ( Tarik barang retur )'!AF325</f>
        <v>46180</v>
      </c>
      <c r="H348" s="22">
        <v>46181.0</v>
      </c>
      <c r="I348" s="22">
        <v>46182.0</v>
      </c>
      <c r="J348" s="21" t="s">
        <v>5294</v>
      </c>
      <c r="K348" s="24"/>
      <c r="L348" s="25"/>
      <c r="M348" s="25"/>
      <c r="N348" s="25"/>
      <c r="O348" s="25"/>
      <c r="P348" s="25"/>
      <c r="Q348" s="25"/>
      <c r="R348" s="25"/>
      <c r="S348" s="25"/>
      <c r="T348" s="25"/>
      <c r="U348" s="25"/>
      <c r="V348" s="25"/>
      <c r="W348" s="25"/>
      <c r="X348" s="25"/>
      <c r="Y348" s="25"/>
      <c r="Z348" s="25"/>
      <c r="AA348" s="25"/>
      <c r="AB348" s="25"/>
      <c r="AC348" s="25"/>
    </row>
    <row r="349">
      <c r="A349" s="24" t="str">
        <f>'DE ( Tarik barang retur )'!AC326</f>
        <v>AWBR-2288-2026-6-7-01</v>
      </c>
      <c r="B349" s="24" t="str">
        <f>'DE ( Tarik barang retur )'!F326</f>
        <v>Apotek Ainun</v>
      </c>
      <c r="C349" s="35">
        <f>'DE ( Tarik barang retur )'!G326</f>
        <v>81314522941</v>
      </c>
      <c r="D349" s="24" t="str">
        <f>'DE ( Tarik barang retur )'!H326</f>
        <v>Jalan Raya Parung Gunung Sindur No. 23 Desa Parung Kecamatan Parung Kabupaten Bogor 16330</v>
      </c>
      <c r="E349" s="24" t="str">
        <f>'DE ( Tarik barang retur )'!D326</f>
        <v>26052902550601EoPuRVczA</v>
      </c>
      <c r="F349" s="24" t="str">
        <f>'DE ( Tarik barang retur )'!R326</f>
        <v>TMP-INV-2026/05/29/ 2796206 / TMP-INV-2026/05/29/ 2796204 HANSAPLAST KAIN ELASTIS JUMBO Beiersdorf DUS, 50 LEMBAR (32 x 65 mm) / BALSEM LANG Eagle Indo DUS, POT KACA @ 40 G Tarik Barang Retur</v>
      </c>
      <c r="G349" s="36">
        <f>'DE ( Tarik barang retur )'!AF326</f>
        <v>46180</v>
      </c>
      <c r="H349" s="22">
        <v>46180.0</v>
      </c>
      <c r="I349" s="22">
        <v>46182.0</v>
      </c>
      <c r="J349" s="21" t="s">
        <v>5294</v>
      </c>
      <c r="K349" s="24"/>
      <c r="L349" s="25"/>
      <c r="M349" s="25"/>
      <c r="N349" s="25"/>
      <c r="O349" s="25"/>
      <c r="P349" s="25"/>
      <c r="Q349" s="25"/>
      <c r="R349" s="25"/>
      <c r="S349" s="25"/>
      <c r="T349" s="25"/>
      <c r="U349" s="25"/>
      <c r="V349" s="25"/>
      <c r="W349" s="25"/>
      <c r="X349" s="25"/>
      <c r="Y349" s="25"/>
      <c r="Z349" s="25"/>
      <c r="AA349" s="25"/>
      <c r="AB349" s="25"/>
      <c r="AC349" s="25"/>
    </row>
    <row r="350">
      <c r="A350" s="24" t="str">
        <f>'DE ( Tarik barang retur )'!AC327</f>
        <v>AWBR-11890-2026-6-7-01</v>
      </c>
      <c r="B350" s="24" t="str">
        <f>'DE ( Tarik barang retur )'!F327</f>
        <v>Apotek Bintang Semesta Glodok Taman Sari</v>
      </c>
      <c r="C350" s="35">
        <f>'DE ( Tarik barang retur )'!G327</f>
        <v>6.28151E+17</v>
      </c>
      <c r="D350" s="24" t="str">
        <f>'DE ( Tarik barang retur )'!H327</f>
        <v>Jl. Pancoran Raya No. 27, RT 008 RW 002 Kel. Glodok Kec. Taman Sari, Kota Jakarta Barat</v>
      </c>
      <c r="E350" s="24" t="str">
        <f>'DE ( Tarik barang retur )'!D327</f>
        <v>26060206140918MbTWyGtIh</v>
      </c>
      <c r="F350" s="24" t="str">
        <f>'DE ( Tarik barang retur )'!R327</f>
        <v>TMP-INV-2026/06/03/ 2812233 REMABREX Kalbe KAPSUL 100 MG DUS, 3 BLISTER @ 10 KAPSUL Tarik Barang Retur</v>
      </c>
      <c r="G350" s="36">
        <f>'DE ( Tarik barang retur )'!AF327</f>
        <v>46180</v>
      </c>
      <c r="H350" s="22">
        <v>46183.0</v>
      </c>
      <c r="I350" s="22">
        <v>46183.0</v>
      </c>
      <c r="J350" s="21" t="s">
        <v>5294</v>
      </c>
      <c r="K350" s="24"/>
      <c r="L350" s="25"/>
      <c r="M350" s="25"/>
      <c r="N350" s="25"/>
      <c r="O350" s="25"/>
      <c r="P350" s="25"/>
      <c r="Q350" s="25"/>
      <c r="R350" s="25"/>
      <c r="S350" s="25"/>
      <c r="T350" s="25"/>
      <c r="U350" s="25"/>
      <c r="V350" s="25"/>
      <c r="W350" s="25"/>
      <c r="X350" s="25"/>
      <c r="Y350" s="25"/>
      <c r="Z350" s="25"/>
      <c r="AA350" s="25"/>
      <c r="AB350" s="25"/>
      <c r="AC350" s="25"/>
    </row>
    <row r="351">
      <c r="A351" s="24" t="str">
        <f>'DE ( Tarik barang retur )'!AC328</f>
        <v>AWBR-10912-2026-6-7-01</v>
      </c>
      <c r="B351" s="24" t="str">
        <f>'DE ( Tarik barang retur )'!F328</f>
        <v>Apotek Dheva Farma Jatiasih Jatiasih</v>
      </c>
      <c r="C351" s="35">
        <f>'DE ( Tarik barang retur )'!G328</f>
        <v>6.28211E+17</v>
      </c>
      <c r="D351" s="24" t="str">
        <f>'DE ( Tarik barang retur )'!H328</f>
        <v>Jl. Raya Jatiasih No.51, RT.004/RW.005, Jatiasih, Kec. Jatiasih, Kota Bekasi, Jawa Barat 17423</v>
      </c>
      <c r="E351" s="24" t="str">
        <f>'DE ( Tarik barang retur )'!D328</f>
        <v>24121621453500Vur7Cdnph</v>
      </c>
      <c r="F351" s="24" t="str">
        <f>'DE ( Tarik barang retur )'!R328</f>
        <v>TMP-INV-2024/12/17/ 1212681 DICLOFENAC POTASSIUM Nulab TABLET 25 MG DUS, 10 BLISTER @ 10 TABLET SALUT SELAPUT Tarik Barang Retur</v>
      </c>
      <c r="G351" s="36">
        <f>'DE ( Tarik barang retur )'!AF328</f>
        <v>46180</v>
      </c>
      <c r="H351" s="22">
        <v>46180.0</v>
      </c>
      <c r="I351" s="22">
        <v>46181.0</v>
      </c>
      <c r="J351" s="21" t="s">
        <v>5294</v>
      </c>
      <c r="K351" s="24"/>
      <c r="L351" s="25"/>
      <c r="M351" s="25"/>
      <c r="N351" s="25"/>
      <c r="O351" s="25"/>
      <c r="P351" s="25"/>
      <c r="Q351" s="25"/>
      <c r="R351" s="25"/>
      <c r="S351" s="25"/>
      <c r="T351" s="25"/>
      <c r="U351" s="25"/>
      <c r="V351" s="25"/>
      <c r="W351" s="25"/>
      <c r="X351" s="25"/>
      <c r="Y351" s="25"/>
      <c r="Z351" s="25"/>
      <c r="AA351" s="25"/>
      <c r="AB351" s="25"/>
      <c r="AC351" s="25"/>
    </row>
    <row r="352">
      <c r="A352" s="24" t="str">
        <f>'DE ( Tarik barang retur )'!AC329</f>
        <v>AWBR-11080-2026-6-7-01</v>
      </c>
      <c r="B352" s="24" t="str">
        <f>'DE ( Tarik barang retur )'!F329</f>
        <v>Apotek Efata Medika Cempaka Putih Ciputat Timur</v>
      </c>
      <c r="C352" s="35">
        <f>'DE ( Tarik barang retur )'!G329</f>
        <v>6.28581E+17</v>
      </c>
      <c r="D352" s="24" t="str">
        <f>'DE ( Tarik barang retur )'!H329</f>
        <v>Jalan Insinyur Haji Juanda No. 67A, Desa/Kelurahan Cempaka Putih Kec. Ciputat Timur Kota Tangerang Selatan, 15412</v>
      </c>
      <c r="E352" s="24" t="str">
        <f>'DE ( Tarik barang retur )'!D329</f>
        <v>26052815512860uihG7JjOe</v>
      </c>
      <c r="F352" s="24" t="str">
        <f>'DE ( Tarik barang retur )'!R329</f>
        <v>TMP-INV-2026/05/29/ 2796212 GANDAPURA Ika MINYAK GOSOK BOTOL 60 ML Tarik Barang Damaged</v>
      </c>
      <c r="G352" s="36">
        <f>'DE ( Tarik barang retur )'!AF329</f>
        <v>46180</v>
      </c>
      <c r="H352" s="22">
        <v>46181.0</v>
      </c>
      <c r="I352" s="22">
        <v>46182.0</v>
      </c>
      <c r="J352" s="21" t="s">
        <v>5294</v>
      </c>
      <c r="K352" s="24"/>
      <c r="L352" s="25"/>
      <c r="M352" s="25"/>
      <c r="N352" s="25"/>
      <c r="O352" s="25"/>
      <c r="P352" s="25"/>
      <c r="Q352" s="25"/>
      <c r="R352" s="25"/>
      <c r="S352" s="25"/>
      <c r="T352" s="25"/>
      <c r="U352" s="25"/>
      <c r="V352" s="25"/>
      <c r="W352" s="25"/>
      <c r="X352" s="25"/>
      <c r="Y352" s="25"/>
      <c r="Z352" s="25"/>
      <c r="AA352" s="25"/>
      <c r="AB352" s="25"/>
      <c r="AC352" s="25"/>
    </row>
    <row r="353">
      <c r="A353" s="24" t="str">
        <f>'DE ( Tarik barang retur )'!AC330</f>
        <v>AWBR-11472-2026-6-7-01</v>
      </c>
      <c r="B353" s="24" t="str">
        <f>'DE ( Tarik barang retur )'!F330</f>
        <v>Apotek K24 Aniva Gading Serpong Medang Pagedangan</v>
      </c>
      <c r="C353" s="35">
        <f>'DE ( Tarik barang retur )'!G330</f>
        <v>6.28111E+17</v>
      </c>
      <c r="D353" s="24" t="str">
        <f>'DE ( Tarik barang retur )'!H330</f>
        <v>Aniva Grande Blok G5 No 6, Desa/Kel. Medang, Kec. Pagedangan, Kab. Tangerang 15334</v>
      </c>
      <c r="E353" s="24" t="str">
        <f>'DE ( Tarik barang retur )'!D330</f>
        <v>260427034121659HbIH2xgf</v>
      </c>
      <c r="F353" s="24" t="str">
        <f>'DE ( Tarik barang retur )'!R330</f>
        <v>TMP-INV-2026/04/27/ 2681985 SERETIDE DISKUS Gsk SERBUK INHALER 50/500 MCG DUS, 1 DISKUS @ 60 INHALASI Tarik Barang Damaged</v>
      </c>
      <c r="G353" s="36">
        <f>'DE ( Tarik barang retur )'!AF330</f>
        <v>46180</v>
      </c>
      <c r="H353" s="22">
        <v>46182.0</v>
      </c>
      <c r="I353" s="22">
        <v>46183.0</v>
      </c>
      <c r="J353" s="21" t="s">
        <v>5294</v>
      </c>
      <c r="K353" s="24"/>
      <c r="L353" s="25"/>
      <c r="M353" s="25"/>
      <c r="N353" s="25"/>
      <c r="O353" s="25"/>
      <c r="P353" s="25"/>
      <c r="Q353" s="25"/>
      <c r="R353" s="25"/>
      <c r="S353" s="25"/>
      <c r="T353" s="25"/>
      <c r="U353" s="25"/>
      <c r="V353" s="25"/>
      <c r="W353" s="25"/>
      <c r="X353" s="25"/>
      <c r="Y353" s="25"/>
      <c r="Z353" s="25"/>
      <c r="AA353" s="25"/>
      <c r="AB353" s="25"/>
      <c r="AC353" s="25"/>
    </row>
    <row r="354">
      <c r="A354" s="24" t="str">
        <f>'DE ( Tarik barang retur )'!AC331</f>
        <v>AWBR-1629-2026-6-7-01</v>
      </c>
      <c r="B354" s="24" t="str">
        <f>'DE ( Tarik barang retur )'!F331</f>
        <v>Apotek Kombi Pondok Kelapa</v>
      </c>
      <c r="C354" s="35">
        <f>'DE ( Tarik barang retur )'!G331</f>
        <v>818790038</v>
      </c>
      <c r="D354" s="24" t="str">
        <f>'DE ( Tarik barang retur )'!H331</f>
        <v>Jalan Raya Pondok Kelapa PTB Blok A8 No.2 RT 002 RW 004 Kelurahan Pondok Kelapa Keca,atan Duren Sawit Jakarta Timur 13450</v>
      </c>
      <c r="E354" s="24" t="str">
        <f>'DE ( Tarik barang retur )'!D331</f>
        <v>26060204092888O8fhJqbk1</v>
      </c>
      <c r="F354" s="24" t="str">
        <f>'DE ( Tarik barang retur )'!R331</f>
        <v>TMP-INV-2026/06/03/ 2812555 ANDALAN LAKTASI Sydna Farma TABLET 0.5 MG DUS, 30 AMPLOP @ 1 BLISTER @ 28 TABLET Tarik Barang Retur</v>
      </c>
      <c r="G354" s="36">
        <f>'DE ( Tarik barang retur )'!AF331</f>
        <v>46180</v>
      </c>
      <c r="H354" s="22">
        <v>46180.0</v>
      </c>
      <c r="I354" s="22">
        <v>46181.0</v>
      </c>
      <c r="J354" s="21" t="s">
        <v>5294</v>
      </c>
      <c r="K354" s="24"/>
      <c r="L354" s="25"/>
      <c r="M354" s="25"/>
      <c r="N354" s="25"/>
      <c r="O354" s="25"/>
      <c r="P354" s="25"/>
      <c r="Q354" s="25"/>
      <c r="R354" s="25"/>
      <c r="S354" s="25"/>
      <c r="T354" s="25"/>
      <c r="U354" s="25"/>
      <c r="V354" s="25"/>
      <c r="W354" s="25"/>
      <c r="X354" s="25"/>
      <c r="Y354" s="25"/>
      <c r="Z354" s="25"/>
      <c r="AA354" s="25"/>
      <c r="AB354" s="25"/>
      <c r="AC354" s="25"/>
    </row>
    <row r="355">
      <c r="A355" s="24" t="str">
        <f>'DE ( Tarik barang retur )'!AC332</f>
        <v>AWBR-11128-2026-6-7-01</v>
      </c>
      <c r="B355" s="24" t="str">
        <f>'DE ( Tarik barang retur )'!F332</f>
        <v>Apotek Lee Pharmacy Kelapa Gading Timur Kelapa Gading</v>
      </c>
      <c r="C355" s="35">
        <f>'DE ( Tarik barang retur )'!G332</f>
        <v>6.28122E+17</v>
      </c>
      <c r="D355" s="24" t="str">
        <f>'DE ( Tarik barang retur )'!H332</f>
        <v>Jalan Boulevard Raya Blok LB1/25,Desa/Kelurahan Kelapa Gading Timur,Kecamatan Kelapa Gading,kota Adm. Jakarta Utara,DKI Jakarta,14240</v>
      </c>
      <c r="E355" s="24" t="str">
        <f>'DE ( Tarik barang retur )'!D332</f>
        <v>24120519152304u0wD8nM</v>
      </c>
      <c r="F355" s="24" t="str">
        <f>'DE ( Tarik barang retur )'!R332</f>
        <v>TMP-INV-2024/12/06/ 1187207 NECIBLOK Dankos SUSPENSI DUS, BOTOL 100 ML Tarik Barang Retur</v>
      </c>
      <c r="G355" s="36">
        <f>'DE ( Tarik barang retur )'!AF332</f>
        <v>46180</v>
      </c>
      <c r="H355" s="22">
        <v>46180.0</v>
      </c>
      <c r="I355" s="22">
        <v>46181.0</v>
      </c>
      <c r="J355" s="21" t="s">
        <v>5294</v>
      </c>
      <c r="K355" s="24"/>
      <c r="L355" s="25"/>
      <c r="M355" s="25"/>
      <c r="N355" s="25"/>
      <c r="O355" s="25"/>
      <c r="P355" s="25"/>
      <c r="Q355" s="25"/>
      <c r="R355" s="25"/>
      <c r="S355" s="25"/>
      <c r="T355" s="25"/>
      <c r="U355" s="25"/>
      <c r="V355" s="25"/>
      <c r="W355" s="25"/>
      <c r="X355" s="25"/>
      <c r="Y355" s="25"/>
      <c r="Z355" s="25"/>
      <c r="AA355" s="25"/>
      <c r="AB355" s="25"/>
      <c r="AC355" s="25"/>
    </row>
    <row r="356">
      <c r="A356" s="24" t="str">
        <f>'DE ( Tarik barang retur )'!AC333</f>
        <v>AWBR-10825-2026-6-7-01</v>
      </c>
      <c r="B356" s="24" t="str">
        <f>'DE ( Tarik barang retur )'!F333</f>
        <v>Apotek Lestari Farma Lubang Buaya Cipayung</v>
      </c>
      <c r="C356" s="35">
        <f>'DE ( Tarik barang retur )'!G333</f>
        <v>6.28178E+17</v>
      </c>
      <c r="D356" s="24" t="str">
        <f>'DE ( Tarik barang retur )'!H333</f>
        <v>Jalan Raya Pondok Gede, RT 004, RW 008, No.4A,Kel. Lubang Buaya Kec. Cipayung, Kota Adm. Jakarta Timur 13810</v>
      </c>
      <c r="E356" s="24" t="str">
        <f>'DE ( Tarik barang retur )'!D333</f>
        <v>250123035434861A2yZjAKo</v>
      </c>
      <c r="F356" s="24" t="str">
        <f>'DE ( Tarik barang retur )'!R333</f>
        <v>TMP-INV-2025/01/23/ 1300249 FITKOM MULTIVITAMIN (RASA STRAWBERRY) Soho TABLET BOTOL PLASTIK @ 21 TABLET HISAP Tarik Barang Retur</v>
      </c>
      <c r="G356" s="36">
        <f>'DE ( Tarik barang retur )'!AF333</f>
        <v>46180</v>
      </c>
      <c r="H356" s="22">
        <v>46180.0</v>
      </c>
      <c r="I356" s="22">
        <v>46181.0</v>
      </c>
      <c r="J356" s="21" t="s">
        <v>5294</v>
      </c>
      <c r="K356" s="24"/>
      <c r="L356" s="25"/>
      <c r="M356" s="25"/>
      <c r="N356" s="25"/>
      <c r="O356" s="25"/>
      <c r="P356" s="25"/>
      <c r="Q356" s="25"/>
      <c r="R356" s="25"/>
      <c r="S356" s="25"/>
      <c r="T356" s="25"/>
      <c r="U356" s="25"/>
      <c r="V356" s="25"/>
      <c r="W356" s="25"/>
      <c r="X356" s="25"/>
      <c r="Y356" s="25"/>
      <c r="Z356" s="25"/>
      <c r="AA356" s="25"/>
      <c r="AB356" s="25"/>
      <c r="AC356" s="25"/>
    </row>
    <row r="357">
      <c r="A357" s="24" t="str">
        <f>'DE ( Tarik barang retur )'!AC334</f>
        <v>AWBR-334-2026-6-7-01</v>
      </c>
      <c r="B357" s="24" t="str">
        <f>'DE ( Tarik barang retur )'!F334</f>
        <v>Apotek Merapi</v>
      </c>
      <c r="C357" s="35">
        <f>'DE ( Tarik barang retur )'!G334</f>
        <v>2177833109</v>
      </c>
      <c r="D357" s="24" t="str">
        <f>'DE ( Tarik barang retur )'!H334</f>
        <v>Jalan Kejayaan Blok X No. 9 RT 006/ RW 012 Kelurahan Abadijaya, Kecamatan Sukmajaya Kota Depok 16417</v>
      </c>
      <c r="E357" s="24" t="str">
        <f>'DE ( Tarik barang retur )'!D334</f>
        <v>260531035414988sPkHj9yK</v>
      </c>
      <c r="F357" s="24" t="str">
        <f>'DE ( Tarik barang retur )'!R334</f>
        <v>TMP-INV-2026/06/01/ 2804868 / TMP-INV-2026/06/02/ 2809176 
ASTHIN FORCE 12 Soho KAPSUL DUS, 2 STRIP @ 10 KAPSUL
ASTHIN FORCE 6 Soho KAPSUL DUS, 2 STRIP @ 10 KAPSUL
CAL-95 Lapi KAPLET DUS, 5 STRIP @ 6 KAPLET SALUT SELAPUT
L-VIT D3 5000 Lapi TABLET DUS, 3 BLISTER @ 10 TABLET SALUT SELAPUT
HUFAGRIPP DEMAM Hufa KAPLET 500 MG DUS, 10 AMPLOP @ 1 STRIP @ 10 KAPLET
NASONEX Organon SEMPROT HIDUNG 50 MCG/DOSIS DUS, 1 BOTOL PLASTIK @ 60 DOSIS
 Tarik Barang Retur</v>
      </c>
      <c r="G357" s="36">
        <f>'DE ( Tarik barang retur )'!AF334</f>
        <v>46180</v>
      </c>
      <c r="H357" s="22">
        <v>46180.0</v>
      </c>
      <c r="I357" s="22">
        <v>46182.0</v>
      </c>
      <c r="J357" s="21" t="s">
        <v>5294</v>
      </c>
      <c r="K357" s="24"/>
      <c r="L357" s="25"/>
      <c r="M357" s="25"/>
      <c r="N357" s="25"/>
      <c r="O357" s="25"/>
      <c r="P357" s="25"/>
      <c r="Q357" s="25"/>
      <c r="R357" s="25"/>
      <c r="S357" s="25"/>
      <c r="T357" s="25"/>
      <c r="U357" s="25"/>
      <c r="V357" s="25"/>
      <c r="W357" s="25"/>
      <c r="X357" s="25"/>
      <c r="Y357" s="25"/>
      <c r="Z357" s="25"/>
      <c r="AA357" s="25"/>
      <c r="AB357" s="25"/>
      <c r="AC357" s="25"/>
    </row>
    <row r="358">
      <c r="A358" s="24" t="str">
        <f>'DE ( Tarik barang retur )'!AC335</f>
        <v>AWBR-11324-2026-6-7-01</v>
      </c>
      <c r="B358" s="24" t="str">
        <f>'DE ( Tarik barang retur )'!F335</f>
        <v>Apotek Rave Pharma 03 Bukit Duri Tebet</v>
      </c>
      <c r="C358" s="35">
        <f>'DE ( Tarik barang retur )'!G335</f>
        <v>6.28314E+17</v>
      </c>
      <c r="D358" s="24" t="str">
        <f>'DE ( Tarik barang retur )'!H335</f>
        <v>Jalan Bukit Duri Tanjakan No. 31 RT 06 RW 08, Kel. Bukit Duri, Kec. Tebet, Jakarta Selatan, 12840</v>
      </c>
      <c r="E358" s="24" t="str">
        <f>'DE ( Tarik barang retur )'!D335</f>
        <v>26052702214464oKb83VYb</v>
      </c>
      <c r="F358" s="24" t="str">
        <f>'DE ( Tarik barang retur )'!R335</f>
        <v>TMP-INV-2026/05/27/ 2789359 ACCU-CHECK GUIDE TEST STRIPS Roche DUS, BOTOL @ 50 Strips Tarik Barang Retur</v>
      </c>
      <c r="G358" s="36">
        <f>'DE ( Tarik barang retur )'!AF335</f>
        <v>46180</v>
      </c>
      <c r="H358" s="22">
        <v>46188.0</v>
      </c>
      <c r="I358" s="22">
        <v>46188.0</v>
      </c>
      <c r="J358" s="21" t="s">
        <v>5294</v>
      </c>
      <c r="K358" s="24"/>
      <c r="L358" s="25"/>
      <c r="M358" s="25"/>
      <c r="N358" s="25"/>
      <c r="O358" s="25"/>
      <c r="P358" s="25"/>
      <c r="Q358" s="25"/>
      <c r="R358" s="25"/>
      <c r="S358" s="25"/>
      <c r="T358" s="25"/>
      <c r="U358" s="25"/>
      <c r="V358" s="25"/>
      <c r="W358" s="25"/>
      <c r="X358" s="25"/>
      <c r="Y358" s="25"/>
      <c r="Z358" s="25"/>
      <c r="AA358" s="25"/>
      <c r="AB358" s="25"/>
      <c r="AC358" s="25"/>
    </row>
    <row r="359">
      <c r="A359" s="24" t="str">
        <f>'DE ( Tarik barang retur )'!AC336</f>
        <v>AWBR-455-2026-6-7-01</v>
      </c>
      <c r="B359" s="24" t="str">
        <f>'DE ( Tarik barang retur )'!F336</f>
        <v>Apotek Rosa Farma</v>
      </c>
      <c r="C359" s="35">
        <f>'DE ( Tarik barang retur )'!G336</f>
        <v>81212834867</v>
      </c>
      <c r="D359" s="24" t="str">
        <f>'DE ( Tarik barang retur )'!H336</f>
        <v>Jalan Khamono No. 17 RT 001 RW 001, Kelurahan Jatimakmur, Kecamatan Pondok Gede, Kota Bekasi 17413</v>
      </c>
      <c r="E359" s="24" t="str">
        <f>'DE ( Tarik barang retur )'!D336</f>
        <v>26060303482815zjFC4LsUm5</v>
      </c>
      <c r="F359" s="24" t="str">
        <f>'DE ( Tarik barang retur )'!R336</f>
        <v>TMP-INV-2026/06/03/ 2813569 SUTRA Condom (MERAH) DUS, 24 CONDOM Tarik Barang Retur</v>
      </c>
      <c r="G359" s="36">
        <f>'DE ( Tarik barang retur )'!AF336</f>
        <v>46180</v>
      </c>
      <c r="H359" s="22">
        <v>46180.0</v>
      </c>
      <c r="I359" s="22">
        <v>46181.0</v>
      </c>
      <c r="J359" s="21" t="s">
        <v>5294</v>
      </c>
      <c r="K359" s="24"/>
      <c r="L359" s="25"/>
      <c r="M359" s="25"/>
      <c r="N359" s="25"/>
      <c r="O359" s="25"/>
      <c r="P359" s="25"/>
      <c r="Q359" s="25"/>
      <c r="R359" s="25"/>
      <c r="S359" s="25"/>
      <c r="T359" s="25"/>
      <c r="U359" s="25"/>
      <c r="V359" s="25"/>
      <c r="W359" s="25"/>
      <c r="X359" s="25"/>
      <c r="Y359" s="25"/>
      <c r="Z359" s="25"/>
      <c r="AA359" s="25"/>
      <c r="AB359" s="25"/>
      <c r="AC359" s="25"/>
    </row>
    <row r="360">
      <c r="A360" s="24" t="str">
        <f>'DE ( Tarik barang retur )'!AC337</f>
        <v>AWBR-13565-2026-6-7-01</v>
      </c>
      <c r="B360" s="24" t="str">
        <f>'DE ( Tarik barang retur )'!F337</f>
        <v>Apotek Sabi Pharma Cilangkap Cipayung</v>
      </c>
      <c r="C360" s="35">
        <f>'DE ( Tarik barang retur )'!G337</f>
        <v>6.28121E+17</v>
      </c>
      <c r="D360" s="24" t="str">
        <f>'DE ( Tarik barang retur )'!H337</f>
        <v>Jl. Cilangkap Baru Blok R No. 3 RT 001 RW 001 Kel. Cilangkap Kec. Cipayung Kota Jakarta Timur</v>
      </c>
      <c r="E360" s="24" t="str">
        <f>'DE ( Tarik barang retur )'!D337</f>
        <v>26060202015152E767iCv3fm</v>
      </c>
      <c r="F360" s="24" t="str">
        <f>'DE ( Tarik barang retur )'!R337</f>
        <v>TMP-INV-2026/06/02/ 2808907 / TMP-INV-2026/06/02/ 2809192 HANSAPLAST FUN KAIN ELASTIS Beiersdorf DUS, 100 LEMBAR / KLODERMA Surya Dermato KRIM 0.05 % DUS, TUBE @ 5 G Tarik Barang Retur</v>
      </c>
      <c r="G360" s="36">
        <f>'DE ( Tarik barang retur )'!AF337</f>
        <v>46180</v>
      </c>
      <c r="H360" s="22">
        <v>46182.0</v>
      </c>
      <c r="I360" s="22">
        <v>46183.0</v>
      </c>
      <c r="J360" s="21" t="s">
        <v>5294</v>
      </c>
      <c r="K360" s="24"/>
      <c r="L360" s="25"/>
      <c r="M360" s="25"/>
      <c r="N360" s="25"/>
      <c r="O360" s="25"/>
      <c r="P360" s="25"/>
      <c r="Q360" s="25"/>
      <c r="R360" s="25"/>
      <c r="S360" s="25"/>
      <c r="T360" s="25"/>
      <c r="U360" s="25"/>
      <c r="V360" s="25"/>
      <c r="W360" s="25"/>
      <c r="X360" s="25"/>
      <c r="Y360" s="25"/>
      <c r="Z360" s="25"/>
      <c r="AA360" s="25"/>
      <c r="AB360" s="25"/>
      <c r="AC360" s="25"/>
    </row>
    <row r="361">
      <c r="A361" s="24" t="str">
        <f>'DE ( Tarik barang retur )'!AC338</f>
        <v>AWBR-4773-2026-6-7-01</v>
      </c>
      <c r="B361" s="24" t="str">
        <f>'DE ( Tarik barang retur )'!F338</f>
        <v>Apotekita</v>
      </c>
      <c r="C361" s="35">
        <f>'DE ( Tarik barang retur )'!G338</f>
        <v>6.28191E+17</v>
      </c>
      <c r="D361" s="24" t="str">
        <f>'DE ( Tarik barang retur )'!H338</f>
        <v>Ruko Elang Laut Boulevard Blok A-11, Jl. Pantai Indah Selatan, Kel. Kamal Muara, Kec. Penjaringan, Jakarta Utara, Provinsi DKI Jakarta,14470</v>
      </c>
      <c r="E361" s="24" t="str">
        <f>'DE ( Tarik barang retur )'!D338</f>
        <v>26053012444027bh4dz9IwK</v>
      </c>
      <c r="F361" s="24" t="str">
        <f>'DE ( Tarik barang retur )'!R338</f>
        <v>TMP-INV-2026/06/01/ 2804721 SISTENOL Dexa Medica KAPLET 500/200 MG DUS, 6 DUS @ 1 BOTOL @ 10 KAPLET SALUT SELAPUT Tarik Barang Retur</v>
      </c>
      <c r="G361" s="36">
        <f>'DE ( Tarik barang retur )'!AF338</f>
        <v>46180</v>
      </c>
      <c r="H361" s="22">
        <v>46181.0</v>
      </c>
      <c r="I361" s="22">
        <v>46182.0</v>
      </c>
      <c r="J361" s="21" t="s">
        <v>5294</v>
      </c>
      <c r="K361" s="24"/>
      <c r="L361" s="25"/>
      <c r="M361" s="25"/>
      <c r="N361" s="25"/>
      <c r="O361" s="25"/>
      <c r="P361" s="25"/>
      <c r="Q361" s="25"/>
      <c r="R361" s="25"/>
      <c r="S361" s="25"/>
      <c r="T361" s="25"/>
      <c r="U361" s="25"/>
      <c r="V361" s="25"/>
      <c r="W361" s="25"/>
      <c r="X361" s="25"/>
      <c r="Y361" s="25"/>
      <c r="Z361" s="25"/>
      <c r="AA361" s="25"/>
      <c r="AB361" s="25"/>
      <c r="AC361" s="25"/>
    </row>
    <row r="362">
      <c r="A362" s="24" t="str">
        <f>'DE ( Tarik barang retur )'!AC339</f>
        <v>AWBR-13413-2026-6-9-01</v>
      </c>
      <c r="B362" s="24" t="str">
        <f>'DE ( Tarik barang retur )'!F339</f>
        <v>Apotek Anugerah Pasir Mukti Citeureup</v>
      </c>
      <c r="C362" s="35">
        <f>'DE ( Tarik barang retur )'!G339</f>
        <v>6.28132E+17</v>
      </c>
      <c r="D362" s="24" t="str">
        <f>'DE ( Tarik barang retur )'!H339</f>
        <v>Ruko Perumahan Puri Harmoni Pasir Mukti Blok H No. 40, Desa/Kelurahan Pasirmukti, Kec. Citeureup, Kab. Bogor</v>
      </c>
      <c r="E362" s="24" t="str">
        <f>'DE ( Tarik barang retur )'!D339</f>
        <v>24122804284949gEohSApr</v>
      </c>
      <c r="F362" s="24" t="str">
        <f>'DE ( Tarik barang retur )'!R339</f>
        <v>TMP-INV-2024/12/29/ 1239591 NELLCO SPESIAL OBH PE UNTUK ANAK-ANAK Nellco SIRUP RASA STRAWBERRY DUS, 1 BOTOL GELAS @ 55 ML Tarik Barang Retur</v>
      </c>
      <c r="G362" s="36">
        <f>'DE ( Tarik barang retur )'!AF339</f>
        <v>46182</v>
      </c>
      <c r="H362" s="22">
        <v>46182.0</v>
      </c>
      <c r="I362" s="22">
        <v>46183.0</v>
      </c>
      <c r="J362" s="21" t="s">
        <v>5294</v>
      </c>
      <c r="K362" s="24"/>
      <c r="L362" s="25"/>
      <c r="M362" s="25"/>
      <c r="N362" s="25"/>
      <c r="O362" s="25"/>
      <c r="P362" s="25"/>
      <c r="Q362" s="25"/>
      <c r="R362" s="25"/>
      <c r="S362" s="25"/>
      <c r="T362" s="25"/>
      <c r="U362" s="25"/>
      <c r="V362" s="25"/>
      <c r="W362" s="25"/>
      <c r="X362" s="25"/>
      <c r="Y362" s="25"/>
      <c r="Z362" s="25"/>
      <c r="AA362" s="25"/>
      <c r="AB362" s="25"/>
      <c r="AC362" s="25"/>
    </row>
    <row r="363">
      <c r="A363" s="24" t="str">
        <f>'DE ( Tarik barang retur )'!AC340</f>
        <v>AWBR-13708-2026-6-9-01</v>
      </c>
      <c r="B363" s="24" t="str">
        <f>'DE ( Tarik barang retur )'!F340</f>
        <v>Apotek Bahari Raya Mampang Tegal Parang Mampang Prapatan</v>
      </c>
      <c r="C363" s="35">
        <f>'DE ( Tarik barang retur )'!G340</f>
        <v>6.2813E+16</v>
      </c>
      <c r="D363" s="24" t="str">
        <f>'DE ( Tarik barang retur )'!H340</f>
        <v>Jalan Mampang Prapatan VII No 33 RT 010 RW 03, Desa/Kel. Tegal Parang, Kec. Mampang Prapatan, Kota Jakarta Selatan</v>
      </c>
      <c r="E363" s="24" t="str">
        <f>'DE ( Tarik barang retur )'!D340</f>
        <v>250509072811426bGnxIt5Mj</v>
      </c>
      <c r="F363" s="24" t="str">
        <f>'DE ( Tarik barang retur )'!R340</f>
        <v>TMP-INV-2025/05/10/ 1565368 HERBABLEND DAILY HEALTH Hermed SIRUP DUS, BOTOL PLASTIK @ 250 ML Tarik Barang Retur</v>
      </c>
      <c r="G363" s="36">
        <f>'DE ( Tarik barang retur )'!AF340</f>
        <v>46182</v>
      </c>
      <c r="H363" s="22">
        <v>46182.0</v>
      </c>
      <c r="I363" s="22">
        <v>46183.0</v>
      </c>
      <c r="J363" s="21" t="s">
        <v>5294</v>
      </c>
      <c r="K363" s="24"/>
      <c r="L363" s="25"/>
      <c r="M363" s="25"/>
      <c r="N363" s="25"/>
      <c r="O363" s="25"/>
      <c r="P363" s="25"/>
      <c r="Q363" s="25"/>
      <c r="R363" s="25"/>
      <c r="S363" s="25"/>
      <c r="T363" s="25"/>
      <c r="U363" s="25"/>
      <c r="V363" s="25"/>
      <c r="W363" s="25"/>
      <c r="X363" s="25"/>
      <c r="Y363" s="25"/>
      <c r="Z363" s="25"/>
      <c r="AA363" s="25"/>
      <c r="AB363" s="25"/>
      <c r="AC363" s="25"/>
    </row>
    <row r="364">
      <c r="A364" s="24" t="str">
        <f>'DE ( Tarik barang retur )'!AC341</f>
        <v>AWBR-12793-2026-6-9-01</v>
      </c>
      <c r="B364" s="24" t="str">
        <f>'DE ( Tarik barang retur )'!F341</f>
        <v>Apotek Ben Mrene Mustika Jaya Mustikajaya Mustika Jaya</v>
      </c>
      <c r="C364" s="35">
        <f>'DE ( Tarik barang retur )'!G341</f>
        <v>6.28788E+17</v>
      </c>
      <c r="D364" s="24" t="str">
        <f>'DE ( Tarik barang retur )'!H341</f>
        <v>Jalan Asem Jaya, KP. Ciketing Asem No.133 RT.002, RW 006 Kel. Mustikajaya Kec. Mustika Jaya Kota Bekasi</v>
      </c>
      <c r="E364" s="24" t="str">
        <f>'DE ( Tarik barang retur )'!D341</f>
        <v>25101402135181piO4BdpBw</v>
      </c>
      <c r="F364" s="24" t="str">
        <f>'DE ( Tarik barang retur )'!R341</f>
        <v>TMP-INV-2025/10/14/ 2025987 VENTOLIN INHALER CFC FREE Gsk 200 Doses DUS, 1 BOTOL @ 200 DOSIS Tarik Barang Retur</v>
      </c>
      <c r="G364" s="36">
        <f>'DE ( Tarik barang retur )'!AF341</f>
        <v>46182</v>
      </c>
      <c r="H364" s="22">
        <v>46183.0</v>
      </c>
      <c r="I364" s="22">
        <v>46183.0</v>
      </c>
      <c r="J364" s="21" t="s">
        <v>5294</v>
      </c>
      <c r="K364" s="24"/>
      <c r="L364" s="25"/>
      <c r="M364" s="25"/>
      <c r="N364" s="25"/>
      <c r="O364" s="25"/>
      <c r="P364" s="25"/>
      <c r="Q364" s="25"/>
      <c r="R364" s="25"/>
      <c r="S364" s="25"/>
      <c r="T364" s="25"/>
      <c r="U364" s="25"/>
      <c r="V364" s="25"/>
      <c r="W364" s="25"/>
      <c r="X364" s="25"/>
      <c r="Y364" s="25"/>
      <c r="Z364" s="25"/>
      <c r="AA364" s="25"/>
      <c r="AB364" s="25"/>
      <c r="AC364" s="25"/>
    </row>
    <row r="365">
      <c r="A365" s="24" t="str">
        <f>'DE ( Tarik barang retur )'!AC342</f>
        <v>AWBR-11489-2026-6-9-01</v>
      </c>
      <c r="B365" s="24" t="str">
        <f>'DE ( Tarik barang retur )'!F342</f>
        <v>Apotek Bogor Asri Nanggewer Cibinong</v>
      </c>
      <c r="C365" s="35">
        <f>'DE ( Tarik barang retur )'!G342</f>
        <v>6.28787E+17</v>
      </c>
      <c r="D365" s="24" t="str">
        <f>'DE ( Tarik barang retur )'!H342</f>
        <v>Perumahan Bogor Asri Blok Ruko 4, Desa/Kel. Nanggewer, Kec. Cibinong, Kab. Bogor 16912</v>
      </c>
      <c r="E365" s="24" t="str">
        <f>'DE ( Tarik barang retur )'!D342</f>
        <v>260529105327588Er1LoDkGG</v>
      </c>
      <c r="F365" s="24" t="str">
        <f>'DE ( Tarik barang retur )'!R342</f>
        <v>TMP-INV-2026/05/30/ 2798679 OBAT BATUK IBU DAN ANAK Sinde Budi Sentosa BOTOL @ 75 ML Tarik Barang Damaged</v>
      </c>
      <c r="G365" s="36">
        <f>'DE ( Tarik barang retur )'!AF342</f>
        <v>46182</v>
      </c>
      <c r="H365" s="22">
        <v>46182.0</v>
      </c>
      <c r="I365" s="22">
        <v>46183.0</v>
      </c>
      <c r="J365" s="21" t="s">
        <v>5294</v>
      </c>
      <c r="K365" s="24"/>
      <c r="L365" s="25"/>
      <c r="M365" s="25"/>
      <c r="N365" s="25"/>
      <c r="O365" s="25"/>
      <c r="P365" s="25"/>
      <c r="Q365" s="25"/>
      <c r="R365" s="25"/>
      <c r="S365" s="25"/>
      <c r="T365" s="25"/>
      <c r="U365" s="25"/>
      <c r="V365" s="25"/>
      <c r="W365" s="25"/>
      <c r="X365" s="25"/>
      <c r="Y365" s="25"/>
      <c r="Z365" s="25"/>
      <c r="AA365" s="25"/>
      <c r="AB365" s="25"/>
      <c r="AC365" s="25"/>
    </row>
    <row r="366">
      <c r="A366" s="24" t="str">
        <f>'DE ( Tarik barang retur )'!AC343</f>
        <v>AWBR-115-2026-6-9-01</v>
      </c>
      <c r="B366" s="24" t="str">
        <f>'DE ( Tarik barang retur )'!F343</f>
        <v>Apotek Budhi Pratama</v>
      </c>
      <c r="C366" s="35">
        <f>'DE ( Tarik barang retur )'!G343</f>
        <v>85341917925</v>
      </c>
      <c r="D366" s="24" t="str">
        <f>'DE ( Tarik barang retur )'!H343</f>
        <v>Jalan Raya Tengah No.26 RT.06 RW.01 Kel. Kampung Gedong Kec.Pasar Rebo Kodya - Jakarta Timur</v>
      </c>
      <c r="E366" s="24" t="str">
        <f>'DE ( Tarik barang retur )'!D343</f>
        <v>26051304012337KidPBTMvLP</v>
      </c>
      <c r="F366" s="24" t="str">
        <f>'DE ( Tarik barang retur )'!R343</f>
        <v>TMP-INV-2026/05/14/ 2745230 BETADINE OBAT KUMUR ANTISEPTIK Mbf 1 % BOTOL PLASTIK @ 190 ML
FORTID 1000 Darya Varia SIRUP DUS, BOTOL KACA @ 100 ML
KALTROFEN Kalbe SUPPOSITORIA 100 MG DUS, 2 BLISTER @ 5 SUPPOSITORIA
NEPHROLIT Kalbe KAPSUL DUS, 20 STRIP @ 5 KAPSUL
SANMOL FORTE Sanbe SIRUP 250 MG/5 ML DUS, BOTOL @ 60 ML
TEMPRA (RASA ANGGUR) Taisho SIRUP 2-6 Tahun DUS, 1 BOTOL PLASTIK @ 60 ML
THROMBOGEL Tunggal Idaman GEL 200 IU/G DUS, 1 TUBE @ 10 G
 Tarik Barang Retur</v>
      </c>
      <c r="G366" s="36">
        <f>'DE ( Tarik barang retur )'!AF343</f>
        <v>46182</v>
      </c>
      <c r="H366" s="22">
        <v>46182.0</v>
      </c>
      <c r="I366" s="22">
        <v>46184.0</v>
      </c>
      <c r="J366" s="21" t="s">
        <v>5294</v>
      </c>
      <c r="K366" s="24"/>
      <c r="L366" s="25"/>
      <c r="M366" s="25"/>
      <c r="N366" s="25"/>
      <c r="O366" s="25"/>
      <c r="P366" s="25"/>
      <c r="Q366" s="25"/>
      <c r="R366" s="25"/>
      <c r="S366" s="25"/>
      <c r="T366" s="25"/>
      <c r="U366" s="25"/>
      <c r="V366" s="25"/>
      <c r="W366" s="25"/>
      <c r="X366" s="25"/>
      <c r="Y366" s="25"/>
      <c r="Z366" s="25"/>
      <c r="AA366" s="25"/>
      <c r="AB366" s="25"/>
      <c r="AC366" s="25"/>
    </row>
    <row r="367">
      <c r="A367" s="24" t="str">
        <f>'DE ( Tarik barang retur )'!AC344</f>
        <v>AWBR-1130-2026-6-9-01</v>
      </c>
      <c r="B367" s="24" t="str">
        <f>'DE ( Tarik barang retur )'!F344</f>
        <v>Apotek Bukit Asri</v>
      </c>
      <c r="C367" s="35">
        <f>'DE ( Tarik barang retur )'!G344</f>
        <v>8128125437</v>
      </c>
      <c r="D367" s="24" t="str">
        <f>'DE ( Tarik barang retur )'!H344</f>
        <v>Ruko Perumahan Bukit Asri Baru Blok A No.6 Kelurahan Pabuaran Kecamatan Cibinong Bogor 16916</v>
      </c>
      <c r="E367" s="24" t="str">
        <f>'DE ( Tarik barang retur )'!D344</f>
        <v>26052503104092kLeMGQgnA</v>
      </c>
      <c r="F367" s="24" t="str">
        <f>'DE ( Tarik barang retur )'!R344</f>
        <v>TMP-INV-2026/05/25/ 2782436 TRINORDIOL-28 Sunthi TABLET DUS, 2 BLISTER @ 28 TABLET SALUT GULA Tarik Barang Retur</v>
      </c>
      <c r="G367" s="36">
        <f>'DE ( Tarik barang retur )'!AF344</f>
        <v>46182</v>
      </c>
      <c r="H367" s="22">
        <v>46182.0</v>
      </c>
      <c r="I367" s="22">
        <v>46183.0</v>
      </c>
      <c r="J367" s="21" t="s">
        <v>5294</v>
      </c>
      <c r="K367" s="24"/>
      <c r="L367" s="25"/>
      <c r="M367" s="25"/>
      <c r="N367" s="25"/>
      <c r="O367" s="25"/>
      <c r="P367" s="25"/>
      <c r="Q367" s="25"/>
      <c r="R367" s="25"/>
      <c r="S367" s="25"/>
      <c r="T367" s="25"/>
      <c r="U367" s="25"/>
      <c r="V367" s="25"/>
      <c r="W367" s="25"/>
      <c r="X367" s="25"/>
      <c r="Y367" s="25"/>
      <c r="Z367" s="25"/>
      <c r="AA367" s="25"/>
      <c r="AB367" s="25"/>
      <c r="AC367" s="25"/>
    </row>
    <row r="368">
      <c r="A368" s="24" t="str">
        <f>'DE ( Tarik barang retur )'!AC345</f>
        <v>AWBR-11148-2026-6-9-01</v>
      </c>
      <c r="B368" s="24" t="str">
        <f>'DE ( Tarik barang retur )'!F345</f>
        <v>Apotek Celeste Citaringgul Babakan Madang</v>
      </c>
      <c r="C368" s="35">
        <f>'DE ( Tarik barang retur )'!G345</f>
        <v>6.28139E+17</v>
      </c>
      <c r="D368" s="24" t="str">
        <f>'DE ( Tarik barang retur )'!H345</f>
        <v>Pasar Sentul City Blok J No.16 Desa Citanggul Kecamatan Babakan Madang Kabupaten Bogor 16810</v>
      </c>
      <c r="E368" s="24" t="str">
        <f>'DE ( Tarik barang retur )'!D345</f>
        <v>24042502443933f2q2rdqbw3</v>
      </c>
      <c r="F368" s="24" t="str">
        <f>'DE ( Tarik barang retur )'!R345</f>
        <v>TMP-INV-2024/04/25/ 747467 VITALIFE C+D3+ZN Bintang Kupu-Kupu KAPSUL DUS, BOTOL PLASTIK @ 30 KAPSUL Tarik Barang Retur</v>
      </c>
      <c r="G368" s="36">
        <f>'DE ( Tarik barang retur )'!AF345</f>
        <v>46182</v>
      </c>
      <c r="H368" s="22">
        <v>46182.0</v>
      </c>
      <c r="I368" s="22">
        <v>46183.0</v>
      </c>
      <c r="J368" s="21" t="s">
        <v>5294</v>
      </c>
      <c r="K368" s="24"/>
      <c r="L368" s="25"/>
      <c r="M368" s="25"/>
      <c r="N368" s="25"/>
      <c r="O368" s="25"/>
      <c r="P368" s="25"/>
      <c r="Q368" s="25"/>
      <c r="R368" s="25"/>
      <c r="S368" s="25"/>
      <c r="T368" s="25"/>
      <c r="U368" s="25"/>
      <c r="V368" s="25"/>
      <c r="W368" s="25"/>
      <c r="X368" s="25"/>
      <c r="Y368" s="25"/>
      <c r="Z368" s="25"/>
      <c r="AA368" s="25"/>
      <c r="AB368" s="25"/>
      <c r="AC368" s="25"/>
    </row>
    <row r="369">
      <c r="A369" s="24" t="str">
        <f>'DE ( Tarik barang retur )'!AC346</f>
        <v>AWBR-13287-2026-6-9-01</v>
      </c>
      <c r="B369" s="24" t="str">
        <f>'DE ( Tarik barang retur )'!F346</f>
        <v>Apotek Emha Cibubur Ciracas</v>
      </c>
      <c r="C369" s="35">
        <f>'DE ( Tarik barang retur )'!G346</f>
        <v>6.28528E+17</v>
      </c>
      <c r="D369" s="24" t="str">
        <f>'DE ( Tarik barang retur )'!H346</f>
        <v>Jalan Raya Lapangan Tembak No. 04 RT 005 RW 001, Desa/Kel. Cibubur, Kec. Ciracas, Kota Jakarta Timur</v>
      </c>
      <c r="E369" s="24" t="str">
        <f>'DE ( Tarik barang retur )'!D346</f>
        <v>25032812361818PcDwohxE</v>
      </c>
      <c r="F369" s="24" t="str">
        <f>'DE ( Tarik barang retur )'!R346</f>
        <v>TMP-INV-2025/03/29/ 1464928 CANESTEN Bayer KRIM 1 % DUS, TUBE @ 5 G Tarik Barang Retur</v>
      </c>
      <c r="G369" s="36">
        <f>'DE ( Tarik barang retur )'!AF346</f>
        <v>46182</v>
      </c>
      <c r="H369" s="22">
        <v>46182.0</v>
      </c>
      <c r="I369" s="22">
        <v>46184.0</v>
      </c>
      <c r="J369" s="21" t="s">
        <v>5294</v>
      </c>
      <c r="K369" s="24"/>
      <c r="L369" s="25"/>
      <c r="M369" s="25"/>
      <c r="N369" s="25"/>
      <c r="O369" s="25"/>
      <c r="P369" s="25"/>
      <c r="Q369" s="25"/>
      <c r="R369" s="25"/>
      <c r="S369" s="25"/>
      <c r="T369" s="25"/>
      <c r="U369" s="25"/>
      <c r="V369" s="25"/>
      <c r="W369" s="25"/>
      <c r="X369" s="25"/>
      <c r="Y369" s="25"/>
      <c r="Z369" s="25"/>
      <c r="AA369" s="25"/>
      <c r="AB369" s="25"/>
      <c r="AC369" s="25"/>
    </row>
    <row r="370">
      <c r="A370" s="24" t="str">
        <f>'DE ( Tarik barang retur )'!AC347</f>
        <v>AWBR-13617-2026-6-9-01</v>
      </c>
      <c r="B370" s="24" t="str">
        <f>'DE ( Tarik barang retur )'!F347</f>
        <v>Apotek Fit Pondok Pinang Kebayoran Lama</v>
      </c>
      <c r="C370" s="35">
        <f>'DE ( Tarik barang retur )'!G347</f>
        <v>6.28219E+17</v>
      </c>
      <c r="D370" s="24" t="str">
        <f>'DE ( Tarik barang retur )'!H347</f>
        <v>Jl. Bukit Hijau 1 No. 15, Desa/Kel. Pondok Pinang, Kec. KebayoranLama, Kota Jakarta Selatan</v>
      </c>
      <c r="E370" s="24" t="str">
        <f>'DE ( Tarik barang retur )'!D347</f>
        <v>25022702372132FQs8rXWIY</v>
      </c>
      <c r="F370" s="24" t="str">
        <f>'DE ( Tarik barang retur )'!R347</f>
        <v>TMP-INV-2025/02/27/ 1385964 GASTIN FORCE Soho SIRUP DUS, BOTOL 100 ML Tarik Barang Retur</v>
      </c>
      <c r="G370" s="36">
        <f>'DE ( Tarik barang retur )'!AF347</f>
        <v>46182</v>
      </c>
      <c r="H370" s="22">
        <v>46183.0</v>
      </c>
      <c r="I370" s="22">
        <v>46184.0</v>
      </c>
      <c r="J370" s="21" t="s">
        <v>5294</v>
      </c>
      <c r="K370" s="24"/>
      <c r="L370" s="25"/>
      <c r="M370" s="25"/>
      <c r="N370" s="25"/>
      <c r="O370" s="25"/>
      <c r="P370" s="25"/>
      <c r="Q370" s="25"/>
      <c r="R370" s="25"/>
      <c r="S370" s="25"/>
      <c r="T370" s="25"/>
      <c r="U370" s="25"/>
      <c r="V370" s="25"/>
      <c r="W370" s="25"/>
      <c r="X370" s="25"/>
      <c r="Y370" s="25"/>
      <c r="Z370" s="25"/>
      <c r="AA370" s="25"/>
      <c r="AB370" s="25"/>
      <c r="AC370" s="25"/>
    </row>
    <row r="371">
      <c r="A371" s="24" t="str">
        <f>'DE ( Tarik barang retur )'!AC348</f>
        <v>AWBR-15624-2026-6-9-01</v>
      </c>
      <c r="B371" s="24" t="str">
        <f>'DE ( Tarik barang retur )'!F348</f>
        <v>Apotek Harma 2 Waluya Cikarang Utara</v>
      </c>
      <c r="C371" s="35">
        <f>'DE ( Tarik barang retur )'!G348</f>
        <v>6.28151E+17</v>
      </c>
      <c r="D371" s="24" t="str">
        <f>'DE ( Tarik barang retur )'!H348</f>
        <v>Jl. Arjuna Raya Perum bumi Citra Lestari Blok B 01/01 RT 00/RW 00 Desa Waluya, Kec. Cikarang Utara, Kabupaten Bekasi</v>
      </c>
      <c r="E371" s="24" t="str">
        <f>'DE ( Tarik barang retur )'!D348</f>
        <v>25081002022309jrpf9xS0k4</v>
      </c>
      <c r="F371" s="24" t="str">
        <f>'DE ( Tarik barang retur )'!R348</f>
        <v>TMP-INV-2025/08/10/ 1818240 YOUVIT MULTIVITAMIN GUMMY RASA STRAWBERRY, GOJIBERRY, CANBERRY, RASPBERRY, BLUEBERRY Yupi - DUS DUS, 6 SACHET @ 7 GUMMIES 28 G Tarik Barang Retur</v>
      </c>
      <c r="G371" s="36">
        <f>'DE ( Tarik barang retur )'!AF348</f>
        <v>46182</v>
      </c>
      <c r="H371" s="22">
        <v>46183.0</v>
      </c>
      <c r="I371" s="22">
        <v>46183.0</v>
      </c>
      <c r="J371" s="21" t="s">
        <v>5294</v>
      </c>
      <c r="K371" s="24"/>
      <c r="L371" s="25"/>
      <c r="M371" s="25"/>
      <c r="N371" s="25"/>
      <c r="O371" s="25"/>
      <c r="P371" s="25"/>
      <c r="Q371" s="25"/>
      <c r="R371" s="25"/>
      <c r="S371" s="25"/>
      <c r="T371" s="25"/>
      <c r="U371" s="25"/>
      <c r="V371" s="25"/>
      <c r="W371" s="25"/>
      <c r="X371" s="25"/>
      <c r="Y371" s="25"/>
      <c r="Z371" s="25"/>
      <c r="AA371" s="25"/>
      <c r="AB371" s="25"/>
      <c r="AC371" s="25"/>
    </row>
    <row r="372">
      <c r="A372" s="24" t="str">
        <f>'DE ( Tarik barang retur )'!AC349</f>
        <v>AWBR-8621-2026-6-9-01</v>
      </c>
      <c r="B372" s="24" t="str">
        <f>'DE ( Tarik barang retur )'!F349</f>
        <v>Apotek Ilham Karangsatria Tambun Utara</v>
      </c>
      <c r="C372" s="35">
        <f>'DE ( Tarik barang retur )'!G349</f>
        <v>85888674498</v>
      </c>
      <c r="D372" s="24" t="str">
        <f>'DE ( Tarik barang retur )'!H349</f>
        <v>Villa Mutiara Gading 2, Kav D10 No. 03A Desa Karang Satria Kec. Tambun Utara Kab. Bekasi 17510</v>
      </c>
      <c r="E372" s="24" t="str">
        <f>'DE ( Tarik barang retur )'!D349</f>
        <v>2605300029074806s38tzqt</v>
      </c>
      <c r="F372" s="24" t="str">
        <f>'DE ( Tarik barang retur )'!R349</f>
        <v>TMP-INV-2026/05/30/ 2798961 BUFACOMB Bufa KRIM DUS, 1 TUBE @ 5 GRAM Tarik Barang Retur</v>
      </c>
      <c r="G372" s="36">
        <f>'DE ( Tarik barang retur )'!AF349</f>
        <v>46182</v>
      </c>
      <c r="H372" s="22">
        <v>46183.0</v>
      </c>
      <c r="I372" s="22">
        <v>46183.0</v>
      </c>
      <c r="J372" s="21" t="s">
        <v>5294</v>
      </c>
      <c r="K372" s="24"/>
      <c r="L372" s="25"/>
      <c r="M372" s="25"/>
      <c r="N372" s="25"/>
      <c r="O372" s="25"/>
      <c r="P372" s="25"/>
      <c r="Q372" s="25"/>
      <c r="R372" s="25"/>
      <c r="S372" s="25"/>
      <c r="T372" s="25"/>
      <c r="U372" s="25"/>
      <c r="V372" s="25"/>
      <c r="W372" s="25"/>
      <c r="X372" s="25"/>
      <c r="Y372" s="25"/>
      <c r="Z372" s="25"/>
      <c r="AA372" s="25"/>
      <c r="AB372" s="25"/>
      <c r="AC372" s="25"/>
    </row>
    <row r="373">
      <c r="A373" s="24" t="str">
        <f>'DE ( Tarik barang retur )'!AC350</f>
        <v>AWBR-14021-2026-6-9-01</v>
      </c>
      <c r="B373" s="24" t="str">
        <f>'DE ( Tarik barang retur )'!F350</f>
        <v>Apotek Inofarma Kebagusan</v>
      </c>
      <c r="C373" s="35" t="str">
        <f>'DE ( Tarik barang retur )'!G350</f>
        <v>62859-2661-1060</v>
      </c>
      <c r="D373" s="24" t="str">
        <f>'DE ( Tarik barang retur )'!H350</f>
        <v>Jl. Kebagusan Raya RT 007 RW 06, Kel. Kebagusan, Kec. Pasar Minggu, Jakarta Selatan</v>
      </c>
      <c r="E373" s="24" t="str">
        <f>'DE ( Tarik barang retur )'!D350</f>
        <v>26042407152473M3cV3Ptkhv</v>
      </c>
      <c r="F373" s="24" t="str">
        <f>'DE ( Tarik barang retur )'!R350</f>
        <v>TMP-INV-2026/04/25/ 2678001 EPISAN Sanbe SUSPENSI DUS, 1 BOTOL @ 200 ML Tarik Barang Damaged</v>
      </c>
      <c r="G373" s="36">
        <f>'DE ( Tarik barang retur )'!AF350</f>
        <v>46182</v>
      </c>
      <c r="H373" s="22">
        <v>46182.0</v>
      </c>
      <c r="I373" s="22">
        <v>46184.0</v>
      </c>
      <c r="J373" s="21" t="s">
        <v>5294</v>
      </c>
      <c r="K373" s="24"/>
      <c r="L373" s="25"/>
      <c r="M373" s="25"/>
      <c r="N373" s="25"/>
      <c r="O373" s="25"/>
      <c r="P373" s="25"/>
      <c r="Q373" s="25"/>
      <c r="R373" s="25"/>
      <c r="S373" s="25"/>
      <c r="T373" s="25"/>
      <c r="U373" s="25"/>
      <c r="V373" s="25"/>
      <c r="W373" s="25"/>
      <c r="X373" s="25"/>
      <c r="Y373" s="25"/>
      <c r="Z373" s="25"/>
      <c r="AA373" s="25"/>
      <c r="AB373" s="25"/>
      <c r="AC373" s="25"/>
    </row>
    <row r="374">
      <c r="A374" s="24" t="str">
        <f>'DE ( Tarik barang retur )'!AC351</f>
        <v>AWBR-13494-2026-6-9-01</v>
      </c>
      <c r="B374" s="24" t="str">
        <f>'DE ( Tarik barang retur )'!F351</f>
        <v>Apotek Jes Farma Bojong Klapa Nunggal</v>
      </c>
      <c r="C374" s="35">
        <f>'DE ( Tarik barang retur )'!G351</f>
        <v>6.28218E+17</v>
      </c>
      <c r="D374" s="24" t="str">
        <f>'DE ( Tarik barang retur )'!H351</f>
        <v>Perumahan Pesona Kahuripan Blok Toko B No. 6 Desa Bojong Kec. Klapa Nunggal Kab. Bogor</v>
      </c>
      <c r="E374" s="24" t="str">
        <f>'DE ( Tarik barang retur )'!D351</f>
        <v>25111603075448IVwIqgrEPP</v>
      </c>
      <c r="F374" s="24" t="str">
        <f>'DE ( Tarik barang retur )'!R351</f>
        <v>TMP-INV-2025/11/16/ 2132167 LACTOGEN LACTOSE FREE Nestle KALENG 400 G Tarik Barang Retur</v>
      </c>
      <c r="G374" s="36">
        <f>'DE ( Tarik barang retur )'!AF351</f>
        <v>46182</v>
      </c>
      <c r="H374" s="22">
        <v>46182.0</v>
      </c>
      <c r="I374" s="22">
        <v>46183.0</v>
      </c>
      <c r="J374" s="21" t="s">
        <v>5294</v>
      </c>
      <c r="K374" s="24"/>
      <c r="L374" s="25"/>
      <c r="M374" s="25"/>
      <c r="N374" s="25"/>
      <c r="O374" s="25"/>
      <c r="P374" s="25"/>
      <c r="Q374" s="25"/>
      <c r="R374" s="25"/>
      <c r="S374" s="25"/>
      <c r="T374" s="25"/>
      <c r="U374" s="25"/>
      <c r="V374" s="25"/>
      <c r="W374" s="25"/>
      <c r="X374" s="25"/>
      <c r="Y374" s="25"/>
      <c r="Z374" s="25"/>
      <c r="AA374" s="25"/>
      <c r="AB374" s="25"/>
      <c r="AC374" s="25"/>
    </row>
    <row r="375">
      <c r="A375" s="24" t="str">
        <f>'DE ( Tarik barang retur )'!AC352</f>
        <v>AWBR-1167-2026-6-9-01</v>
      </c>
      <c r="B375" s="24" t="str">
        <f>'DE ( Tarik barang retur )'!F352</f>
        <v>Apotek Jovita</v>
      </c>
      <c r="C375" s="35">
        <f>'DE ( Tarik barang retur )'!G352</f>
        <v>85218837464</v>
      </c>
      <c r="D375" s="24" t="str">
        <f>'DE ( Tarik barang retur )'!H352</f>
        <v>Jalan Raya Pabuaran No.26 RT 007 RW 013 Kelurahan Pabuaran Kecamatan Bojonggede Kabupaten Bogor 16921</v>
      </c>
      <c r="E375" s="24" t="str">
        <f>'DE ( Tarik barang retur )'!D352</f>
        <v>26051103583050Wib8dpqgt7</v>
      </c>
      <c r="F375" s="24" t="str">
        <f>'DE ( Tarik barang retur )'!R352</f>
        <v>TMP-INV-2026/05/11/ 2733607 OBH Surya Itrasal SIRUP BOTOL @ 100 ML &amp; ROHTO COOL Rohto TETES MATA 0.012 % DUS, 1 BOTOL PLASTIK @ 7 ML Tarik Barang Damaged</v>
      </c>
      <c r="G375" s="36">
        <f>'DE ( Tarik barang retur )'!AF352</f>
        <v>46182</v>
      </c>
      <c r="H375" s="22">
        <v>46182.0</v>
      </c>
      <c r="I375" s="22">
        <v>46183.0</v>
      </c>
      <c r="J375" s="21" t="s">
        <v>5294</v>
      </c>
      <c r="K375" s="24"/>
      <c r="L375" s="25"/>
      <c r="M375" s="25"/>
      <c r="N375" s="25"/>
      <c r="O375" s="25"/>
      <c r="P375" s="25"/>
      <c r="Q375" s="25"/>
      <c r="R375" s="25"/>
      <c r="S375" s="25"/>
      <c r="T375" s="25"/>
      <c r="U375" s="25"/>
      <c r="V375" s="25"/>
      <c r="W375" s="25"/>
      <c r="X375" s="25"/>
      <c r="Y375" s="25"/>
      <c r="Z375" s="25"/>
      <c r="AA375" s="25"/>
      <c r="AB375" s="25"/>
      <c r="AC375" s="25"/>
    </row>
    <row r="376">
      <c r="A376" s="24" t="str">
        <f>'DE ( Tarik barang retur )'!AC353</f>
        <v>AWBR-12490-2026-6-9-01</v>
      </c>
      <c r="B376" s="24" t="str">
        <f>'DE ( Tarik barang retur )'!F353</f>
        <v>Apotek K24 Pilar Karangasih Cikarang Utara</v>
      </c>
      <c r="C376" s="35">
        <f>'DE ( Tarik barang retur )'!G353</f>
        <v>6.28127E+17</v>
      </c>
      <c r="D376" s="24" t="str">
        <f>'DE ( Tarik barang retur )'!H353</f>
        <v>Jl. Ki Hajar Dewantara Kp. Pilar Barat No. 129, Desa/Kelurahan Karangasih, Kec. Cikarang Utara, Kab. Bekasi</v>
      </c>
      <c r="E376" s="24" t="str">
        <f>'DE ( Tarik barang retur )'!D353</f>
        <v>26052302263610YRllq7k800</v>
      </c>
      <c r="F376" s="24" t="str">
        <f>'DE ( Tarik barang retur )'!R353</f>
        <v>TMP-INV-2026/05/23/ 2776477 EGOJI RASA ANGGUR Novell SIRUP DUS, BOTOL 100 ML &amp; EGOJI RASA APPLE-BERRY Novell SIRUP DUS, BOTOL 100 ML Tarik Barang Retur</v>
      </c>
      <c r="G376" s="36">
        <f>'DE ( Tarik barang retur )'!AF353</f>
        <v>46182</v>
      </c>
      <c r="H376" s="22">
        <v>46182.0</v>
      </c>
      <c r="I376" s="22">
        <v>46183.0</v>
      </c>
      <c r="J376" s="21" t="s">
        <v>5294</v>
      </c>
      <c r="K376" s="24"/>
      <c r="L376" s="25"/>
      <c r="M376" s="25"/>
      <c r="N376" s="25"/>
      <c r="O376" s="25"/>
      <c r="P376" s="25"/>
      <c r="Q376" s="25"/>
      <c r="R376" s="25"/>
      <c r="S376" s="25"/>
      <c r="T376" s="25"/>
      <c r="U376" s="25"/>
      <c r="V376" s="25"/>
      <c r="W376" s="25"/>
      <c r="X376" s="25"/>
      <c r="Y376" s="25"/>
      <c r="Z376" s="25"/>
      <c r="AA376" s="25"/>
      <c r="AB376" s="25"/>
      <c r="AC376" s="25"/>
    </row>
    <row r="377">
      <c r="A377" s="24" t="str">
        <f>'DE ( Tarik barang retur )'!AC354</f>
        <v>AWBR-1122-2026-6-9-01</v>
      </c>
      <c r="B377" s="24" t="str">
        <f>'DE ( Tarik barang retur )'!F354</f>
        <v>Apotek MY</v>
      </c>
      <c r="C377" s="35">
        <f>'DE ( Tarik barang retur )'!G354</f>
        <v>6.2851E+16</v>
      </c>
      <c r="D377" s="24" t="str">
        <f>'DE ( Tarik barang retur )'!H354</f>
        <v>Jalan RayaTembus Bambu Kuning- Pemda Desa Bojong Baru Kecamatan Bojonggede Kabupaten Bogor 16920</v>
      </c>
      <c r="E377" s="24" t="str">
        <f>'DE ( Tarik barang retur )'!D354</f>
        <v>24121606505574haPmsZ9MVC</v>
      </c>
      <c r="F377" s="24" t="str">
        <f>'DE ( Tarik barang retur )'!R354</f>
        <v>TMP-INV-2024/12/17/ 1211651 KUTILOS Etercon CAIRAN DUS, BOTOL 10 ML Tarik Barang Retur</v>
      </c>
      <c r="G377" s="36">
        <f>'DE ( Tarik barang retur )'!AF354</f>
        <v>46182</v>
      </c>
      <c r="H377" s="22">
        <v>46182.0</v>
      </c>
      <c r="I377" s="22">
        <v>46183.0</v>
      </c>
      <c r="J377" s="21" t="s">
        <v>5294</v>
      </c>
      <c r="K377" s="24"/>
      <c r="L377" s="25"/>
      <c r="M377" s="25"/>
      <c r="N377" s="25"/>
      <c r="O377" s="25"/>
      <c r="P377" s="25"/>
      <c r="Q377" s="25"/>
      <c r="R377" s="25"/>
      <c r="S377" s="25"/>
      <c r="T377" s="25"/>
      <c r="U377" s="25"/>
      <c r="V377" s="25"/>
      <c r="W377" s="25"/>
      <c r="X377" s="25"/>
      <c r="Y377" s="25"/>
      <c r="Z377" s="25"/>
      <c r="AA377" s="25"/>
      <c r="AB377" s="25"/>
      <c r="AC377" s="25"/>
    </row>
    <row r="378">
      <c r="A378" s="24" t="str">
        <f>'DE ( Tarik barang retur )'!AC355</f>
        <v>AWBR-11130-2026-6-9-01</v>
      </c>
      <c r="B378" s="24" t="str">
        <f>'DE ( Tarik barang retur )'!F355</f>
        <v>Apotek Padma Medica Jatisari Jatiasih</v>
      </c>
      <c r="C378" s="35">
        <f>'DE ( Tarik barang retur )'!G355</f>
        <v>6.28819E+16</v>
      </c>
      <c r="D378" s="24" t="str">
        <f>'DE ( Tarik barang retur )'!H355</f>
        <v>Jl. Suryadarma No. BQ8 Taman Jatisari Permai, Desa/Kelurahan Jatisari,Kecamatan Jatiasih, Kota Bekasi,Jawa Barat,17426</v>
      </c>
      <c r="E378" s="24" t="str">
        <f>'DE ( Tarik barang retur )'!D355</f>
        <v>24010200340491osslG4mcRa</v>
      </c>
      <c r="F378" s="24" t="str">
        <f>'DE ( Tarik barang retur )'!R355</f>
        <v>TMP-INV-2024/01/02/ 564282 MYCO-Z Taisho SALEP DUS, 1 TUBE @ 10 G Tarik Barang Retur</v>
      </c>
      <c r="G378" s="36">
        <f>'DE ( Tarik barang retur )'!AF355</f>
        <v>46182</v>
      </c>
      <c r="H378" s="22">
        <v>46182.0</v>
      </c>
      <c r="I378" s="22">
        <v>46183.0</v>
      </c>
      <c r="J378" s="21" t="s">
        <v>5294</v>
      </c>
      <c r="K378" s="24"/>
      <c r="L378" s="25"/>
      <c r="M378" s="25"/>
      <c r="N378" s="25"/>
      <c r="O378" s="25"/>
      <c r="P378" s="25"/>
      <c r="Q378" s="25"/>
      <c r="R378" s="25"/>
      <c r="S378" s="25"/>
      <c r="T378" s="25"/>
      <c r="U378" s="25"/>
      <c r="V378" s="25"/>
      <c r="W378" s="25"/>
      <c r="X378" s="25"/>
      <c r="Y378" s="25"/>
      <c r="Z378" s="25"/>
      <c r="AA378" s="25"/>
      <c r="AB378" s="25"/>
      <c r="AC378" s="25"/>
    </row>
    <row r="379">
      <c r="A379" s="24" t="str">
        <f>'DE ( Tarik barang retur )'!AC356</f>
        <v>AWBR-2138-2026-6-9-01</v>
      </c>
      <c r="B379" s="24" t="str">
        <f>'DE ( Tarik barang retur )'!F356</f>
        <v>Apotek Zahra Medika</v>
      </c>
      <c r="C379" s="35">
        <f>'DE ( Tarik barang retur )'!G356</f>
        <v>81387688857</v>
      </c>
      <c r="D379" s="24" t="str">
        <f>'DE ( Tarik barang retur )'!H356</f>
        <v>Jalan Cagar Alam Raya No. 42 RT 001 RW 001 Kelurahan Pancoran Mas Kecamatann Pancoran Mas Depok 16436</v>
      </c>
      <c r="E379" s="24" t="str">
        <f>'DE ( Tarik barang retur )'!D356</f>
        <v>26033003234880T7WRX4awB</v>
      </c>
      <c r="F379" s="24" t="str">
        <f>'DE ( Tarik barang retur )'!R356</f>
        <v>TMP-INV-2026/03/30/ 2582012 IMBOOST EXTRA VIT C dan D3 KIDS Soho TABLET HISAP DUS, BOTOL PLASTIK @ 21 TABLET HISAP Tarik Barang Damaged</v>
      </c>
      <c r="G379" s="36">
        <f>'DE ( Tarik barang retur )'!AF356</f>
        <v>46182</v>
      </c>
      <c r="H379" s="22">
        <v>46182.0</v>
      </c>
      <c r="I379" s="22">
        <v>46183.0</v>
      </c>
      <c r="J379" s="21" t="s">
        <v>5294</v>
      </c>
      <c r="K379" s="24"/>
      <c r="L379" s="25"/>
      <c r="M379" s="25"/>
      <c r="N379" s="25"/>
      <c r="O379" s="25"/>
      <c r="P379" s="25"/>
      <c r="Q379" s="25"/>
      <c r="R379" s="25"/>
      <c r="S379" s="25"/>
      <c r="T379" s="25"/>
      <c r="U379" s="25"/>
      <c r="V379" s="25"/>
      <c r="W379" s="25"/>
      <c r="X379" s="25"/>
      <c r="Y379" s="25"/>
      <c r="Z379" s="25"/>
      <c r="AA379" s="25"/>
      <c r="AB379" s="25"/>
      <c r="AC379" s="25"/>
    </row>
    <row r="380">
      <c r="A380" s="24" t="str">
        <f>'DE ( Tarik barang retur )'!AC357</f>
        <v>AWBR-3316399274-01</v>
      </c>
      <c r="B380" s="24" t="str">
        <f>'DE ( Tarik barang retur )'!F357</f>
        <v>Apotek Raudha Farma</v>
      </c>
      <c r="C380" s="35">
        <f>'DE ( Tarik barang retur )'!G357</f>
        <v>81299422172</v>
      </c>
      <c r="D380" s="24" t="str">
        <f>'DE ( Tarik barang retur )'!H357</f>
        <v>Jl. Raya Ceger No. 99, Ceger, Cipayung</v>
      </c>
      <c r="E380" s="24" t="str">
        <f>'DE ( Tarik barang retur )'!D357</f>
        <v>260316224124080hYVnb0v7</v>
      </c>
      <c r="F380" s="24" t="str">
        <f>'DE ( Tarik barang retur )'!R357</f>
        <v>TMP-INV-2026/03/17/ 2543495 Invoice: TMP-INV-2026/03/17/ 2543495
Full Return Tarik Barang</v>
      </c>
      <c r="G380" s="36">
        <f>'DE ( Tarik barang retur )'!AF357</f>
        <v>46183</v>
      </c>
      <c r="H380" s="22">
        <v>46184.0</v>
      </c>
      <c r="I380" s="22">
        <v>46184.0</v>
      </c>
      <c r="J380" s="21" t="s">
        <v>5294</v>
      </c>
      <c r="K380" s="24"/>
      <c r="L380" s="24">
        <f t="shared" ref="L380:L620" si="2">COUNTIFS(A:A,A380)</f>
        <v>1</v>
      </c>
      <c r="M380" s="24"/>
      <c r="N380" s="24"/>
      <c r="O380" s="24"/>
      <c r="P380" s="25"/>
      <c r="Q380" s="25"/>
      <c r="R380" s="25"/>
      <c r="S380" s="25"/>
      <c r="T380" s="25"/>
      <c r="U380" s="25"/>
      <c r="V380" s="25"/>
      <c r="W380" s="25"/>
      <c r="X380" s="25"/>
      <c r="Y380" s="25"/>
      <c r="Z380" s="25"/>
      <c r="AA380" s="25"/>
      <c r="AB380" s="25"/>
      <c r="AC380" s="25"/>
    </row>
    <row r="381">
      <c r="A381" s="24" t="str">
        <f>'DE ( Tarik barang retur )'!AC358</f>
        <v>AWBR-3315239673-01</v>
      </c>
      <c r="B381" s="24" t="str">
        <f>'DE ( Tarik barang retur )'!F358</f>
        <v>Apotek Satya Esy</v>
      </c>
      <c r="C381" s="35">
        <f>'DE ( Tarik barang retur )'!G358</f>
        <v>217336043</v>
      </c>
      <c r="D381" s="24" t="str">
        <f>'DE ( Tarik barang retur )'!H358</f>
        <v>Jl. HOS Cokroaminoto No. 46 D, Kelurahan Karang Tengah, Kecamatan Karang Tengah, Tangerang, Banten 15157</v>
      </c>
      <c r="E381" s="24" t="str">
        <f>'DE ( Tarik barang retur )'!D358</f>
        <v>26042803170257oUpb9iOLk</v>
      </c>
      <c r="F381" s="24" t="str">
        <f>'DE ( Tarik barang retur )'!R358</f>
        <v>TMP-INV-2026/04/29/ 2690320 Invoice: TMP-INV-2026/04/29/ 2690320
Full Return Tarik Barang</v>
      </c>
      <c r="G381" s="36">
        <f>'DE ( Tarik barang retur )'!AF358</f>
        <v>46183</v>
      </c>
      <c r="H381" s="22">
        <v>46184.0</v>
      </c>
      <c r="I381" s="22">
        <v>46185.0</v>
      </c>
      <c r="J381" s="21" t="s">
        <v>5294</v>
      </c>
      <c r="K381" s="24"/>
      <c r="L381" s="24">
        <f t="shared" si="2"/>
        <v>1</v>
      </c>
      <c r="M381" s="24"/>
      <c r="N381" s="24"/>
      <c r="O381" s="24"/>
      <c r="P381" s="25"/>
      <c r="Q381" s="25"/>
      <c r="R381" s="25"/>
      <c r="S381" s="25"/>
      <c r="T381" s="25"/>
      <c r="U381" s="25"/>
      <c r="V381" s="25"/>
      <c r="W381" s="25"/>
      <c r="X381" s="25"/>
      <c r="Y381" s="25"/>
      <c r="Z381" s="25"/>
      <c r="AA381" s="25"/>
      <c r="AB381" s="25"/>
      <c r="AC381" s="25"/>
    </row>
    <row r="382">
      <c r="A382" s="24" t="str">
        <f>'DE ( Tarik barang retur )'!AC359</f>
        <v>AWBR-3316480875-01</v>
      </c>
      <c r="B382" s="24" t="str">
        <f>'DE ( Tarik barang retur )'!F359</f>
        <v>Apotek Super Saver</v>
      </c>
      <c r="C382" s="35">
        <f>'DE ( Tarik barang retur )'!G359</f>
        <v>85216518363</v>
      </c>
      <c r="D382" s="24" t="str">
        <f>'DE ( Tarik barang retur )'!H359</f>
        <v>Jl. Lingkar luar selatan Blok G/A/6 - G/A/7, Kelurahan Cilandak, Kecamatan Lebak Bulus, Jakarta Selatan, DKI Jakarta, 12440</v>
      </c>
      <c r="E382" s="24" t="str">
        <f>'DE ( Tarik barang retur )'!D359</f>
        <v>24122304142350VrNbfHE9</v>
      </c>
      <c r="F382" s="24" t="str">
        <f>'DE ( Tarik barang retur )'!R359</f>
        <v>TMP-INV-2024/12/23/ 1226467 POLYCROL FORTE Nicholas SUSPENSI Tarik Barang</v>
      </c>
      <c r="G382" s="36">
        <f>'DE ( Tarik barang retur )'!AF359</f>
        <v>46183</v>
      </c>
      <c r="H382" s="22">
        <v>46184.0</v>
      </c>
      <c r="I382" s="22">
        <v>46185.0</v>
      </c>
      <c r="J382" s="21" t="s">
        <v>5294</v>
      </c>
      <c r="K382" s="24"/>
      <c r="L382" s="24">
        <f t="shared" si="2"/>
        <v>1</v>
      </c>
      <c r="M382" s="24"/>
      <c r="N382" s="24"/>
      <c r="O382" s="24"/>
      <c r="P382" s="25"/>
      <c r="Q382" s="25"/>
      <c r="R382" s="25"/>
      <c r="S382" s="25"/>
      <c r="T382" s="25"/>
      <c r="U382" s="25"/>
      <c r="V382" s="25"/>
      <c r="W382" s="25"/>
      <c r="X382" s="25"/>
      <c r="Y382" s="25"/>
      <c r="Z382" s="25"/>
      <c r="AA382" s="25"/>
      <c r="AB382" s="25"/>
      <c r="AC382" s="25"/>
    </row>
    <row r="383">
      <c r="A383" s="24" t="str">
        <f>'DE ( Tarik barang retur )'!AC360</f>
        <v>AWBR-3316641702-01</v>
      </c>
      <c r="B383" s="24" t="str">
        <f>'DE ( Tarik barang retur )'!F360</f>
        <v>Apotek Merapi</v>
      </c>
      <c r="C383" s="35">
        <f>'DE ( Tarik barang retur )'!G360</f>
        <v>2177833109</v>
      </c>
      <c r="D383" s="24" t="str">
        <f>'DE ( Tarik barang retur )'!H360</f>
        <v>Jalan Kejayaan Blok X No. 9 RT 006/ RW 012 Kelurahan Abadijaya, Kecamatan Sukmajaya Kota Depok 16417</v>
      </c>
      <c r="E383" s="24" t="str">
        <f>'DE ( Tarik barang retur )'!D360</f>
        <v>26060803502339qe85yvhUtr</v>
      </c>
      <c r="F383" s="24" t="str">
        <f>'DE ( Tarik barang retur )'!R360</f>
        <v>TMP-INV-2026/06/08/ 2831456 HUFAGRIPP DEMAM Hufa KAPLET 500 MG
1x NASONEX Organon SEMPROT HIDUNG 50 MCG/DOSIS Tarik Barang</v>
      </c>
      <c r="G383" s="36">
        <f>'DE ( Tarik barang retur )'!AF360</f>
        <v>46183</v>
      </c>
      <c r="H383" s="22">
        <v>46183.0</v>
      </c>
      <c r="I383" s="22">
        <v>46185.0</v>
      </c>
      <c r="J383" s="21" t="s">
        <v>5294</v>
      </c>
      <c r="K383" s="24"/>
      <c r="L383" s="24">
        <f t="shared" si="2"/>
        <v>1</v>
      </c>
      <c r="M383" s="24"/>
      <c r="N383" s="24"/>
      <c r="O383" s="24"/>
      <c r="P383" s="25"/>
      <c r="Q383" s="25"/>
      <c r="R383" s="25"/>
      <c r="S383" s="25"/>
      <c r="T383" s="25"/>
      <c r="U383" s="25"/>
      <c r="V383" s="25"/>
      <c r="W383" s="25"/>
      <c r="X383" s="25"/>
      <c r="Y383" s="25"/>
      <c r="Z383" s="25"/>
      <c r="AA383" s="25"/>
      <c r="AB383" s="25"/>
      <c r="AC383" s="25"/>
    </row>
    <row r="384">
      <c r="A384" s="24" t="str">
        <f>'DE ( Tarik barang retur )'!AC361</f>
        <v>AWBR-3316412998-01</v>
      </c>
      <c r="B384" s="24" t="str">
        <f>'DE ( Tarik barang retur )'!F361</f>
        <v>Apotek Rosa Farma</v>
      </c>
      <c r="C384" s="35">
        <f>'DE ( Tarik barang retur )'!G361</f>
        <v>81212834867</v>
      </c>
      <c r="D384" s="24" t="str">
        <f>'DE ( Tarik barang retur )'!H361</f>
        <v>Jalan Khamono No. 17 RT 001 RW 001, Kelurahan Jatimakmur, Kecamatan Pondok Gede, Kota Bekasi 17413</v>
      </c>
      <c r="E384" s="24" t="str">
        <f>'DE ( Tarik barang retur )'!D361</f>
        <v>26060303482815zjFC4LsUm5</v>
      </c>
      <c r="F384" s="24" t="str">
        <f>'DE ( Tarik barang retur )'!R361</f>
        <v>TMP-INV-2026/06/03/ 2813569 Invoice: TMP-INV-2026/06/03/ 2813569
Full Return Tarik Barang</v>
      </c>
      <c r="G384" s="36">
        <f>'DE ( Tarik barang retur )'!AF361</f>
        <v>46183</v>
      </c>
      <c r="H384" s="22">
        <v>46184.0</v>
      </c>
      <c r="I384" s="22">
        <v>46184.0</v>
      </c>
      <c r="J384" s="21" t="s">
        <v>5294</v>
      </c>
      <c r="K384" s="24"/>
      <c r="L384" s="24">
        <f t="shared" si="2"/>
        <v>1</v>
      </c>
      <c r="M384" s="24"/>
      <c r="N384" s="24"/>
      <c r="O384" s="24"/>
      <c r="P384" s="25"/>
      <c r="Q384" s="25"/>
      <c r="R384" s="25"/>
      <c r="S384" s="25"/>
      <c r="T384" s="25"/>
      <c r="U384" s="25"/>
      <c r="V384" s="25"/>
      <c r="W384" s="25"/>
      <c r="X384" s="25"/>
      <c r="Y384" s="25"/>
      <c r="Z384" s="25"/>
      <c r="AA384" s="25"/>
      <c r="AB384" s="25"/>
      <c r="AC384" s="25"/>
    </row>
    <row r="385">
      <c r="A385" s="24" t="str">
        <f>'DE ( Tarik barang retur )'!AC362</f>
        <v>AWBR-3317081393-01</v>
      </c>
      <c r="B385" s="24" t="str">
        <f>'DE ( Tarik barang retur )'!F362</f>
        <v>Apotek Puri Bakti</v>
      </c>
      <c r="C385" s="35">
        <f>'DE ( Tarik barang retur )'!G362</f>
        <v>81316353377</v>
      </c>
      <c r="D385" s="24" t="str">
        <f>'DE ( Tarik barang retur )'!H362</f>
        <v>Jalan Mendut Raya No.21 Perumnas 2 RT.002 RW.011 Kelurahan Bencongan, Kecamatan Kelapa Dua, Kota Tangerang 15810</v>
      </c>
      <c r="E385" s="24" t="str">
        <f>'DE ( Tarik barang retur )'!D362</f>
        <v>26040704573994gbgOpnBqqM</v>
      </c>
      <c r="F385" s="24" t="str">
        <f>'DE ( Tarik barang retur )'!R362</f>
        <v>TMP-INV-2026/04/08/ 2614556 LYCALVIT Interbat SIRUP Tarik Barang</v>
      </c>
      <c r="G385" s="36">
        <f>'DE ( Tarik barang retur )'!AF362</f>
        <v>46183</v>
      </c>
      <c r="H385" s="22">
        <v>46184.0</v>
      </c>
      <c r="I385" s="22">
        <v>46185.0</v>
      </c>
      <c r="J385" s="21" t="s">
        <v>5294</v>
      </c>
      <c r="K385" s="24"/>
      <c r="L385" s="24">
        <f t="shared" si="2"/>
        <v>1</v>
      </c>
      <c r="M385" s="24"/>
      <c r="N385" s="24"/>
      <c r="O385" s="24"/>
      <c r="P385" s="25"/>
      <c r="Q385" s="25"/>
      <c r="R385" s="25"/>
      <c r="S385" s="25"/>
      <c r="T385" s="25"/>
      <c r="U385" s="25"/>
      <c r="V385" s="25"/>
      <c r="W385" s="25"/>
      <c r="X385" s="25"/>
      <c r="Y385" s="25"/>
      <c r="Z385" s="25"/>
      <c r="AA385" s="25"/>
      <c r="AB385" s="25"/>
      <c r="AC385" s="25"/>
    </row>
    <row r="386">
      <c r="A386" s="24" t="str">
        <f>'DE ( Tarik barang retur )'!AC363</f>
        <v>AWBR-3315826456-01</v>
      </c>
      <c r="B386" s="24" t="str">
        <f>'DE ( Tarik barang retur )'!F363</f>
        <v>Apotek Salam</v>
      </c>
      <c r="C386" s="35">
        <f>'DE ( Tarik barang retur )'!G363</f>
        <v>8179182789</v>
      </c>
      <c r="D386" s="24" t="str">
        <f>'DE ( Tarik barang retur )'!H363</f>
        <v>Pamulang Estate Jalan Cempedak Raya D-20 No.2 Kelurahan Pamulang Timur, Kecamatan Pamulang, Kota Tangerang Selatan 15417</v>
      </c>
      <c r="E386" s="24" t="str">
        <f>'DE ( Tarik barang retur )'!D363</f>
        <v>26060204402926p50JO0ef1</v>
      </c>
      <c r="F386" s="24" t="str">
        <f>'DE ( Tarik barang retur )'!R363</f>
        <v>TMP-INV-2026/06/03/ 2813381 Invoice: TMP-INV-2026/06/03/ 2813381
Full Return Tarik Barang</v>
      </c>
      <c r="G386" s="36">
        <f>'DE ( Tarik barang retur )'!AF363</f>
        <v>46183</v>
      </c>
      <c r="H386" s="22">
        <v>46184.0</v>
      </c>
      <c r="I386" s="22">
        <v>46185.0</v>
      </c>
      <c r="J386" s="21" t="s">
        <v>5294</v>
      </c>
      <c r="K386" s="24"/>
      <c r="L386" s="24">
        <f t="shared" si="2"/>
        <v>1</v>
      </c>
      <c r="M386" s="24"/>
      <c r="N386" s="24"/>
      <c r="O386" s="24"/>
      <c r="P386" s="25"/>
      <c r="Q386" s="25"/>
      <c r="R386" s="25"/>
      <c r="S386" s="25"/>
      <c r="T386" s="25"/>
      <c r="U386" s="25"/>
      <c r="V386" s="25"/>
      <c r="W386" s="25"/>
      <c r="X386" s="25"/>
      <c r="Y386" s="25"/>
      <c r="Z386" s="25"/>
      <c r="AA386" s="25"/>
      <c r="AB386" s="25"/>
      <c r="AC386" s="25"/>
    </row>
    <row r="387">
      <c r="A387" s="24" t="str">
        <f>'DE ( Tarik barang retur )'!AC364</f>
        <v>AWBR-3317048027-01</v>
      </c>
      <c r="B387" s="24" t="str">
        <f>'DE ( Tarik barang retur )'!F364</f>
        <v>Apotek Jovita</v>
      </c>
      <c r="C387" s="35">
        <f>'DE ( Tarik barang retur )'!G364</f>
        <v>85218837464</v>
      </c>
      <c r="D387" s="24" t="str">
        <f>'DE ( Tarik barang retur )'!H364</f>
        <v>Jalan Raya Pabuaran No.26 RT 007 RW 013 Kelurahan Pabuaran Kecamatan Bojonggede Kabupaten Bogor 16921</v>
      </c>
      <c r="E387" s="24" t="str">
        <f>'DE ( Tarik barang retur )'!D364</f>
        <v>26051103583050Wib8dpqgt7</v>
      </c>
      <c r="F387" s="24" t="str">
        <f>'DE ( Tarik barang retur )'!R364</f>
        <v>TMP-INV-2026/05/11/ 2733607 OBH Surya Itrasal SIRUP
12x ROHTO COOL Rohto TETES MATA 0.012 % Tarik Barang</v>
      </c>
      <c r="G387" s="36">
        <f>'DE ( Tarik barang retur )'!AF364</f>
        <v>46183</v>
      </c>
      <c r="H387" s="22">
        <v>46183.0</v>
      </c>
      <c r="I387" s="22">
        <v>46184.0</v>
      </c>
      <c r="J387" s="21" t="s">
        <v>5294</v>
      </c>
      <c r="K387" s="24"/>
      <c r="L387" s="24">
        <f t="shared" si="2"/>
        <v>1</v>
      </c>
      <c r="M387" s="24"/>
      <c r="N387" s="24"/>
      <c r="O387" s="24"/>
      <c r="P387" s="25"/>
      <c r="Q387" s="25"/>
      <c r="R387" s="25"/>
      <c r="S387" s="25"/>
      <c r="T387" s="25"/>
      <c r="U387" s="25"/>
      <c r="V387" s="25"/>
      <c r="W387" s="25"/>
      <c r="X387" s="25"/>
      <c r="Y387" s="25"/>
      <c r="Z387" s="25"/>
      <c r="AA387" s="25"/>
      <c r="AB387" s="25"/>
      <c r="AC387" s="25"/>
    </row>
    <row r="388">
      <c r="A388" s="24" t="str">
        <f>'DE ( Tarik barang retur )'!AC365</f>
        <v>AWBR-3316533523-01</v>
      </c>
      <c r="B388" s="24" t="str">
        <f>'DE ( Tarik barang retur )'!F365</f>
        <v>Apotek Galang</v>
      </c>
      <c r="C388" s="35">
        <f>'DE ( Tarik barang retur )'!G365</f>
        <v>85974396963</v>
      </c>
      <c r="D388" s="24" t="str">
        <f>'DE ( Tarik barang retur )'!H365</f>
        <v>Terminal Pasar Kresek Kampung Kresek RT 01 RW 01 Desa Kresek Kecamatan Kresek Kabupaten Tangerang 15620</v>
      </c>
      <c r="E388" s="24" t="str">
        <f>'DE ( Tarik barang retur )'!D365</f>
        <v>260605044908000LQgP2QDd</v>
      </c>
      <c r="F388" s="24" t="str">
        <f>'DE ( Tarik barang retur )'!R365</f>
        <v>TMP-INV-2026/06/06/ 2824918 MEFENAMIC ACID Hexpharm KAPLET 500 MG Tarik Barang</v>
      </c>
      <c r="G388" s="36">
        <f>'DE ( Tarik barang retur )'!AF365</f>
        <v>46183</v>
      </c>
      <c r="H388" s="22">
        <v>46184.0</v>
      </c>
      <c r="I388" s="22">
        <v>46185.0</v>
      </c>
      <c r="J388" s="21" t="s">
        <v>5294</v>
      </c>
      <c r="K388" s="24"/>
      <c r="L388" s="24">
        <f t="shared" si="2"/>
        <v>1</v>
      </c>
      <c r="M388" s="24"/>
      <c r="N388" s="24"/>
      <c r="O388" s="24"/>
      <c r="P388" s="25"/>
      <c r="Q388" s="25"/>
      <c r="R388" s="25"/>
      <c r="S388" s="25"/>
      <c r="T388" s="25"/>
      <c r="U388" s="25"/>
      <c r="V388" s="25"/>
      <c r="W388" s="25"/>
      <c r="X388" s="25"/>
      <c r="Y388" s="25"/>
      <c r="Z388" s="25"/>
      <c r="AA388" s="25"/>
      <c r="AB388" s="25"/>
      <c r="AC388" s="25"/>
    </row>
    <row r="389">
      <c r="A389" s="24" t="str">
        <f>'DE ( Tarik barang retur )'!AC366</f>
        <v>AWBR-3316459242-01</v>
      </c>
      <c r="B389" s="24" t="str">
        <f>'DE ( Tarik barang retur )'!F366</f>
        <v>Apotek Akbar Farma</v>
      </c>
      <c r="C389" s="35">
        <f>'DE ( Tarik barang retur )'!G366</f>
        <v>81382024250</v>
      </c>
      <c r="D389" s="24" t="str">
        <f>'DE ( Tarik barang retur )'!H366</f>
        <v>Komplek Ruko Taman Adiyasa Blok G No. 11 A Desa Cikasungka Kecamatan Solear Kabupaten Tangerang 15730</v>
      </c>
      <c r="E389" s="24" t="str">
        <f>'DE ( Tarik barang retur )'!D366</f>
        <v>26060703555501p5gwOc91Ym</v>
      </c>
      <c r="F389" s="24" t="str">
        <f>'DE ( Tarik barang retur )'!R366</f>
        <v>TMP-INV-2026/06/07/ 2827644 SARI KURMA TJ Ultra Sakti Tarik Barang</v>
      </c>
      <c r="G389" s="36">
        <f>'DE ( Tarik barang retur )'!AF366</f>
        <v>46183</v>
      </c>
      <c r="H389" s="22">
        <v>46184.0</v>
      </c>
      <c r="I389" s="22">
        <v>46186.0</v>
      </c>
      <c r="J389" s="21" t="s">
        <v>5294</v>
      </c>
      <c r="K389" s="24"/>
      <c r="L389" s="24">
        <f t="shared" si="2"/>
        <v>1</v>
      </c>
      <c r="M389" s="24"/>
      <c r="N389" s="24"/>
      <c r="O389" s="24"/>
      <c r="P389" s="25"/>
      <c r="Q389" s="25"/>
      <c r="R389" s="25"/>
      <c r="S389" s="25"/>
      <c r="T389" s="25"/>
      <c r="U389" s="25"/>
      <c r="V389" s="25"/>
      <c r="W389" s="25"/>
      <c r="X389" s="25"/>
      <c r="Y389" s="25"/>
      <c r="Z389" s="25"/>
      <c r="AA389" s="25"/>
      <c r="AB389" s="25"/>
      <c r="AC389" s="25"/>
    </row>
    <row r="390">
      <c r="A390" s="24" t="str">
        <f>'DE ( Tarik barang retur )'!AC367</f>
        <v>AWBR-3316403531-01</v>
      </c>
      <c r="B390" s="24" t="str">
        <f>'DE ( Tarik barang retur )'!F367</f>
        <v>Apotek Perumnas</v>
      </c>
      <c r="C390" s="35">
        <f>'DE ( Tarik barang retur )'!G367</f>
        <v>811807550</v>
      </c>
      <c r="D390" s="24" t="str">
        <f>'DE ( Tarik barang retur )'!H367</f>
        <v>Jalan Karet Raya No. 07 Perumnas 1 Kelurahan Cibodasari Kecamatan Cibodas Tangerang 15138</v>
      </c>
      <c r="E390" s="24" t="str">
        <f>'DE ( Tarik barang retur )'!D367</f>
        <v>26053007534389r973EOp6n</v>
      </c>
      <c r="F390" s="24" t="str">
        <f>'DE ( Tarik barang retur )'!R367</f>
        <v>TMP-INV-2026/05/31/ 2801721 Invoice: TMP-INV-2026/05/31/ 2801721
Full Return Tarik Barang</v>
      </c>
      <c r="G390" s="36">
        <f>'DE ( Tarik barang retur )'!AF367</f>
        <v>46183</v>
      </c>
      <c r="H390" s="22">
        <v>46184.0</v>
      </c>
      <c r="I390" s="22">
        <v>46185.0</v>
      </c>
      <c r="J390" s="21" t="s">
        <v>5294</v>
      </c>
      <c r="K390" s="24"/>
      <c r="L390" s="24">
        <f t="shared" si="2"/>
        <v>1</v>
      </c>
      <c r="M390" s="24"/>
      <c r="N390" s="24"/>
      <c r="O390" s="24"/>
      <c r="P390" s="25"/>
      <c r="Q390" s="25"/>
      <c r="R390" s="25"/>
      <c r="S390" s="25"/>
      <c r="T390" s="25"/>
      <c r="U390" s="25"/>
      <c r="V390" s="25"/>
      <c r="W390" s="25"/>
      <c r="X390" s="25"/>
      <c r="Y390" s="25"/>
      <c r="Z390" s="25"/>
      <c r="AA390" s="25"/>
      <c r="AB390" s="25"/>
      <c r="AC390" s="25"/>
    </row>
    <row r="391">
      <c r="A391" s="24" t="str">
        <f>'DE ( Tarik barang retur )'!AC368</f>
        <v>AWBR-3316403720-01</v>
      </c>
      <c r="B391" s="24" t="str">
        <f>'DE ( Tarik barang retur )'!F368</f>
        <v>Apotek Perumnas</v>
      </c>
      <c r="C391" s="35">
        <f>'DE ( Tarik barang retur )'!G368</f>
        <v>811807550</v>
      </c>
      <c r="D391" s="24" t="str">
        <f>'DE ( Tarik barang retur )'!H368</f>
        <v>Jalan Karet Raya No. 07 Perumnas 1 Kelurahan Cibodasari Kecamatan Cibodas Tangerang 15138</v>
      </c>
      <c r="E391" s="24" t="str">
        <f>'DE ( Tarik barang retur )'!D368</f>
        <v>260530075343899rC9lYpImW</v>
      </c>
      <c r="F391" s="24" t="str">
        <f>'DE ( Tarik barang retur )'!R368</f>
        <v>TMP-INV-2026/05/31/ 2801726 Invoice: TMP-INV-2026/05/31/ 2801726
Full Return Tarik Barang</v>
      </c>
      <c r="G391" s="36">
        <f>'DE ( Tarik barang retur )'!AF368</f>
        <v>46183</v>
      </c>
      <c r="H391" s="22">
        <v>46184.0</v>
      </c>
      <c r="I391" s="22">
        <v>46186.0</v>
      </c>
      <c r="J391" s="21" t="s">
        <v>5294</v>
      </c>
      <c r="K391" s="24"/>
      <c r="L391" s="24">
        <f t="shared" si="2"/>
        <v>1</v>
      </c>
      <c r="M391" s="24"/>
      <c r="N391" s="24"/>
      <c r="O391" s="24"/>
      <c r="P391" s="25"/>
      <c r="Q391" s="25"/>
      <c r="R391" s="25"/>
      <c r="S391" s="25"/>
      <c r="T391" s="25"/>
      <c r="U391" s="25"/>
      <c r="V391" s="25"/>
      <c r="W391" s="25"/>
      <c r="X391" s="25"/>
      <c r="Y391" s="25"/>
      <c r="Z391" s="25"/>
      <c r="AA391" s="25"/>
      <c r="AB391" s="25"/>
      <c r="AC391" s="25"/>
    </row>
    <row r="392">
      <c r="A392" s="24" t="str">
        <f>'DE ( Tarik barang retur )'!AC369</f>
        <v>AWBR-3316460916-01</v>
      </c>
      <c r="B392" s="24" t="str">
        <f>'DE ( Tarik barang retur )'!F369</f>
        <v>Apotek Nadara</v>
      </c>
      <c r="C392" s="35">
        <f>'DE ( Tarik barang retur )'!G369</f>
        <v>8121353375</v>
      </c>
      <c r="D392" s="24" t="str">
        <f>'DE ( Tarik barang retur )'!H369</f>
        <v>Grand Batavia Ruko Avenue Blok BA No. 3 RT 007 RW 017 Desa/Kelurahan Sindangsari Kecamatan Pasar Kemis Tangerang 15560</v>
      </c>
      <c r="E392" s="24" t="str">
        <f>'DE ( Tarik barang retur )'!D369</f>
        <v>TMP</v>
      </c>
      <c r="F392" s="24" t="str">
        <f>'DE ( Tarik barang retur )'!R369</f>
        <v>TMP-INV-2026/06/07/ 2827622;
TMP-INV-2026/05/21/ 2769207 MINYAK KAYU PUTIH CAP LANG Eagle Indo Tarik Barang</v>
      </c>
      <c r="G392" s="36">
        <f>'DE ( Tarik barang retur )'!AF369</f>
        <v>46183</v>
      </c>
      <c r="H392" s="22">
        <v>46184.0</v>
      </c>
      <c r="I392" s="22">
        <v>46186.0</v>
      </c>
      <c r="J392" s="21" t="s">
        <v>5294</v>
      </c>
      <c r="K392" s="24"/>
      <c r="L392" s="24">
        <f t="shared" si="2"/>
        <v>1</v>
      </c>
      <c r="M392" s="24"/>
      <c r="N392" s="24"/>
      <c r="O392" s="24"/>
      <c r="P392" s="25"/>
      <c r="Q392" s="25"/>
      <c r="R392" s="25"/>
      <c r="S392" s="25"/>
      <c r="T392" s="25"/>
      <c r="U392" s="25"/>
      <c r="V392" s="25"/>
      <c r="W392" s="25"/>
      <c r="X392" s="25"/>
      <c r="Y392" s="25"/>
      <c r="Z392" s="25"/>
      <c r="AA392" s="25"/>
      <c r="AB392" s="25"/>
      <c r="AC392" s="25"/>
    </row>
    <row r="393">
      <c r="A393" s="24" t="str">
        <f>'DE ( Tarik barang retur )'!AC370</f>
        <v>AWBR-3317069906-01</v>
      </c>
      <c r="B393" s="24" t="str">
        <f>'DE ( Tarik barang retur )'!F370</f>
        <v>Apotek Aliya</v>
      </c>
      <c r="C393" s="35">
        <f>'DE ( Tarik barang retur )'!G370</f>
        <v>81388854434</v>
      </c>
      <c r="D393" s="24" t="str">
        <f>'DE ( Tarik barang retur )'!H370</f>
        <v>Jalan Raya Kranggan No.12 RT 001 RW 004 Desa Puspasari Kecamatan Citeureup Kabupaten Bogor 16810</v>
      </c>
      <c r="E393" s="24" t="str">
        <f>'DE ( Tarik barang retur )'!D370</f>
        <v>26060223110794rwxVlZCvR</v>
      </c>
      <c r="F393" s="24" t="str">
        <f>'DE ( Tarik barang retur )'!R370</f>
        <v>TMP-INV-2026/06/03/ 2812983 TRINORDIOL-28 Sunthi TABLET Tarik Barang</v>
      </c>
      <c r="G393" s="36">
        <f>'DE ( Tarik barang retur )'!AF370</f>
        <v>46183</v>
      </c>
      <c r="H393" s="22">
        <v>46183.0</v>
      </c>
      <c r="I393" s="22">
        <v>46184.0</v>
      </c>
      <c r="J393" s="21" t="s">
        <v>5294</v>
      </c>
      <c r="K393" s="24"/>
      <c r="L393" s="24">
        <f t="shared" si="2"/>
        <v>1</v>
      </c>
      <c r="M393" s="24"/>
      <c r="N393" s="24"/>
      <c r="O393" s="24"/>
      <c r="P393" s="25"/>
      <c r="Q393" s="25"/>
      <c r="R393" s="25"/>
      <c r="S393" s="25"/>
      <c r="T393" s="25"/>
      <c r="U393" s="25"/>
      <c r="V393" s="25"/>
      <c r="W393" s="25"/>
      <c r="X393" s="25"/>
      <c r="Y393" s="25"/>
      <c r="Z393" s="25"/>
      <c r="AA393" s="25"/>
      <c r="AB393" s="25"/>
      <c r="AC393" s="25"/>
    </row>
    <row r="394">
      <c r="A394" s="24" t="str">
        <f>'DE ( Tarik barang retur )'!AC371</f>
        <v>AWBR-3316482450-01</v>
      </c>
      <c r="B394" s="24" t="str">
        <f>'DE ( Tarik barang retur )'!F371</f>
        <v>Apotek Bahari Raya</v>
      </c>
      <c r="C394" s="35">
        <f>'DE ( Tarik barang retur )'!G371</f>
        <v>81212343639</v>
      </c>
      <c r="D394" s="24" t="str">
        <f>'DE ( Tarik barang retur )'!H371</f>
        <v>Jalan Terogong III RW 10 No 75 A, Desa/Kelurahan Cilandak Barat, Kec. Cilandak, Kota Adm. Jakarta Selatan, 12430</v>
      </c>
      <c r="E394" s="24" t="str">
        <f>'DE ( Tarik barang retur )'!D371</f>
        <v>25092702404518hbn66ZzDyN</v>
      </c>
      <c r="F394" s="24" t="str">
        <f>'DE ( Tarik barang retur )'!R371</f>
        <v>TMP-INV-2025/09/27/ 1970686 OFLOXACIN Hexpharm TETES TELINGA 3 MG Tarik Barang</v>
      </c>
      <c r="G394" s="36">
        <f>'DE ( Tarik barang retur )'!AF371</f>
        <v>46183</v>
      </c>
      <c r="H394" s="22">
        <v>46184.0</v>
      </c>
      <c r="I394" s="22">
        <v>46186.0</v>
      </c>
      <c r="J394" s="21" t="s">
        <v>5294</v>
      </c>
      <c r="K394" s="24"/>
      <c r="L394" s="24">
        <f t="shared" si="2"/>
        <v>1</v>
      </c>
      <c r="M394" s="24"/>
      <c r="N394" s="24"/>
      <c r="O394" s="24"/>
      <c r="P394" s="25"/>
      <c r="Q394" s="25"/>
      <c r="R394" s="25"/>
      <c r="S394" s="25"/>
      <c r="T394" s="25"/>
      <c r="U394" s="25"/>
      <c r="V394" s="25"/>
      <c r="W394" s="25"/>
      <c r="X394" s="25"/>
      <c r="Y394" s="25"/>
      <c r="Z394" s="25"/>
      <c r="AA394" s="25"/>
      <c r="AB394" s="25"/>
      <c r="AC394" s="25"/>
    </row>
    <row r="395">
      <c r="A395" s="24" t="str">
        <f>'DE ( Tarik barang retur )'!AC372</f>
        <v>AWBR-3316644675-01</v>
      </c>
      <c r="B395" s="24" t="str">
        <f>'DE ( Tarik barang retur )'!F372</f>
        <v>Apotek Sumber Sehat 2923</v>
      </c>
      <c r="C395" s="35">
        <f>'DE ( Tarik barang retur )'!G372</f>
        <v>82250808899</v>
      </c>
      <c r="D395" s="24" t="str">
        <f>'DE ( Tarik barang retur )'!H372</f>
        <v>Jl.Rajawali Barat No.97 RT005/RW009 Kel. Meleber Kec.Andir , Bandung Jawa Barat 40184</v>
      </c>
      <c r="E395" s="24" t="str">
        <f>'DE ( Tarik barang retur )'!D372</f>
        <v>26060601132885KA9lhjXoU</v>
      </c>
      <c r="F395" s="24" t="str">
        <f>'DE ( Tarik barang retur )'!R372</f>
        <v>TMP-INV-2026/06/06/ 2823268 NOLIPO 500 Sanbe KAPSUL Tarik Barang</v>
      </c>
      <c r="G395" s="36">
        <f>'DE ( Tarik barang retur )'!AF372</f>
        <v>46183</v>
      </c>
      <c r="H395" s="22">
        <v>46183.0</v>
      </c>
      <c r="I395" s="22">
        <v>46185.0</v>
      </c>
      <c r="J395" s="21" t="s">
        <v>5294</v>
      </c>
      <c r="K395" s="24"/>
      <c r="L395" s="24">
        <f t="shared" si="2"/>
        <v>1</v>
      </c>
      <c r="M395" s="24"/>
      <c r="N395" s="24"/>
      <c r="O395" s="24"/>
      <c r="P395" s="25"/>
      <c r="Q395" s="25"/>
      <c r="R395" s="25"/>
      <c r="S395" s="25"/>
      <c r="T395" s="25"/>
      <c r="U395" s="25"/>
      <c r="V395" s="25"/>
      <c r="W395" s="25"/>
      <c r="X395" s="25"/>
      <c r="Y395" s="25"/>
      <c r="Z395" s="25"/>
      <c r="AA395" s="25"/>
      <c r="AB395" s="25"/>
      <c r="AC395" s="25"/>
    </row>
    <row r="396">
      <c r="A396" s="24" t="str">
        <f>'DE ( Tarik barang retur )'!AC373</f>
        <v>AWBR-3316409764-01</v>
      </c>
      <c r="B396" s="24" t="str">
        <f>'DE ( Tarik barang retur )'!F373</f>
        <v>Apotek Jaya Medika 5218</v>
      </c>
      <c r="C396" s="35">
        <f>'DE ( Tarik barang retur )'!G373</f>
        <v>83179789177</v>
      </c>
      <c r="D396" s="24" t="str">
        <f>'DE ( Tarik barang retur )'!H373</f>
        <v>Jl. Cipaku RT 001 RW 013 Desa Cipaku Kecamatan Paseh Majalaya Kabupaten Bandung 40383</v>
      </c>
      <c r="E396" s="24" t="str">
        <f>'DE ( Tarik barang retur )'!D373</f>
        <v>26053006425284JG8MCiMtQ</v>
      </c>
      <c r="F396" s="24" t="str">
        <f>'DE ( Tarik barang retur )'!R373</f>
        <v>TMP-INV-2026/05/31/ 2801069 MICROLAXHERB Prima Medika KAPSUL Tarik Barang</v>
      </c>
      <c r="G396" s="36">
        <f>'DE ( Tarik barang retur )'!AF373</f>
        <v>46183</v>
      </c>
      <c r="H396" s="22">
        <v>46183.0</v>
      </c>
      <c r="I396" s="22">
        <v>46185.0</v>
      </c>
      <c r="J396" s="21" t="s">
        <v>5294</v>
      </c>
      <c r="K396" s="24"/>
      <c r="L396" s="24">
        <f t="shared" si="2"/>
        <v>1</v>
      </c>
      <c r="M396" s="24"/>
      <c r="N396" s="24"/>
      <c r="O396" s="24"/>
      <c r="P396" s="25"/>
      <c r="Q396" s="25"/>
      <c r="R396" s="25"/>
      <c r="S396" s="25"/>
      <c r="T396" s="25"/>
      <c r="U396" s="25"/>
      <c r="V396" s="25"/>
      <c r="W396" s="25"/>
      <c r="X396" s="25"/>
      <c r="Y396" s="25"/>
      <c r="Z396" s="25"/>
      <c r="AA396" s="25"/>
      <c r="AB396" s="25"/>
      <c r="AC396" s="25"/>
    </row>
    <row r="397">
      <c r="A397" s="24" t="str">
        <f>'DE ( Tarik barang retur )'!AC374</f>
        <v>AWBR-3316411200-01</v>
      </c>
      <c r="B397" s="24" t="str">
        <f>'DE ( Tarik barang retur )'!F374</f>
        <v>Apotek Lathiif Farma</v>
      </c>
      <c r="C397" s="35">
        <f>'DE ( Tarik barang retur )'!G374</f>
        <v>6.28226E+17</v>
      </c>
      <c r="D397" s="24" t="str">
        <f>'DE ( Tarik barang retur )'!H374</f>
        <v>Jl Cipamokolan No. 28 RT 01 RW 08 Desa Cipamokolan Kec. Rancasari Kota Bandung 40292</v>
      </c>
      <c r="E397" s="24" t="str">
        <f>'DE ( Tarik barang retur )'!D374</f>
        <v>26053001434005zJyNNpayG</v>
      </c>
      <c r="F397" s="24" t="str">
        <f>'DE ( Tarik barang retur )'!R374</f>
        <v>TMP-INV-2026/05/30/ 2798158 SUTRA Condom (MERAH) Tarik Barang</v>
      </c>
      <c r="G397" s="36">
        <f>'DE ( Tarik barang retur )'!AF374</f>
        <v>46183</v>
      </c>
      <c r="H397" s="22">
        <v>46183.0</v>
      </c>
      <c r="I397" s="22">
        <v>46184.0</v>
      </c>
      <c r="J397" s="21" t="s">
        <v>5294</v>
      </c>
      <c r="K397" s="24"/>
      <c r="L397" s="24">
        <f t="shared" si="2"/>
        <v>1</v>
      </c>
      <c r="M397" s="24"/>
      <c r="N397" s="24"/>
      <c r="O397" s="24"/>
      <c r="P397" s="25"/>
      <c r="Q397" s="25"/>
      <c r="R397" s="25"/>
      <c r="S397" s="25"/>
      <c r="T397" s="25"/>
      <c r="U397" s="25"/>
      <c r="V397" s="25"/>
      <c r="W397" s="25"/>
      <c r="X397" s="25"/>
      <c r="Y397" s="25"/>
      <c r="Z397" s="25"/>
      <c r="AA397" s="25"/>
      <c r="AB397" s="25"/>
      <c r="AC397" s="25"/>
    </row>
    <row r="398">
      <c r="A398" s="24" t="str">
        <f>'DE ( Tarik barang retur )'!AC375</f>
        <v>AWBR-3315861366-01</v>
      </c>
      <c r="B398" s="24" t="str">
        <f>'DE ( Tarik barang retur )'!F375</f>
        <v>Apotek Doa Sehat 7617</v>
      </c>
      <c r="C398" s="35">
        <f>'DE ( Tarik barang retur )'!G375</f>
        <v>81312668010</v>
      </c>
      <c r="D398" s="24" t="str">
        <f>'DE ( Tarik barang retur )'!H375</f>
        <v>Jl. Miramare Kp. Wanikari RT 01 RW 12 , Desa Sirnabakti, Kec. Pameungpeuk, Kab. Garut, 44175</v>
      </c>
      <c r="E398" s="24" t="str">
        <f>'DE ( Tarik barang retur )'!D375</f>
        <v>26060222204627QnUqfuywGc</v>
      </c>
      <c r="F398" s="24" t="str">
        <f>'DE ( Tarik barang retur )'!R375</f>
        <v>TMP-INV-2026/06/03/ 2810336 CATAFLAM D Novartis TABLET DISPERSIBLE Tarik Barang</v>
      </c>
      <c r="G398" s="36">
        <f>'DE ( Tarik barang retur )'!AF375</f>
        <v>46183</v>
      </c>
      <c r="H398" s="22">
        <v>46185.0</v>
      </c>
      <c r="I398" s="22">
        <v>46186.0</v>
      </c>
      <c r="J398" s="21" t="s">
        <v>5294</v>
      </c>
      <c r="K398" s="24"/>
      <c r="L398" s="24">
        <f t="shared" si="2"/>
        <v>1</v>
      </c>
      <c r="M398" s="24"/>
      <c r="N398" s="24"/>
      <c r="O398" s="24"/>
      <c r="P398" s="25"/>
      <c r="Q398" s="25"/>
      <c r="R398" s="25"/>
      <c r="S398" s="25"/>
      <c r="T398" s="25"/>
      <c r="U398" s="25"/>
      <c r="V398" s="25"/>
      <c r="W398" s="25"/>
      <c r="X398" s="25"/>
      <c r="Y398" s="25"/>
      <c r="Z398" s="25"/>
      <c r="AA398" s="25"/>
      <c r="AB398" s="25"/>
      <c r="AC398" s="25"/>
    </row>
    <row r="399">
      <c r="A399" s="24" t="str">
        <f>'DE ( Tarik barang retur )'!AC376</f>
        <v>AWBR-3315915265-01</v>
      </c>
      <c r="B399" s="24" t="str">
        <f>'DE ( Tarik barang retur )'!F376</f>
        <v>Apotek Romeesa</v>
      </c>
      <c r="C399" s="35">
        <f>'DE ( Tarik barang retur )'!G376</f>
        <v>82117231065</v>
      </c>
      <c r="D399" s="24" t="str">
        <f>'DE ( Tarik barang retur )'!H376</f>
        <v>Jl. Padasuka No.131 RT. 03 RW.04. Kel. Pasirlayung, Kec. Cibeunying Kidul, Kota Bandung, 40192</v>
      </c>
      <c r="E399" s="24" t="str">
        <f>'DE ( Tarik barang retur )'!D376</f>
        <v>26060405164224YpYYjqAL</v>
      </c>
      <c r="F399" s="24" t="str">
        <f>'DE ( Tarik barang retur )'!R376</f>
        <v>TMP-INV-2026/06/05/ 2819324 NUTRAFOR CHOL Novell KAPSUL Tarik Barang</v>
      </c>
      <c r="G399" s="36">
        <f>'DE ( Tarik barang retur )'!AF376</f>
        <v>46183</v>
      </c>
      <c r="H399" s="22">
        <v>46183.0</v>
      </c>
      <c r="I399" s="22">
        <v>46185.0</v>
      </c>
      <c r="J399" s="21" t="s">
        <v>5294</v>
      </c>
      <c r="K399" s="24"/>
      <c r="L399" s="24">
        <f t="shared" si="2"/>
        <v>1</v>
      </c>
      <c r="M399" s="24"/>
      <c r="N399" s="24"/>
      <c r="O399" s="24"/>
      <c r="P399" s="25"/>
      <c r="Q399" s="25"/>
      <c r="R399" s="25"/>
      <c r="S399" s="25"/>
      <c r="T399" s="25"/>
      <c r="U399" s="25"/>
      <c r="V399" s="25"/>
      <c r="W399" s="25"/>
      <c r="X399" s="25"/>
      <c r="Y399" s="25"/>
      <c r="Z399" s="25"/>
      <c r="AA399" s="25"/>
      <c r="AB399" s="25"/>
      <c r="AC399" s="25"/>
    </row>
    <row r="400">
      <c r="A400" s="24" t="str">
        <f>'DE ( Tarik barang retur )'!AC377</f>
        <v>AWBR-3317064210-01</v>
      </c>
      <c r="B400" s="24" t="str">
        <f>'DE ( Tarik barang retur )'!F377</f>
        <v>Apotek Sudimara</v>
      </c>
      <c r="C400" s="35">
        <f>'DE ( Tarik barang retur )'!G377</f>
        <v>6.28239E+17</v>
      </c>
      <c r="D400" s="24" t="str">
        <f>'DE ( Tarik barang retur )'!H377</f>
        <v>Jl. Jombang Raya NO 30B RT 003 RW 003, Kel. Jombang, Kec. Ciputat, Kota Tangerang Selatan 15414</v>
      </c>
      <c r="E400" s="24" t="str">
        <f>'DE ( Tarik barang retur )'!D377</f>
        <v>260608002851082TtEpNxmM</v>
      </c>
      <c r="F400" s="24" t="str">
        <f>'DE ( Tarik barang retur )'!R377</f>
        <v>TMP-INV-2026/06/08/ 2831167 PROVELYN Kalbe KAPSUL 150 MG Tarik Barang</v>
      </c>
      <c r="G400" s="36">
        <f>'DE ( Tarik barang retur )'!AF377</f>
        <v>46183</v>
      </c>
      <c r="H400" s="22">
        <v>46184.0</v>
      </c>
      <c r="I400" s="22">
        <v>46185.0</v>
      </c>
      <c r="J400" s="21" t="s">
        <v>5294</v>
      </c>
      <c r="K400" s="24"/>
      <c r="L400" s="24">
        <f t="shared" si="2"/>
        <v>1</v>
      </c>
      <c r="M400" s="24"/>
      <c r="N400" s="24"/>
      <c r="O400" s="24"/>
      <c r="P400" s="25"/>
      <c r="Q400" s="25"/>
      <c r="R400" s="25"/>
      <c r="S400" s="25"/>
      <c r="T400" s="25"/>
      <c r="U400" s="25"/>
      <c r="V400" s="25"/>
      <c r="W400" s="25"/>
      <c r="X400" s="25"/>
      <c r="Y400" s="25"/>
      <c r="Z400" s="25"/>
      <c r="AA400" s="25"/>
      <c r="AB400" s="25"/>
      <c r="AC400" s="25"/>
    </row>
    <row r="401">
      <c r="A401" s="24" t="str">
        <f>'DE ( Tarik barang retur )'!AC378</f>
        <v>AWBR-3315928983-01</v>
      </c>
      <c r="B401" s="24" t="str">
        <f>'DE ( Tarik barang retur )'!F378</f>
        <v>Apotek Cipayung 1</v>
      </c>
      <c r="C401" s="35">
        <f>'DE ( Tarik barang retur )'!G378</f>
        <v>81264043044</v>
      </c>
      <c r="D401" s="24" t="str">
        <f>'DE ( Tarik barang retur )'!H378</f>
        <v>Jl. Raya Jembatan Serong Blok Sawo No. 115 RT. 002 RW. 003 Kel. Cipayung Kec. Cipayung Kota Depok</v>
      </c>
      <c r="E401" s="24" t="str">
        <f>'DE ( Tarik barang retur )'!D378</f>
        <v>26060501331296iRKVLMIBJ</v>
      </c>
      <c r="F401" s="24" t="str">
        <f>'DE ( Tarik barang retur )'!R378</f>
        <v>TMP-INV-2026/06/05/ 2822270 Invoice: TMP-INV-2026/06/05/ 2822270
Full Return Tarik Barang</v>
      </c>
      <c r="G401" s="36">
        <f>'DE ( Tarik barang retur )'!AF378</f>
        <v>46183</v>
      </c>
      <c r="H401" s="22">
        <v>46184.0</v>
      </c>
      <c r="I401" s="22">
        <v>46185.0</v>
      </c>
      <c r="J401" s="21" t="s">
        <v>5294</v>
      </c>
      <c r="K401" s="24"/>
      <c r="L401" s="24">
        <f t="shared" si="2"/>
        <v>1</v>
      </c>
      <c r="M401" s="24"/>
      <c r="N401" s="24"/>
      <c r="O401" s="24"/>
      <c r="P401" s="25"/>
      <c r="Q401" s="25"/>
      <c r="R401" s="25"/>
      <c r="S401" s="25"/>
      <c r="T401" s="25"/>
      <c r="U401" s="25"/>
      <c r="V401" s="25"/>
      <c r="W401" s="25"/>
      <c r="X401" s="25"/>
      <c r="Y401" s="25"/>
      <c r="Z401" s="25"/>
      <c r="AA401" s="25"/>
      <c r="AB401" s="25"/>
      <c r="AC401" s="25"/>
    </row>
    <row r="402">
      <c r="A402" s="24" t="str">
        <f>'DE ( Tarik barang retur )'!AC379</f>
        <v>AWBR-3317076961-01</v>
      </c>
      <c r="B402" s="24" t="str">
        <f>'DE ( Tarik barang retur )'!F379</f>
        <v>Apotek An Nur 8412</v>
      </c>
      <c r="C402" s="35">
        <f>'DE ( Tarik barang retur )'!G379</f>
        <v>6.28131E+17</v>
      </c>
      <c r="D402" s="24" t="str">
        <f>'DE ( Tarik barang retur )'!H379</f>
        <v>Jalan Raya pengasinan RT. 002 RW. 006, Kelurahan Pengasinan, Kecamatan Sawangan, Kota Depok, Jawa Barat 16518</v>
      </c>
      <c r="E402" s="24" t="str">
        <f>'DE ( Tarik barang retur )'!D379</f>
        <v>26060714010668eS2SN1jrAB</v>
      </c>
      <c r="F402" s="24" t="str">
        <f>'DE ( Tarik barang retur )'!R379</f>
        <v>TMP-INV-2026/06/08/ 2831514 BISOLVON Aventis SOLUTION Tarik Barang</v>
      </c>
      <c r="G402" s="36">
        <f>'DE ( Tarik barang retur )'!AF379</f>
        <v>46183</v>
      </c>
      <c r="H402" s="22">
        <v>46183.0</v>
      </c>
      <c r="I402" s="22">
        <v>46184.0</v>
      </c>
      <c r="J402" s="21" t="s">
        <v>5294</v>
      </c>
      <c r="K402" s="24"/>
      <c r="L402" s="24">
        <f t="shared" si="2"/>
        <v>1</v>
      </c>
      <c r="M402" s="24"/>
      <c r="N402" s="24"/>
      <c r="O402" s="24"/>
      <c r="P402" s="25"/>
      <c r="Q402" s="25"/>
      <c r="R402" s="25"/>
      <c r="S402" s="25"/>
      <c r="T402" s="25"/>
      <c r="U402" s="25"/>
      <c r="V402" s="25"/>
      <c r="W402" s="25"/>
      <c r="X402" s="25"/>
      <c r="Y402" s="25"/>
      <c r="Z402" s="25"/>
      <c r="AA402" s="25"/>
      <c r="AB402" s="25"/>
      <c r="AC402" s="25"/>
    </row>
    <row r="403">
      <c r="A403" s="24" t="str">
        <f>'DE ( Tarik barang retur )'!AC380</f>
        <v>AWBR-3316401266-01</v>
      </c>
      <c r="B403" s="24" t="str">
        <f>'DE ( Tarik barang retur )'!F380</f>
        <v>Apotek Zee33</v>
      </c>
      <c r="C403" s="35">
        <f>'DE ( Tarik barang retur )'!G380</f>
        <v>81398912227</v>
      </c>
      <c r="D403" s="24" t="str">
        <f>'DE ( Tarik barang retur )'!H380</f>
        <v>Jl. Damai PBSI No. 3D RT.011 RW 01, Desa/Kelurahan Cipayung, Kec. Cipayung, Kota Adm. Jakarta Timur,13840</v>
      </c>
      <c r="E403" s="24" t="str">
        <f>'DE ( Tarik barang retur )'!D380</f>
        <v>26052400533712SG2sHWSej</v>
      </c>
      <c r="F403" s="24" t="str">
        <f>'DE ( Tarik barang retur )'!R380</f>
        <v>TMP-INV-2026/05/24/ 2779724 Invoice: TMP-INV-2026/05/24/ 2779724
Full Return Tarik Barang</v>
      </c>
      <c r="G403" s="36">
        <f>'DE ( Tarik barang retur )'!AF380</f>
        <v>46183</v>
      </c>
      <c r="H403" s="22">
        <v>46184.0</v>
      </c>
      <c r="I403" s="22">
        <v>46184.0</v>
      </c>
      <c r="J403" s="21" t="s">
        <v>5294</v>
      </c>
      <c r="K403" s="24"/>
      <c r="L403" s="24">
        <f t="shared" si="2"/>
        <v>1</v>
      </c>
      <c r="M403" s="24"/>
      <c r="N403" s="24"/>
      <c r="O403" s="24"/>
      <c r="P403" s="25"/>
      <c r="Q403" s="25"/>
      <c r="R403" s="25"/>
      <c r="S403" s="25"/>
      <c r="T403" s="25"/>
      <c r="U403" s="25"/>
      <c r="V403" s="25"/>
      <c r="W403" s="25"/>
      <c r="X403" s="25"/>
      <c r="Y403" s="25"/>
      <c r="Z403" s="25"/>
      <c r="AA403" s="25"/>
      <c r="AB403" s="25"/>
      <c r="AC403" s="25"/>
    </row>
    <row r="404">
      <c r="A404" s="24" t="str">
        <f>'DE ( Tarik barang retur )'!AC381</f>
        <v>AWBR-3315839090-01</v>
      </c>
      <c r="B404" s="24" t="str">
        <f>'DE ( Tarik barang retur )'!F381</f>
        <v>Apotek Zee33</v>
      </c>
      <c r="C404" s="35">
        <f>'DE ( Tarik barang retur )'!G381</f>
        <v>81398912227</v>
      </c>
      <c r="D404" s="24" t="str">
        <f>'DE ( Tarik barang retur )'!H381</f>
        <v>Jl. Damai PBSI No. 3D RT.011 RW 01, Desa/Kelurahan Cipayung, Kec. Cipayung, Kota Adm. Jakarta Timur,13840</v>
      </c>
      <c r="E404" s="24" t="str">
        <f>'DE ( Tarik barang retur )'!D381</f>
        <v>26060503402081rMXLLdVfjA</v>
      </c>
      <c r="F404" s="24" t="str">
        <f>'DE ( Tarik barang retur )'!R381</f>
        <v>TMP-INV-2026/06/05/ 2822055 Invoice: TMP-INV-2026/06/05/ 2822055
Full Return Tarik Barang</v>
      </c>
      <c r="G404" s="36">
        <f>'DE ( Tarik barang retur )'!AF381</f>
        <v>46183</v>
      </c>
      <c r="H404" s="22">
        <v>46184.0</v>
      </c>
      <c r="I404" s="22">
        <v>46184.0</v>
      </c>
      <c r="J404" s="21" t="s">
        <v>5294</v>
      </c>
      <c r="K404" s="24"/>
      <c r="L404" s="24">
        <f t="shared" si="2"/>
        <v>1</v>
      </c>
      <c r="M404" s="24"/>
      <c r="N404" s="24"/>
      <c r="O404" s="24"/>
      <c r="P404" s="25"/>
      <c r="Q404" s="25"/>
      <c r="R404" s="25"/>
      <c r="S404" s="25"/>
      <c r="T404" s="25"/>
      <c r="U404" s="25"/>
      <c r="V404" s="25"/>
      <c r="W404" s="25"/>
      <c r="X404" s="25"/>
      <c r="Y404" s="25"/>
      <c r="Z404" s="25"/>
      <c r="AA404" s="25"/>
      <c r="AB404" s="25"/>
      <c r="AC404" s="25"/>
    </row>
    <row r="405">
      <c r="A405" s="24" t="str">
        <f>'DE ( Tarik barang retur )'!AC382</f>
        <v>AWBR-3316405857-01</v>
      </c>
      <c r="B405" s="24" t="str">
        <f>'DE ( Tarik barang retur )'!F382</f>
        <v>Apotek Paledang Campaka Andir</v>
      </c>
      <c r="C405" s="35">
        <f>'DE ( Tarik barang retur )'!G382</f>
        <v>8.95345E+16</v>
      </c>
      <c r="D405" s="24" t="str">
        <f>'DE ( Tarik barang retur )'!H382</f>
        <v>Jl. Paledang No. 14 RT 01 RW 02 Kel. Campaka Kec. Andir Kota Bandung 40184</v>
      </c>
      <c r="E405" s="24" t="str">
        <f>'DE ( Tarik barang retur )'!D382</f>
        <v>24102102014744LEQe9fJo</v>
      </c>
      <c r="F405" s="24" t="str">
        <f>'DE ( Tarik barang retur )'!R382</f>
        <v>TMP-INV-2024/10/21/ 1085309 ACTIFED GSK SIRUP Tarik Barang</v>
      </c>
      <c r="G405" s="36">
        <f>'DE ( Tarik barang retur )'!AF382</f>
        <v>46183</v>
      </c>
      <c r="H405" s="22">
        <v>46183.0</v>
      </c>
      <c r="I405" s="22">
        <v>46185.0</v>
      </c>
      <c r="J405" s="21" t="s">
        <v>5294</v>
      </c>
      <c r="K405" s="24"/>
      <c r="L405" s="24">
        <f t="shared" si="2"/>
        <v>1</v>
      </c>
      <c r="M405" s="24"/>
      <c r="N405" s="24"/>
      <c r="O405" s="24"/>
      <c r="P405" s="25"/>
      <c r="Q405" s="25"/>
      <c r="R405" s="25"/>
      <c r="S405" s="25"/>
      <c r="T405" s="25"/>
      <c r="U405" s="25"/>
      <c r="V405" s="25"/>
      <c r="W405" s="25"/>
      <c r="X405" s="25"/>
      <c r="Y405" s="25"/>
      <c r="Z405" s="25"/>
      <c r="AA405" s="25"/>
      <c r="AB405" s="25"/>
      <c r="AC405" s="25"/>
    </row>
    <row r="406">
      <c r="A406" s="24" t="str">
        <f>'DE ( Tarik barang retur )'!AC383</f>
        <v>AWBR-3314503707-01</v>
      </c>
      <c r="B406" s="24" t="str">
        <f>'DE ( Tarik barang retur )'!F383</f>
        <v>Apotek Heka Neglasari Cibeunying Kaler</v>
      </c>
      <c r="C406" s="35">
        <f>'DE ( Tarik barang retur )'!G383</f>
        <v>87700571775</v>
      </c>
      <c r="D406" s="24" t="str">
        <f>'DE ( Tarik barang retur )'!H383</f>
        <v>Jl. PHH. Mustofa No. 27 RT 003 RW 001, Kel. Neglasari, Kec. Cibeunying Kaler, Kota Bandung 40124</v>
      </c>
      <c r="E406" s="24" t="str">
        <f>'DE ( Tarik barang retur )'!D383</f>
        <v>26060204393998RTKQHoc6v</v>
      </c>
      <c r="F406" s="24" t="str">
        <f>'DE ( Tarik barang retur )'!R383</f>
        <v>TMP-INV-2026/06/03/ 2810028 SUTRA LUBRICANT DKT Tarik Barang</v>
      </c>
      <c r="G406" s="36">
        <f>'DE ( Tarik barang retur )'!AF383</f>
        <v>46183</v>
      </c>
      <c r="H406" s="22">
        <v>46183.0</v>
      </c>
      <c r="I406" s="22">
        <v>46185.0</v>
      </c>
      <c r="J406" s="21" t="s">
        <v>5294</v>
      </c>
      <c r="K406" s="24"/>
      <c r="L406" s="24">
        <f t="shared" si="2"/>
        <v>1</v>
      </c>
      <c r="M406" s="24"/>
      <c r="N406" s="24"/>
      <c r="O406" s="24"/>
      <c r="P406" s="25"/>
      <c r="Q406" s="25"/>
      <c r="R406" s="25"/>
      <c r="S406" s="25"/>
      <c r="T406" s="25"/>
      <c r="U406" s="25"/>
      <c r="V406" s="25"/>
      <c r="W406" s="25"/>
      <c r="X406" s="25"/>
      <c r="Y406" s="25"/>
      <c r="Z406" s="25"/>
      <c r="AA406" s="25"/>
      <c r="AB406" s="25"/>
      <c r="AC406" s="25"/>
    </row>
    <row r="407">
      <c r="A407" s="24" t="str">
        <f>'DE ( Tarik barang retur )'!AC384</f>
        <v>AWBR-3316676973-01</v>
      </c>
      <c r="B407" s="24" t="str">
        <f>'DE ( Tarik barang retur )'!F384</f>
        <v>Apotek Yasfi Bahagia Babelan</v>
      </c>
      <c r="C407" s="35">
        <f>'DE ( Tarik barang retur )'!G384</f>
        <v>6.28217E+17</v>
      </c>
      <c r="D407" s="24" t="str">
        <f>'DE ( Tarik barang retur )'!H384</f>
        <v>Jalan Ujung Harapan Kavling Assalam III, No. 19A RT. 002 RW. 015, Kelurahan Bahagia, Kecamatan Babelan, Kabupaten Bekasi, Jawa Barat 17612</v>
      </c>
      <c r="E407" s="24" t="str">
        <f>'DE ( Tarik barang retur )'!D384</f>
        <v>26060307402457X5simJl08</v>
      </c>
      <c r="F407" s="24" t="str">
        <f>'DE ( Tarik barang retur )'!R384</f>
        <v>TMP-INV-2026/06/04/ 2814520 Invoice: TMP-INV-2026/06/04/ 2814520
Full Return Tarik Barang</v>
      </c>
      <c r="G407" s="36">
        <f>'DE ( Tarik barang retur )'!AF384</f>
        <v>46183</v>
      </c>
      <c r="H407" s="22">
        <v>46183.0</v>
      </c>
      <c r="I407" s="22">
        <v>46184.0</v>
      </c>
      <c r="J407" s="21" t="s">
        <v>5294</v>
      </c>
      <c r="K407" s="24"/>
      <c r="L407" s="24">
        <f t="shared" si="2"/>
        <v>1</v>
      </c>
      <c r="M407" s="24"/>
      <c r="N407" s="24"/>
      <c r="O407" s="24"/>
      <c r="P407" s="25"/>
      <c r="Q407" s="25"/>
      <c r="R407" s="25"/>
      <c r="S407" s="25"/>
      <c r="T407" s="25"/>
      <c r="U407" s="25"/>
      <c r="V407" s="25"/>
      <c r="W407" s="25"/>
      <c r="X407" s="25"/>
      <c r="Y407" s="25"/>
      <c r="Z407" s="25"/>
      <c r="AA407" s="25"/>
      <c r="AB407" s="25"/>
      <c r="AC407" s="25"/>
    </row>
    <row r="408">
      <c r="A408" s="24" t="str">
        <f>'DE ( Tarik barang retur )'!AC385</f>
        <v>AWBR-3316260502-01</v>
      </c>
      <c r="B408" s="24" t="str">
        <f>'DE ( Tarik barang retur )'!F385</f>
        <v>Apotek K24 Kerkof Leuwigajah Cimahi Selatan</v>
      </c>
      <c r="C408" s="35">
        <f>'DE ( Tarik barang retur )'!G385</f>
        <v>6.28112E+17</v>
      </c>
      <c r="D408" s="24" t="str">
        <f>'DE ( Tarik barang retur )'!H385</f>
        <v>Jalan Kerkof No. 34 Kelurahan Leuwigajah, Kecamatan Cimahi Selatan, Kota Cimahi, Jawa Barat 40532</v>
      </c>
      <c r="E408" s="24" t="str">
        <f>'DE ( Tarik barang retur )'!D385</f>
        <v>26060602514432C1BKYYetw</v>
      </c>
      <c r="F408" s="24" t="str">
        <f>'DE ( Tarik barang retur )'!R385</f>
        <v>TMP-INV-2026/06/06/ 2823992 YOUVIT MULTIVITAMIN KIDS GUMMY RASA STRAWBERRY, JERUK, NANAS Yupi - DUS
1x PROPRANOLOL Dexa Medica TABLET 10 MG Tarik Barang</v>
      </c>
      <c r="G408" s="36">
        <f>'DE ( Tarik barang retur )'!AF385</f>
        <v>46183</v>
      </c>
      <c r="H408" s="22">
        <v>46183.0</v>
      </c>
      <c r="I408" s="22">
        <v>46185.0</v>
      </c>
      <c r="J408" s="21" t="s">
        <v>5294</v>
      </c>
      <c r="K408" s="24"/>
      <c r="L408" s="24">
        <f t="shared" si="2"/>
        <v>1</v>
      </c>
      <c r="M408" s="24"/>
      <c r="N408" s="24"/>
      <c r="O408" s="24"/>
      <c r="P408" s="25"/>
      <c r="Q408" s="25"/>
      <c r="R408" s="25"/>
      <c r="S408" s="25"/>
      <c r="T408" s="25"/>
      <c r="U408" s="25"/>
      <c r="V408" s="25"/>
      <c r="W408" s="25"/>
      <c r="X408" s="25"/>
      <c r="Y408" s="25"/>
      <c r="Z408" s="25"/>
      <c r="AA408" s="25"/>
      <c r="AB408" s="25"/>
      <c r="AC408" s="25"/>
    </row>
    <row r="409">
      <c r="A409" s="24" t="str">
        <f>'DE ( Tarik barang retur )'!AC386</f>
        <v>AWBR-3316402980-01</v>
      </c>
      <c r="B409" s="24" t="str">
        <f>'DE ( Tarik barang retur )'!F386</f>
        <v>Apotek Sola Gracia Dadap Kosambi</v>
      </c>
      <c r="C409" s="35">
        <f>'DE ( Tarik barang retur )'!G386</f>
        <v>6.28199E+17</v>
      </c>
      <c r="D409" s="24" t="str">
        <f>'DE ( Tarik barang retur )'!H386</f>
        <v>Jalan Raya Prancis Villa Taman Bandara N7 Nomor 9 RT. 004 RW. 012 Kelurahan Dadap, Kecamatan Kosambi, Kabupaten Tangerang, Banten 15211</v>
      </c>
      <c r="E409" s="24" t="str">
        <f>'DE ( Tarik barang retur )'!D386</f>
        <v>250403033336800MSPoctUu</v>
      </c>
      <c r="F409" s="24" t="str">
        <f>'DE ( Tarik barang retur )'!R386</f>
        <v>TMP-INV-2025/04/03/ 1469552 Invoice: TMP-INV-2025/04/03/ 1469552
Full Return Tarik Barang</v>
      </c>
      <c r="G409" s="36">
        <f>'DE ( Tarik barang retur )'!AF386</f>
        <v>46183</v>
      </c>
      <c r="H409" s="22">
        <v>46184.0</v>
      </c>
      <c r="I409" s="22">
        <v>46185.0</v>
      </c>
      <c r="J409" s="21" t="s">
        <v>5294</v>
      </c>
      <c r="K409" s="24"/>
      <c r="L409" s="24">
        <f t="shared" si="2"/>
        <v>1</v>
      </c>
      <c r="M409" s="24"/>
      <c r="N409" s="24"/>
      <c r="O409" s="24"/>
      <c r="P409" s="25"/>
      <c r="Q409" s="25"/>
      <c r="R409" s="25"/>
      <c r="S409" s="25"/>
      <c r="T409" s="25"/>
      <c r="U409" s="25"/>
      <c r="V409" s="25"/>
      <c r="W409" s="25"/>
      <c r="X409" s="25"/>
      <c r="Y409" s="25"/>
      <c r="Z409" s="25"/>
      <c r="AA409" s="25"/>
      <c r="AB409" s="25"/>
      <c r="AC409" s="25"/>
    </row>
    <row r="410">
      <c r="A410" s="24" t="str">
        <f>'DE ( Tarik barang retur )'!AC387</f>
        <v>AWBR-3316412202-01</v>
      </c>
      <c r="B410" s="24" t="str">
        <f>'DE ( Tarik barang retur )'!F387</f>
        <v>Apotek Ihsani 2 Gunungleutik Ciparay</v>
      </c>
      <c r="C410" s="35">
        <f>'DE ( Tarik barang retur )'!G387</f>
        <v>6.28122E+17</v>
      </c>
      <c r="D410" s="24" t="str">
        <f>'DE ( Tarik barang retur )'!H387</f>
        <v>Ruko Pelangi Residence No. 7 RT. 001 RW. 019 Jalan Raya Laswi No. 601, Desa/Kelurahan Serangmekar, Kecamatan Ciparay, Kabupaten Bandung, Jawa Barat 40381</v>
      </c>
      <c r="E410" s="24" t="str">
        <f>'DE ( Tarik barang retur )'!D387</f>
        <v>24050704520303UWuJ3CzHAx</v>
      </c>
      <c r="F410" s="24" t="str">
        <f>'DE ( Tarik barang retur )'!R387</f>
        <v>TMP-INV-2024/05/08/ 771338 ELOCON Organon KRIM Tarik Barang</v>
      </c>
      <c r="G410" s="36">
        <f>'DE ( Tarik barang retur )'!AF387</f>
        <v>46183</v>
      </c>
      <c r="H410" s="22">
        <v>46183.0</v>
      </c>
      <c r="I410" s="22">
        <v>46185.0</v>
      </c>
      <c r="J410" s="21" t="s">
        <v>5294</v>
      </c>
      <c r="K410" s="24"/>
      <c r="L410" s="24">
        <f t="shared" si="2"/>
        <v>1</v>
      </c>
      <c r="M410" s="24"/>
      <c r="N410" s="24"/>
      <c r="O410" s="24"/>
      <c r="P410" s="25"/>
      <c r="Q410" s="25"/>
      <c r="R410" s="25"/>
      <c r="S410" s="25"/>
      <c r="T410" s="25"/>
      <c r="U410" s="25"/>
      <c r="V410" s="25"/>
      <c r="W410" s="25"/>
      <c r="X410" s="25"/>
      <c r="Y410" s="25"/>
      <c r="Z410" s="25"/>
      <c r="AA410" s="25"/>
      <c r="AB410" s="25"/>
      <c r="AC410" s="25"/>
    </row>
    <row r="411">
      <c r="A411" s="24" t="str">
        <f>'DE ( Tarik barang retur )'!AC388</f>
        <v>AWBR-3316436610-01</v>
      </c>
      <c r="B411" s="24" t="str">
        <f>'DE ( Tarik barang retur )'!F388</f>
        <v>Apotek Bundaku Manjahlega Rancasari</v>
      </c>
      <c r="C411" s="35">
        <f>'DE ( Tarik barang retur )'!G388</f>
        <v>6.28156E+16</v>
      </c>
      <c r="D411" s="24" t="str">
        <f>'DE ( Tarik barang retur )'!H388</f>
        <v>Jl. Rancabolang Blok V No.44 RT 01 RW 06 Margahayu Raya Kel. Manjahlega Kec. Rancasari Kota Bandung 40286</v>
      </c>
      <c r="E411" s="24" t="str">
        <f>'DE ( Tarik barang retur )'!D388</f>
        <v>26051222531523MsvTzlEwgJ</v>
      </c>
      <c r="F411" s="24" t="str">
        <f>'DE ( Tarik barang retur )'!R388</f>
        <v>TMP-INV-2026/05/13/ 2739932 BABYDEX-A DIAPER RASH CREAM WITH NATURAL VITAMIN FOR BABY SKIN HEALTH Meiji Tarik Barang</v>
      </c>
      <c r="G411" s="36">
        <f>'DE ( Tarik barang retur )'!AF388</f>
        <v>46183</v>
      </c>
      <c r="H411" s="22">
        <v>46183.0</v>
      </c>
      <c r="I411" s="22">
        <v>46184.0</v>
      </c>
      <c r="J411" s="21" t="s">
        <v>5294</v>
      </c>
      <c r="K411" s="24"/>
      <c r="L411" s="24">
        <f t="shared" si="2"/>
        <v>1</v>
      </c>
      <c r="M411" s="24"/>
      <c r="N411" s="24"/>
      <c r="O411" s="24"/>
      <c r="P411" s="25"/>
      <c r="Q411" s="25"/>
      <c r="R411" s="25"/>
      <c r="S411" s="25"/>
      <c r="T411" s="25"/>
      <c r="U411" s="25"/>
      <c r="V411" s="25"/>
      <c r="W411" s="25"/>
      <c r="X411" s="25"/>
      <c r="Y411" s="25"/>
      <c r="Z411" s="25"/>
      <c r="AA411" s="25"/>
      <c r="AB411" s="25"/>
      <c r="AC411" s="25"/>
    </row>
    <row r="412">
      <c r="A412" s="24" t="str">
        <f>'DE ( Tarik barang retur )'!AC389</f>
        <v>AWBR-3314544388-01</v>
      </c>
      <c r="B412" s="24" t="str">
        <f>'DE ( Tarik barang retur )'!F389</f>
        <v>Apotek Assyaffa Lagoa Koja</v>
      </c>
      <c r="C412" s="35">
        <f>'DE ( Tarik barang retur )'!G389</f>
        <v>6.28125E+17</v>
      </c>
      <c r="D412" s="24" t="str">
        <f>'DE ( Tarik barang retur )'!H389</f>
        <v>Jl. Mundu Luar No. 12 RT/RW 11/11 , Desa/Kelurahan Lagoa, Kec. Koja, Kota Adm. Jakarta Utara 14270</v>
      </c>
      <c r="E412" s="24" t="str">
        <f>'DE ( Tarik barang retur )'!D389</f>
        <v>TMP</v>
      </c>
      <c r="F412" s="24" t="str">
        <f>'DE ( Tarik barang retur )'!R389</f>
        <v>TMP-INV-2024/03/29/ 703170 Tarik Barang</v>
      </c>
      <c r="G412" s="36">
        <f>'DE ( Tarik barang retur )'!AF389</f>
        <v>46183</v>
      </c>
      <c r="H412" s="22">
        <v>46184.0</v>
      </c>
      <c r="I412" s="22">
        <v>46185.0</v>
      </c>
      <c r="J412" s="21" t="s">
        <v>5294</v>
      </c>
      <c r="K412" s="24"/>
      <c r="L412" s="24">
        <f t="shared" si="2"/>
        <v>1</v>
      </c>
      <c r="M412" s="24"/>
      <c r="N412" s="24"/>
      <c r="O412" s="24"/>
      <c r="P412" s="25"/>
      <c r="Q412" s="25"/>
      <c r="R412" s="25"/>
      <c r="S412" s="25"/>
      <c r="T412" s="25"/>
      <c r="U412" s="25"/>
      <c r="V412" s="25"/>
      <c r="W412" s="25"/>
      <c r="X412" s="25"/>
      <c r="Y412" s="25"/>
      <c r="Z412" s="25"/>
      <c r="AA412" s="25"/>
      <c r="AB412" s="25"/>
      <c r="AC412" s="25"/>
    </row>
    <row r="413">
      <c r="A413" s="24" t="str">
        <f>'DE ( Tarik barang retur )'!AC390</f>
        <v>AWBR-3316461415-01</v>
      </c>
      <c r="B413" s="24" t="str">
        <f>'DE ( Tarik barang retur )'!F390</f>
        <v>Apotek Lee Pharmacy Kelapa Gading Timur Kelapa Gading</v>
      </c>
      <c r="C413" s="35">
        <f>'DE ( Tarik barang retur )'!G390</f>
        <v>6.28122E+17</v>
      </c>
      <c r="D413" s="24" t="str">
        <f>'DE ( Tarik barang retur )'!H390</f>
        <v>Jalan Boulevard Raya Blok LB1/25,Desa/Kelurahan Kelapa Gading Timur,Kecamatan Kelapa Gading,kota Adm. Jakarta Utara,DKI Jakarta,14240</v>
      </c>
      <c r="E413" s="24" t="str">
        <f>'DE ( Tarik barang retur )'!D390</f>
        <v>24120519152304u0wD8nM</v>
      </c>
      <c r="F413" s="24" t="str">
        <f>'DE ( Tarik barang retur )'!R390</f>
        <v>TMP-INV-2024/12/06/ 1187207 NECIBLOK Dankos SUSPENSI Tarik Barang</v>
      </c>
      <c r="G413" s="36">
        <f>'DE ( Tarik barang retur )'!AF390</f>
        <v>46183</v>
      </c>
      <c r="H413" s="22">
        <v>46191.0</v>
      </c>
      <c r="I413" s="24"/>
      <c r="J413" s="21" t="s">
        <v>5295</v>
      </c>
      <c r="K413" s="24"/>
      <c r="L413" s="24">
        <f t="shared" si="2"/>
        <v>1</v>
      </c>
      <c r="M413" s="24"/>
      <c r="N413" s="24"/>
      <c r="O413" s="24"/>
      <c r="P413" s="25"/>
      <c r="Q413" s="25"/>
      <c r="R413" s="25"/>
      <c r="S413" s="25"/>
      <c r="T413" s="25"/>
      <c r="U413" s="25"/>
      <c r="V413" s="25"/>
      <c r="W413" s="25"/>
      <c r="X413" s="25"/>
      <c r="Y413" s="25"/>
      <c r="Z413" s="25"/>
      <c r="AA413" s="25"/>
      <c r="AB413" s="25"/>
      <c r="AC413" s="25"/>
    </row>
    <row r="414">
      <c r="A414" s="24" t="str">
        <f>'DE ( Tarik barang retur )'!AC391</f>
        <v>AWBR-3316460779-01</v>
      </c>
      <c r="B414" s="24" t="str">
        <f>'DE ( Tarik barang retur )'!F391</f>
        <v>Apotek Lee Pharmacy Kelapa Gading Timur Kelapa Gading</v>
      </c>
      <c r="C414" s="35">
        <f>'DE ( Tarik barang retur )'!G391</f>
        <v>6.28122E+17</v>
      </c>
      <c r="D414" s="24" t="str">
        <f>'DE ( Tarik barang retur )'!H391</f>
        <v>Jalan Boulevard Raya Blok LB1/25,Desa/Kelurahan Kelapa Gading Timur,Kecamatan Kelapa Gading,kota Adm. Jakarta Utara,DKI Jakarta,14240</v>
      </c>
      <c r="E414" s="24" t="str">
        <f>'DE ( Tarik barang retur )'!D391</f>
        <v>24120519152304u0wD8nM</v>
      </c>
      <c r="F414" s="24" t="str">
        <f>'DE ( Tarik barang retur )'!R391</f>
        <v>TMP-INV-2024/12/06/ 1187207 NECIBLOK Dankos SUSPENSI Tarik Barang</v>
      </c>
      <c r="G414" s="36">
        <f>'DE ( Tarik barang retur )'!AF391</f>
        <v>46183</v>
      </c>
      <c r="H414" s="22">
        <v>46191.0</v>
      </c>
      <c r="I414" s="24"/>
      <c r="J414" s="21" t="s">
        <v>5295</v>
      </c>
      <c r="K414" s="24"/>
      <c r="L414" s="24">
        <f t="shared" si="2"/>
        <v>1</v>
      </c>
      <c r="M414" s="24"/>
      <c r="N414" s="24"/>
      <c r="O414" s="24"/>
      <c r="P414" s="25"/>
      <c r="Q414" s="25"/>
      <c r="R414" s="25"/>
      <c r="S414" s="25"/>
      <c r="T414" s="25"/>
      <c r="U414" s="25"/>
      <c r="V414" s="25"/>
      <c r="W414" s="25"/>
      <c r="X414" s="25"/>
      <c r="Y414" s="25"/>
      <c r="Z414" s="25"/>
      <c r="AA414" s="25"/>
      <c r="AB414" s="25"/>
      <c r="AC414" s="25"/>
    </row>
    <row r="415">
      <c r="A415" s="24" t="str">
        <f>'DE ( Tarik barang retur )'!AC392</f>
        <v>AWBR-3316660926-01</v>
      </c>
      <c r="B415" s="24" t="str">
        <f>'DE ( Tarik barang retur )'!F392</f>
        <v>Apotek Padma Medica Jatisari Jatiasih</v>
      </c>
      <c r="C415" s="35">
        <f>'DE ( Tarik barang retur )'!G392</f>
        <v>6.28819E+16</v>
      </c>
      <c r="D415" s="24" t="str">
        <f>'DE ( Tarik barang retur )'!H392</f>
        <v>Jl. Suryadarma No. BQ8 Taman Jatisari Permai, Desa/Kelurahan Jatisari,Kecamatan Jatiasih, Kota Bekasi,Jawa Barat,17426</v>
      </c>
      <c r="E415" s="24" t="str">
        <f>'DE ( Tarik barang retur )'!D392</f>
        <v>26060800174155ESlPjer9y3</v>
      </c>
      <c r="F415" s="24" t="str">
        <f>'DE ( Tarik barang retur )'!R392</f>
        <v>TMP-INV-2026/06/08/ 2830163 DEXTEEM PLUS Erlimpex TABLET 0.5/2 MG
1x FUNGIDERM Konimex KRIM Tarik Barang</v>
      </c>
      <c r="G415" s="36">
        <f>'DE ( Tarik barang retur )'!AF392</f>
        <v>46183</v>
      </c>
      <c r="H415" s="22">
        <v>46183.0</v>
      </c>
      <c r="I415" s="22">
        <v>46184.0</v>
      </c>
      <c r="J415" s="21" t="s">
        <v>5294</v>
      </c>
      <c r="K415" s="24"/>
      <c r="L415" s="24">
        <f t="shared" si="2"/>
        <v>1</v>
      </c>
      <c r="M415" s="24"/>
      <c r="N415" s="24"/>
      <c r="O415" s="24"/>
      <c r="P415" s="25"/>
      <c r="Q415" s="25"/>
      <c r="R415" s="25"/>
      <c r="S415" s="25"/>
      <c r="T415" s="25"/>
      <c r="U415" s="25"/>
      <c r="V415" s="25"/>
      <c r="W415" s="25"/>
      <c r="X415" s="25"/>
      <c r="Y415" s="25"/>
      <c r="Z415" s="25"/>
      <c r="AA415" s="25"/>
      <c r="AB415" s="25"/>
      <c r="AC415" s="25"/>
    </row>
    <row r="416">
      <c r="A416" s="24" t="str">
        <f>'DE ( Tarik barang retur )'!AC393</f>
        <v>AWBR-3317073814-01</v>
      </c>
      <c r="B416" s="24" t="str">
        <f>'DE ( Tarik barang retur )'!F393</f>
        <v>Apotek Padma Medica Jatisari Jatiasih</v>
      </c>
      <c r="C416" s="35">
        <f>'DE ( Tarik barang retur )'!G393</f>
        <v>6.28819E+16</v>
      </c>
      <c r="D416" s="24" t="str">
        <f>'DE ( Tarik barang retur )'!H393</f>
        <v>Jl. Suryadarma No. BQ8 Taman Jatisari Permai, Desa/Kelurahan Jatisari,Kecamatan Jatiasih, Kota Bekasi,Jawa Barat,17426</v>
      </c>
      <c r="E416" s="24" t="str">
        <f>'DE ( Tarik barang retur )'!D393</f>
        <v>24010200340491osslG4mcRa</v>
      </c>
      <c r="F416" s="24" t="str">
        <f>'DE ( Tarik barang retur )'!R393</f>
        <v>TMP-INV-2024/01/02/ 564282 MYCO-Z Taisho SALEP Tarik Barang</v>
      </c>
      <c r="G416" s="36">
        <f>'DE ( Tarik barang retur )'!AF393</f>
        <v>46183</v>
      </c>
      <c r="H416" s="22">
        <v>46184.0</v>
      </c>
      <c r="I416" s="22">
        <v>46185.0</v>
      </c>
      <c r="J416" s="21" t="s">
        <v>5294</v>
      </c>
      <c r="K416" s="24"/>
      <c r="L416" s="24">
        <f t="shared" si="2"/>
        <v>1</v>
      </c>
      <c r="M416" s="24"/>
      <c r="N416" s="24"/>
      <c r="O416" s="24"/>
      <c r="P416" s="25"/>
      <c r="Q416" s="25"/>
      <c r="R416" s="25"/>
      <c r="S416" s="25"/>
      <c r="T416" s="25"/>
      <c r="U416" s="25"/>
      <c r="V416" s="25"/>
      <c r="W416" s="25"/>
      <c r="X416" s="25"/>
      <c r="Y416" s="25"/>
      <c r="Z416" s="25"/>
      <c r="AA416" s="25"/>
      <c r="AB416" s="25"/>
      <c r="AC416" s="25"/>
    </row>
    <row r="417">
      <c r="A417" s="24" t="str">
        <f>'DE ( Tarik barang retur )'!AC394</f>
        <v>AWBR-3317059723-01</v>
      </c>
      <c r="B417" s="24" t="str">
        <f>'DE ( Tarik barang retur )'!F394</f>
        <v>Apotek Dante Sawah Baru Ciputat</v>
      </c>
      <c r="C417" s="35">
        <f>'DE ( Tarik barang retur )'!G394</f>
        <v>6.28821E+17</v>
      </c>
      <c r="D417" s="24" t="str">
        <f>'DE ( Tarik barang retur )'!H394</f>
        <v>Ruko UVILLE UA/B-08. Perumahan Bintaro Jaya, Kel. Sawah Baru Kec. Ciputat Kota Tangerang Selatan 15413</v>
      </c>
      <c r="E417" s="24" t="str">
        <f>'DE ( Tarik barang retur )'!D394</f>
        <v>25052810423195ROozl4v53E</v>
      </c>
      <c r="F417" s="24" t="str">
        <f>'DE ( Tarik barang retur )'!R394</f>
        <v>TMP-INV-2025/05/29/ 1615212 ASTRIA Pertiwi Agung KAPSUL 4 MG Tarik Barang</v>
      </c>
      <c r="G417" s="36">
        <f>'DE ( Tarik barang retur )'!AF394</f>
        <v>46183</v>
      </c>
      <c r="H417" s="22">
        <v>46184.0</v>
      </c>
      <c r="I417" s="22">
        <v>46185.0</v>
      </c>
      <c r="J417" s="21" t="s">
        <v>5294</v>
      </c>
      <c r="K417" s="24"/>
      <c r="L417" s="24">
        <f t="shared" si="2"/>
        <v>1</v>
      </c>
      <c r="M417" s="24"/>
      <c r="N417" s="24"/>
      <c r="O417" s="24"/>
      <c r="P417" s="25"/>
      <c r="Q417" s="25"/>
      <c r="R417" s="25"/>
      <c r="S417" s="25"/>
      <c r="T417" s="25"/>
      <c r="U417" s="25"/>
      <c r="V417" s="25"/>
      <c r="W417" s="25"/>
      <c r="X417" s="25"/>
      <c r="Y417" s="25"/>
      <c r="Z417" s="25"/>
      <c r="AA417" s="25"/>
      <c r="AB417" s="25"/>
      <c r="AC417" s="25"/>
    </row>
    <row r="418">
      <c r="A418" s="24" t="str">
        <f>'DE ( Tarik barang retur )'!AC395</f>
        <v>AWBR-3317062763-01</v>
      </c>
      <c r="B418" s="24" t="str">
        <f>'DE ( Tarik barang retur )'!F395</f>
        <v>Apotek Mandiri Tanah Baru Bogor Utara</v>
      </c>
      <c r="C418" s="35">
        <f>'DE ( Tarik barang retur )'!G395</f>
        <v>6.28118E+16</v>
      </c>
      <c r="D418" s="24" t="str">
        <f>'DE ( Tarik barang retur )'!H395</f>
        <v>Jl. Raden Kan'an RT 007 RW 005 Kel. Tanah Baru Kec. Bogor Utara??Kota??Bogor 16154</v>
      </c>
      <c r="E418" s="24" t="str">
        <f>'DE ( Tarik barang retur )'!D395</f>
        <v>26060803311118BwgOKtgdPf</v>
      </c>
      <c r="F418" s="24" t="str">
        <f>'DE ( Tarik barang retur )'!R395</f>
        <v>TMP-INV-2026/06/08/ 2831165 TRACETATE Pratapa Nirmala SUSPENSI Tarik Barang</v>
      </c>
      <c r="G418" s="36">
        <f>'DE ( Tarik barang retur )'!AF395</f>
        <v>46183</v>
      </c>
      <c r="H418" s="22">
        <v>46183.0</v>
      </c>
      <c r="I418" s="22">
        <v>46184.0</v>
      </c>
      <c r="J418" s="21" t="s">
        <v>5294</v>
      </c>
      <c r="K418" s="24"/>
      <c r="L418" s="24">
        <f t="shared" si="2"/>
        <v>1</v>
      </c>
      <c r="M418" s="24"/>
      <c r="N418" s="24"/>
      <c r="O418" s="24"/>
      <c r="P418" s="25"/>
      <c r="Q418" s="25"/>
      <c r="R418" s="25"/>
      <c r="S418" s="25"/>
      <c r="T418" s="25"/>
      <c r="U418" s="25"/>
      <c r="V418" s="25"/>
      <c r="W418" s="25"/>
      <c r="X418" s="25"/>
      <c r="Y418" s="25"/>
      <c r="Z418" s="25"/>
      <c r="AA418" s="25"/>
      <c r="AB418" s="25"/>
      <c r="AC418" s="25"/>
    </row>
    <row r="419">
      <c r="A419" s="24" t="str">
        <f>'DE ( Tarik barang retur )'!AC396</f>
        <v>AWBR-3313810040-01</v>
      </c>
      <c r="B419" s="24" t="str">
        <f>'DE ( Tarik barang retur )'!F396</f>
        <v>Apotek Siliwangi Farma Baleendah Baleendah</v>
      </c>
      <c r="C419" s="35">
        <f>'DE ( Tarik barang retur )'!G396</f>
        <v>6.28132E+17</v>
      </c>
      <c r="D419" s="24" t="str">
        <f>'DE ( Tarik barang retur )'!H396</f>
        <v>Jl. Siliwangi No.49 RT 008 RW 010 Desa/Kel. Baleendah, Kec. Baleendah, Kab. Bandung</v>
      </c>
      <c r="E419" s="24" t="str">
        <f>'DE ( Tarik barang retur )'!D396</f>
        <v>26060201141116IuExdxFSTf</v>
      </c>
      <c r="F419" s="24" t="str">
        <f>'DE ( Tarik barang retur )'!R396</f>
        <v>TMP-INV-2026/06/02/ 2806848 IMBOOST Soho TABLET Tarik Barang</v>
      </c>
      <c r="G419" s="36">
        <f>'DE ( Tarik barang retur )'!AF396</f>
        <v>46183</v>
      </c>
      <c r="H419" s="22">
        <v>46184.0</v>
      </c>
      <c r="I419" s="22">
        <v>46185.0</v>
      </c>
      <c r="J419" s="21" t="s">
        <v>5294</v>
      </c>
      <c r="K419" s="24"/>
      <c r="L419" s="24">
        <f t="shared" si="2"/>
        <v>1</v>
      </c>
      <c r="M419" s="24"/>
      <c r="N419" s="24"/>
      <c r="O419" s="24"/>
      <c r="P419" s="25"/>
      <c r="Q419" s="25"/>
      <c r="R419" s="25"/>
      <c r="S419" s="25"/>
      <c r="T419" s="25"/>
      <c r="U419" s="25"/>
      <c r="V419" s="25"/>
      <c r="W419" s="25"/>
      <c r="X419" s="25"/>
      <c r="Y419" s="25"/>
      <c r="Z419" s="25"/>
      <c r="AA419" s="25"/>
      <c r="AB419" s="25"/>
      <c r="AC419" s="25"/>
    </row>
    <row r="420">
      <c r="A420" s="24" t="str">
        <f>'DE ( Tarik barang retur )'!AC397</f>
        <v>AWBR-3316655689-01</v>
      </c>
      <c r="B420" s="24" t="str">
        <f>'DE ( Tarik barang retur )'!F397</f>
        <v>Apotek Hanania Farma Karasak Astanaanyar</v>
      </c>
      <c r="C420" s="35">
        <f>'DE ( Tarik barang retur )'!G397</f>
        <v>6.28129E+17</v>
      </c>
      <c r="D420" s="24" t="str">
        <f>'DE ( Tarik barang retur )'!H397</f>
        <v>Jl. H Kurdi 1 No. 10C, RT. 005, RW. 001, Desa/Kel. Karasak, Kec. Astana Anyar, Kota Bandung</v>
      </c>
      <c r="E420" s="24" t="str">
        <f>'DE ( Tarik barang retur )'!D397</f>
        <v>24040103505766X6p3idCe</v>
      </c>
      <c r="F420" s="24" t="str">
        <f>'DE ( Tarik barang retur )'!R397</f>
        <v>TMP-INV-2024/04/01/ 708290 PANADOL ANAK 1-6 Thn Gsk SIRUP 160 MG/5 ML Tarik Barang</v>
      </c>
      <c r="G420" s="36">
        <f>'DE ( Tarik barang retur )'!AF397</f>
        <v>46183</v>
      </c>
      <c r="H420" s="22">
        <v>46184.0</v>
      </c>
      <c r="I420" s="22">
        <v>46186.0</v>
      </c>
      <c r="J420" s="21" t="s">
        <v>5294</v>
      </c>
      <c r="K420" s="24"/>
      <c r="L420" s="24">
        <f t="shared" si="2"/>
        <v>1</v>
      </c>
      <c r="M420" s="24"/>
      <c r="N420" s="24"/>
      <c r="O420" s="24"/>
      <c r="P420" s="25"/>
      <c r="Q420" s="25"/>
      <c r="R420" s="25"/>
      <c r="S420" s="25"/>
      <c r="T420" s="25"/>
      <c r="U420" s="25"/>
      <c r="V420" s="25"/>
      <c r="W420" s="25"/>
      <c r="X420" s="25"/>
      <c r="Y420" s="25"/>
      <c r="Z420" s="25"/>
      <c r="AA420" s="25"/>
      <c r="AB420" s="25"/>
      <c r="AC420" s="25"/>
    </row>
    <row r="421">
      <c r="A421" s="24" t="str">
        <f>'DE ( Tarik barang retur )'!AC398</f>
        <v>AWBR-3316499022-01</v>
      </c>
      <c r="B421" s="24" t="str">
        <f>'DE ( Tarik barang retur )'!F398</f>
        <v>Apotek Alang Farma Bahagia Babelan</v>
      </c>
      <c r="C421" s="35">
        <f>'DE ( Tarik barang retur )'!G398</f>
        <v>6.28128E+17</v>
      </c>
      <c r="D421" s="24" t="str">
        <f>'DE ( Tarik barang retur )'!H398</f>
        <v>Jl. KH Tajudin RT. 06 RW. 03, Desa/Kelurahan Bahagia, Kec. Babelan, Kab. Bekasi</v>
      </c>
      <c r="E421" s="24" t="str">
        <f>'DE ( Tarik barang retur )'!D398</f>
        <v>25041818362388KCddaYACjp</v>
      </c>
      <c r="F421" s="24" t="str">
        <f>'DE ( Tarik barang retur )'!R398</f>
        <v>TMP-INV-2025/04/19/ 1510774 ENERVON GOLD Darya-Varia KAPSUL Tarik Barang</v>
      </c>
      <c r="G421" s="36">
        <f>'DE ( Tarik barang retur )'!AF398</f>
        <v>46183</v>
      </c>
      <c r="H421" s="22">
        <v>46183.0</v>
      </c>
      <c r="I421" s="22">
        <v>46184.0</v>
      </c>
      <c r="J421" s="21" t="s">
        <v>5294</v>
      </c>
      <c r="K421" s="24"/>
      <c r="L421" s="24">
        <f t="shared" si="2"/>
        <v>1</v>
      </c>
      <c r="M421" s="24"/>
      <c r="N421" s="24"/>
      <c r="O421" s="24"/>
      <c r="P421" s="25"/>
      <c r="Q421" s="25"/>
      <c r="R421" s="25"/>
      <c r="S421" s="25"/>
      <c r="T421" s="25"/>
      <c r="U421" s="25"/>
      <c r="V421" s="25"/>
      <c r="W421" s="25"/>
      <c r="X421" s="25"/>
      <c r="Y421" s="25"/>
      <c r="Z421" s="25"/>
      <c r="AA421" s="25"/>
      <c r="AB421" s="25"/>
      <c r="AC421" s="25"/>
    </row>
    <row r="422">
      <c r="A422" s="24" t="str">
        <f>'DE ( Tarik barang retur )'!AC399</f>
        <v>AWBR-3316488690-01</v>
      </c>
      <c r="B422" s="24" t="str">
        <f>'DE ( Tarik barang retur )'!F399</f>
        <v>Apotek Diva Farma Tigaraksa Tigaraksa</v>
      </c>
      <c r="C422" s="35">
        <f>'DE ( Tarik barang retur )'!G399</f>
        <v>6.28129E+17</v>
      </c>
      <c r="D422" s="24" t="str">
        <f>'DE ( Tarik barang retur )'!H399</f>
        <v>Jalan Aria Wangsakara Kel. Tigaraksa Kec. Tigaraksa Kab. Tangerang</v>
      </c>
      <c r="E422" s="24" t="str">
        <f>'DE ( Tarik barang retur )'!D399</f>
        <v>26060506252671XwaEmCAlf</v>
      </c>
      <c r="F422" s="24" t="str">
        <f>'DE ( Tarik barang retur )'!R399</f>
        <v>TMP-INV-2026/06/06/ 2824682 ELZSA Sydna TABLET Tarik Barang</v>
      </c>
      <c r="G422" s="36">
        <f>'DE ( Tarik barang retur )'!AF399</f>
        <v>46183</v>
      </c>
      <c r="H422" s="22">
        <v>46184.0</v>
      </c>
      <c r="I422" s="22">
        <v>46186.0</v>
      </c>
      <c r="J422" s="21" t="s">
        <v>5294</v>
      </c>
      <c r="K422" s="24"/>
      <c r="L422" s="24">
        <f t="shared" si="2"/>
        <v>1</v>
      </c>
      <c r="M422" s="24"/>
      <c r="N422" s="24"/>
      <c r="O422" s="24"/>
      <c r="P422" s="25"/>
      <c r="Q422" s="25"/>
      <c r="R422" s="25"/>
      <c r="S422" s="25"/>
      <c r="T422" s="25"/>
      <c r="U422" s="25"/>
      <c r="V422" s="25"/>
      <c r="W422" s="25"/>
      <c r="X422" s="25"/>
      <c r="Y422" s="25"/>
      <c r="Z422" s="25"/>
      <c r="AA422" s="25"/>
      <c r="AB422" s="25"/>
      <c r="AC422" s="25"/>
    </row>
    <row r="423">
      <c r="A423" s="24" t="str">
        <f>'DE ( Tarik barang retur )'!AC400</f>
        <v>AWBR-3317068685-01</v>
      </c>
      <c r="B423" s="24" t="str">
        <f>'DE ( Tarik barang retur )'!F400</f>
        <v>Apotek Trunojoyo Citarum Bandung Wetan</v>
      </c>
      <c r="C423" s="35">
        <f>'DE ( Tarik barang retur )'!G400</f>
        <v>6.28968E+17</v>
      </c>
      <c r="D423" s="24" t="str">
        <f>'DE ( Tarik barang retur )'!H400</f>
        <v>Jl. Trunojoyo No. 21 RT 003 RW 003 Kel. Citarum Kec. Bandung Wetan Kota Bandung</v>
      </c>
      <c r="E423" s="24" t="str">
        <f>'DE ( Tarik barang retur )'!D400</f>
        <v>26060212420124cn0ppkUZP</v>
      </c>
      <c r="F423" s="24" t="str">
        <f>'DE ( Tarik barang retur )'!R400</f>
        <v>TMP-INV-2026/06/03/ 2810637 Y-RINS Pratapa Nirmala CAIRAN MATA 13% VV Tarik Barang</v>
      </c>
      <c r="G423" s="36">
        <f>'DE ( Tarik barang retur )'!AF400</f>
        <v>46183</v>
      </c>
      <c r="H423" s="22">
        <v>46183.0</v>
      </c>
      <c r="I423" s="22">
        <v>46185.0</v>
      </c>
      <c r="J423" s="21" t="s">
        <v>5294</v>
      </c>
      <c r="K423" s="24"/>
      <c r="L423" s="24">
        <f t="shared" si="2"/>
        <v>1</v>
      </c>
      <c r="M423" s="24"/>
      <c r="N423" s="24"/>
      <c r="O423" s="24"/>
      <c r="P423" s="25"/>
      <c r="Q423" s="25"/>
      <c r="R423" s="25"/>
      <c r="S423" s="25"/>
      <c r="T423" s="25"/>
      <c r="U423" s="25"/>
      <c r="V423" s="25"/>
      <c r="W423" s="25"/>
      <c r="X423" s="25"/>
      <c r="Y423" s="25"/>
      <c r="Z423" s="25"/>
      <c r="AA423" s="25"/>
      <c r="AB423" s="25"/>
      <c r="AC423" s="25"/>
    </row>
    <row r="424">
      <c r="A424" s="24" t="str">
        <f>'DE ( Tarik barang retur )'!AC401</f>
        <v>AWBR-3316470278-01</v>
      </c>
      <c r="B424" s="24" t="str">
        <f>'DE ( Tarik barang retur )'!F401</f>
        <v>Apotek K24 Pilar Karangasih Cikarang Utara</v>
      </c>
      <c r="C424" s="35">
        <f>'DE ( Tarik barang retur )'!G401</f>
        <v>6.28127E+17</v>
      </c>
      <c r="D424" s="24" t="str">
        <f>'DE ( Tarik barang retur )'!H401</f>
        <v>Jl. Ki Hajar Dewantara Kp. Pilar Barat No. 129, Desa/Kelurahan Karangasih, Kec. Cikarang Utara, Kab. Bekasi</v>
      </c>
      <c r="E424" s="24" t="str">
        <f>'DE ( Tarik barang retur )'!D401</f>
        <v>26052302263610YRllq7k800</v>
      </c>
      <c r="F424" s="24" t="str">
        <f>'DE ( Tarik barang retur )'!R401</f>
        <v>TMP-INV-2026/05/23/ 2776477 EGOJI RASA ANGGUR Novell SIRUP
1x EGOJI RASA APPLE-BERRY Novell SIRUP Tarik Barang</v>
      </c>
      <c r="G424" s="36">
        <f>'DE ( Tarik barang retur )'!AF401</f>
        <v>46183</v>
      </c>
      <c r="H424" s="22">
        <v>46184.0</v>
      </c>
      <c r="I424" s="22">
        <v>46184.0</v>
      </c>
      <c r="J424" s="21" t="s">
        <v>5294</v>
      </c>
      <c r="K424" s="24"/>
      <c r="L424" s="24">
        <f t="shared" si="2"/>
        <v>1</v>
      </c>
      <c r="M424" s="24"/>
      <c r="N424" s="24"/>
      <c r="O424" s="24"/>
      <c r="P424" s="25"/>
      <c r="Q424" s="25"/>
      <c r="R424" s="25"/>
      <c r="S424" s="25"/>
      <c r="T424" s="25"/>
      <c r="U424" s="25"/>
      <c r="V424" s="25"/>
      <c r="W424" s="25"/>
      <c r="X424" s="25"/>
      <c r="Y424" s="25"/>
      <c r="Z424" s="25"/>
      <c r="AA424" s="25"/>
      <c r="AB424" s="25"/>
      <c r="AC424" s="25"/>
    </row>
    <row r="425">
      <c r="A425" s="24" t="str">
        <f>'DE ( Tarik barang retur )'!AC402</f>
        <v>AWBR-3314640561-01</v>
      </c>
      <c r="B425" s="24" t="str">
        <f>'DE ( Tarik barang retur )'!F402</f>
        <v>Apotek Indosehat Global Bali Mester Jatinegara</v>
      </c>
      <c r="C425" s="35">
        <f>'DE ( Tarik barang retur )'!G402</f>
        <v>6.28128E+17</v>
      </c>
      <c r="D425" s="24" t="str">
        <f>'DE ( Tarik barang retur )'!H402</f>
        <v>Jl. Jatinegara Barat I No.133 F Rt.001 Rw.005, Desa/Kel. Bali Mester, Kec. Jatinegara, Kota Adm. Jakarta Timur</v>
      </c>
      <c r="E425" s="24" t="str">
        <f>'DE ( Tarik barang retur )'!D402</f>
        <v>26060210501537BX5quqlEG</v>
      </c>
      <c r="F425" s="24" t="str">
        <f>'DE ( Tarik barang retur )'!R402</f>
        <v>TMP-INV-2026/06/03/ 2812108 Invoice: TMP-INV-2026/06/03/ 2812108
Full Return Tarik Barang</v>
      </c>
      <c r="G425" s="36">
        <f>'DE ( Tarik barang retur )'!AF402</f>
        <v>46183</v>
      </c>
      <c r="H425" s="22">
        <v>46184.0</v>
      </c>
      <c r="I425" s="22">
        <v>46184.0</v>
      </c>
      <c r="J425" s="21" t="s">
        <v>5294</v>
      </c>
      <c r="K425" s="24"/>
      <c r="L425" s="24">
        <f t="shared" si="2"/>
        <v>1</v>
      </c>
      <c r="M425" s="24"/>
      <c r="N425" s="24"/>
      <c r="O425" s="24"/>
      <c r="P425" s="25"/>
      <c r="Q425" s="25"/>
      <c r="R425" s="25"/>
      <c r="S425" s="25"/>
      <c r="T425" s="25"/>
      <c r="U425" s="25"/>
      <c r="V425" s="25"/>
      <c r="W425" s="25"/>
      <c r="X425" s="25"/>
      <c r="Y425" s="25"/>
      <c r="Z425" s="25"/>
      <c r="AA425" s="25"/>
      <c r="AB425" s="25"/>
      <c r="AC425" s="25"/>
    </row>
    <row r="426">
      <c r="A426" s="24" t="str">
        <f>'DE ( Tarik barang retur )'!AC403</f>
        <v>AWBR-3316273724-01</v>
      </c>
      <c r="B426" s="24" t="str">
        <f>'DE ( Tarik barang retur )'!F403</f>
        <v>Apotek Aisylla Farma Cibiru Wetan Cileunyi</v>
      </c>
      <c r="C426" s="35">
        <f>'DE ( Tarik barang retur )'!G403</f>
        <v>6.28535E+17</v>
      </c>
      <c r="D426" s="24" t="str">
        <f>'DE ( Tarik barang retur )'!H403</f>
        <v>Jl. Bayangkara RT. 004 RW. 016, Desa/Kelurahan Cibiru Wetan, Kec. Cileunyi, Kab. Bandung</v>
      </c>
      <c r="E426" s="24" t="str">
        <f>'DE ( Tarik barang retur )'!D403</f>
        <v>26060504421256Sgye1zwi5</v>
      </c>
      <c r="F426" s="24" t="str">
        <f>'DE ( Tarik barang retur )'!R403</f>
        <v>TMP-INV-2026/06/06/ 2823770 CATAFLAM D Novartis TABLET DISPERSIBLE Tarik Barang</v>
      </c>
      <c r="G426" s="36">
        <f>'DE ( Tarik barang retur )'!AF403</f>
        <v>46183</v>
      </c>
      <c r="H426" s="22">
        <v>46183.0</v>
      </c>
      <c r="I426" s="22">
        <v>46185.0</v>
      </c>
      <c r="J426" s="21" t="s">
        <v>5294</v>
      </c>
      <c r="K426" s="24"/>
      <c r="L426" s="24">
        <f t="shared" si="2"/>
        <v>1</v>
      </c>
      <c r="M426" s="24"/>
      <c r="N426" s="24"/>
      <c r="O426" s="24"/>
      <c r="P426" s="25"/>
      <c r="Q426" s="25"/>
      <c r="R426" s="25"/>
      <c r="S426" s="25"/>
      <c r="T426" s="25"/>
      <c r="U426" s="25"/>
      <c r="V426" s="25"/>
      <c r="W426" s="25"/>
      <c r="X426" s="25"/>
      <c r="Y426" s="25"/>
      <c r="Z426" s="25"/>
      <c r="AA426" s="25"/>
      <c r="AB426" s="25"/>
      <c r="AC426" s="25"/>
    </row>
    <row r="427">
      <c r="A427" s="24" t="str">
        <f>'DE ( Tarik barang retur )'!AC404</f>
        <v>AWBR-3316463177-01</v>
      </c>
      <c r="B427" s="24" t="str">
        <f>'DE ( Tarik barang retur )'!F404</f>
        <v>Apotek Ben Mrene Mustika Jaya Mustikajaya Mustika Jaya</v>
      </c>
      <c r="C427" s="35">
        <f>'DE ( Tarik barang retur )'!G404</f>
        <v>6.28788E+17</v>
      </c>
      <c r="D427" s="24" t="str">
        <f>'DE ( Tarik barang retur )'!H404</f>
        <v>Jalan Asem Jaya, KP. Ciketing Asem No.133 RT.002, RW 006 Kel. Mustikajaya Kec. Mustika Jaya Kota Bekasi</v>
      </c>
      <c r="E427" s="24" t="str">
        <f>'DE ( Tarik barang retur )'!D404</f>
        <v>25101402135181piO4BdpBw</v>
      </c>
      <c r="F427" s="24" t="str">
        <f>'DE ( Tarik barang retur )'!R404</f>
        <v>TMP-INV-2025/10/14/ 2025987 VENTOLIN INHALER CFC FREE Gsk 200 Doses Tarik Barang</v>
      </c>
      <c r="G427" s="36">
        <f>'DE ( Tarik barang retur )'!AF404</f>
        <v>46183</v>
      </c>
      <c r="H427" s="22">
        <v>46184.0</v>
      </c>
      <c r="I427" s="22">
        <v>46184.0</v>
      </c>
      <c r="J427" s="21" t="s">
        <v>5294</v>
      </c>
      <c r="K427" s="24"/>
      <c r="L427" s="24">
        <f t="shared" si="2"/>
        <v>1</v>
      </c>
      <c r="M427" s="24"/>
      <c r="N427" s="24"/>
      <c r="O427" s="24"/>
      <c r="P427" s="25"/>
      <c r="Q427" s="25"/>
      <c r="R427" s="25"/>
      <c r="S427" s="25"/>
      <c r="T427" s="25"/>
      <c r="U427" s="25"/>
      <c r="V427" s="25"/>
      <c r="W427" s="25"/>
      <c r="X427" s="25"/>
      <c r="Y427" s="25"/>
      <c r="Z427" s="25"/>
      <c r="AA427" s="25"/>
      <c r="AB427" s="25"/>
      <c r="AC427" s="25"/>
    </row>
    <row r="428">
      <c r="A428" s="24" t="str">
        <f>'DE ( Tarik barang retur )'!AC405</f>
        <v>AWBR-3316401644-01</v>
      </c>
      <c r="B428" s="24" t="str">
        <f>'DE ( Tarik barang retur )'!F405</f>
        <v>Apotek Harrison Legenda Wisata Nagrak Gunung Putri</v>
      </c>
      <c r="C428" s="35">
        <f>'DE ( Tarik barang retur )'!G405</f>
        <v>6.28213E+17</v>
      </c>
      <c r="D428" s="24" t="str">
        <f>'DE ( Tarik barang retur )'!H405</f>
        <v>Ruko Lumibiz Legenda Wisata Blok. U12 No. 20-21 , Desa/Kel. Nagrak, Kec. Gunung Putri, Kab. Bogor</v>
      </c>
      <c r="E428" s="24" t="str">
        <f>'DE ( Tarik barang retur )'!D405</f>
        <v>26033000065870dnircsHoF</v>
      </c>
      <c r="F428" s="24" t="str">
        <f>'DE ( Tarik barang retur )'!R405</f>
        <v>TMP-INV-2026/03/30/ 2579692 Invoice: TMP-INV-2026/03/30/ 2579692
Full Return Tarik Barang</v>
      </c>
      <c r="G428" s="36">
        <f>'DE ( Tarik barang retur )'!AF405</f>
        <v>46183</v>
      </c>
      <c r="H428" s="22">
        <v>46183.0</v>
      </c>
      <c r="I428" s="22">
        <v>46184.0</v>
      </c>
      <c r="J428" s="21" t="s">
        <v>5294</v>
      </c>
      <c r="K428" s="24"/>
      <c r="L428" s="24">
        <f t="shared" si="2"/>
        <v>1</v>
      </c>
      <c r="M428" s="24"/>
      <c r="N428" s="24"/>
      <c r="O428" s="24"/>
      <c r="P428" s="25"/>
      <c r="Q428" s="25"/>
      <c r="R428" s="25"/>
      <c r="S428" s="25"/>
      <c r="T428" s="25"/>
      <c r="U428" s="25"/>
      <c r="V428" s="25"/>
      <c r="W428" s="25"/>
      <c r="X428" s="25"/>
      <c r="Y428" s="25"/>
      <c r="Z428" s="25"/>
      <c r="AA428" s="25"/>
      <c r="AB428" s="25"/>
      <c r="AC428" s="25"/>
    </row>
    <row r="429">
      <c r="A429" s="24" t="str">
        <f>'DE ( Tarik barang retur )'!AC406</f>
        <v>AWBR-3316462051-01</v>
      </c>
      <c r="B429" s="24" t="str">
        <f>'DE ( Tarik barang retur )'!F406</f>
        <v>Apotek Anugerah Pasir Mukti Citeureup</v>
      </c>
      <c r="C429" s="35">
        <f>'DE ( Tarik barang retur )'!G406</f>
        <v>6.28132E+17</v>
      </c>
      <c r="D429" s="24" t="str">
        <f>'DE ( Tarik barang retur )'!H406</f>
        <v>Ruko Perumahan Puri Harmoni Pasir Mukti Blok H No. 40, Desa/Kelurahan Pasirmukti, Kec. Citeureup, Kab. Bogor</v>
      </c>
      <c r="E429" s="24" t="str">
        <f>'DE ( Tarik barang retur )'!D406</f>
        <v>24122804284949gEohSApr</v>
      </c>
      <c r="F429" s="24" t="str">
        <f>'DE ( Tarik barang retur )'!R406</f>
        <v>TMP-INV-2024/12/29/ 1239591 NELLCO SPESIAL OBH PE UNTUK ANAK-ANAK Nellco SIRUP RASA STRAWBERRY Tarik Barang</v>
      </c>
      <c r="G429" s="36">
        <f>'DE ( Tarik barang retur )'!AF406</f>
        <v>46183</v>
      </c>
      <c r="H429" s="22">
        <v>46183.0</v>
      </c>
      <c r="I429" s="22">
        <v>46184.0</v>
      </c>
      <c r="J429" s="21" t="s">
        <v>5294</v>
      </c>
      <c r="K429" s="24"/>
      <c r="L429" s="24">
        <f t="shared" si="2"/>
        <v>1</v>
      </c>
      <c r="M429" s="24"/>
      <c r="N429" s="24"/>
      <c r="O429" s="24"/>
      <c r="P429" s="25"/>
      <c r="Q429" s="25"/>
      <c r="R429" s="25"/>
      <c r="S429" s="25"/>
      <c r="T429" s="25"/>
      <c r="U429" s="25"/>
      <c r="V429" s="25"/>
      <c r="W429" s="25"/>
      <c r="X429" s="25"/>
      <c r="Y429" s="25"/>
      <c r="Z429" s="25"/>
      <c r="AA429" s="25"/>
      <c r="AB429" s="25"/>
      <c r="AC429" s="25"/>
    </row>
    <row r="430">
      <c r="A430" s="24" t="str">
        <f>'DE ( Tarik barang retur )'!AC407</f>
        <v>AWBR-3316409425-01</v>
      </c>
      <c r="B430" s="24" t="str">
        <f>'DE ( Tarik barang retur )'!F407</f>
        <v>Apotek Kalimulya Kalimulya Cilodong</v>
      </c>
      <c r="C430" s="35">
        <f>'DE ( Tarik barang retur )'!G407</f>
        <v>6.28526E+17</v>
      </c>
      <c r="D430" s="24" t="str">
        <f>'DE ( Tarik barang retur )'!H407</f>
        <v>Jl. Raya Kalimulya RT. 005 RW. 002, Desa/Kel. Kalimulya, Kec. Cilodong, Kota Depok</v>
      </c>
      <c r="E430" s="24" t="str">
        <f>'DE ( Tarik barang retur )'!D407</f>
        <v>26060101203720ejXr9X8aKw</v>
      </c>
      <c r="F430" s="24" t="str">
        <f>'DE ( Tarik barang retur )'!R407</f>
        <v>TMP-INV-2026/06/01/ 2804832 Invoice: TMP-INV-2026/06/01/ 2804832
Full Return Tarik Barang</v>
      </c>
      <c r="G430" s="36">
        <f>'DE ( Tarik barang retur )'!AF407</f>
        <v>46183</v>
      </c>
      <c r="H430" s="22">
        <v>46183.0</v>
      </c>
      <c r="I430" s="22">
        <v>46184.0</v>
      </c>
      <c r="J430" s="21" t="s">
        <v>5294</v>
      </c>
      <c r="K430" s="24"/>
      <c r="L430" s="24">
        <f t="shared" si="2"/>
        <v>1</v>
      </c>
      <c r="M430" s="24"/>
      <c r="N430" s="24"/>
      <c r="O430" s="24"/>
      <c r="P430" s="25"/>
      <c r="Q430" s="25"/>
      <c r="R430" s="25"/>
      <c r="S430" s="25"/>
      <c r="T430" s="25"/>
      <c r="U430" s="25"/>
      <c r="V430" s="25"/>
      <c r="W430" s="25"/>
      <c r="X430" s="25"/>
      <c r="Y430" s="25"/>
      <c r="Z430" s="25"/>
      <c r="AA430" s="25"/>
      <c r="AB430" s="25"/>
      <c r="AC430" s="25"/>
    </row>
    <row r="431">
      <c r="A431" s="24" t="str">
        <f>'DE ( Tarik barang retur )'!AC408</f>
        <v>AWBR-3316431685-01</v>
      </c>
      <c r="B431" s="24" t="str">
        <f>'DE ( Tarik barang retur )'!F408</f>
        <v>Apotek Triarga Larangan Indah Larangan</v>
      </c>
      <c r="C431" s="35">
        <f>'DE ( Tarik barang retur )'!G408</f>
        <v>6.28212E+17</v>
      </c>
      <c r="D431" s="24" t="str">
        <f>'DE ( Tarik barang retur )'!H408</f>
        <v>Jl. Swadaya Raya No.16 RT 002 RW 007 Kel. Larangan Indah Kec. Larangan Kota Tangerang</v>
      </c>
      <c r="E431" s="24" t="str">
        <f>'DE ( Tarik barang retur )'!D408</f>
        <v>26060612310987GtbOYeRyNp</v>
      </c>
      <c r="F431" s="24" t="str">
        <f>'DE ( Tarik barang retur )'!R408</f>
        <v>TMP-INV-2026/06/07/ 2826840 Invoice: TMP-INV-2026/06/07/ 2826840
Full Return Tarik Barang</v>
      </c>
      <c r="G431" s="36">
        <f>'DE ( Tarik barang retur )'!AF408</f>
        <v>46183</v>
      </c>
      <c r="H431" s="22">
        <v>46184.0</v>
      </c>
      <c r="I431" s="22">
        <v>46185.0</v>
      </c>
      <c r="J431" s="21" t="s">
        <v>5294</v>
      </c>
      <c r="K431" s="24"/>
      <c r="L431" s="24">
        <f t="shared" si="2"/>
        <v>1</v>
      </c>
      <c r="M431" s="24"/>
      <c r="N431" s="24"/>
      <c r="O431" s="24"/>
      <c r="P431" s="25"/>
      <c r="Q431" s="25"/>
      <c r="R431" s="25"/>
      <c r="S431" s="25"/>
      <c r="T431" s="25"/>
      <c r="U431" s="25"/>
      <c r="V431" s="25"/>
      <c r="W431" s="25"/>
      <c r="X431" s="25"/>
      <c r="Y431" s="25"/>
      <c r="Z431" s="25"/>
      <c r="AA431" s="25"/>
      <c r="AB431" s="25"/>
      <c r="AC431" s="25"/>
    </row>
    <row r="432">
      <c r="A432" s="24" t="str">
        <f>'DE ( Tarik barang retur )'!AC409</f>
        <v>AWBR-3316461673-01</v>
      </c>
      <c r="B432" s="24" t="str">
        <f>'DE ( Tarik barang retur )'!F409</f>
        <v>Apotek Zafran Medika Karang Timur Karang Tengah</v>
      </c>
      <c r="C432" s="35">
        <f>'DE ( Tarik barang retur )'!G409</f>
        <v>6.28961E+17</v>
      </c>
      <c r="D432" s="24" t="str">
        <f>'DE ( Tarik barang retur )'!H409</f>
        <v>Jalan Dr. Sutomo RT 003 RW 009, Desa/Kelurahan Karang Timur, Kec. Karang Tengah, Kota Tangerang</v>
      </c>
      <c r="E432" s="24" t="str">
        <f>'DE ( Tarik barang retur )'!D409</f>
        <v>25013110572955IV27fdgsd</v>
      </c>
      <c r="F432" s="24" t="str">
        <f>'DE ( Tarik barang retur )'!R409</f>
        <v>TMP-INV-2025/02/01/ 1319893 DESOLEX-N Surya Dermato KRIM Tarik Barang</v>
      </c>
      <c r="G432" s="36">
        <f>'DE ( Tarik barang retur )'!AF409</f>
        <v>46183</v>
      </c>
      <c r="H432" s="22">
        <v>46189.0</v>
      </c>
      <c r="I432" s="22">
        <v>46190.0</v>
      </c>
      <c r="J432" s="21" t="s">
        <v>5294</v>
      </c>
      <c r="K432" s="24"/>
      <c r="L432" s="24">
        <f t="shared" si="2"/>
        <v>1</v>
      </c>
      <c r="M432" s="24"/>
      <c r="N432" s="24"/>
      <c r="O432" s="24"/>
      <c r="P432" s="25"/>
      <c r="Q432" s="25"/>
      <c r="R432" s="25"/>
      <c r="S432" s="25"/>
      <c r="T432" s="25"/>
      <c r="U432" s="25"/>
      <c r="V432" s="25"/>
      <c r="W432" s="25"/>
      <c r="X432" s="25"/>
      <c r="Y432" s="25"/>
      <c r="Z432" s="25"/>
      <c r="AA432" s="25"/>
      <c r="AB432" s="25"/>
      <c r="AC432" s="25"/>
    </row>
    <row r="433">
      <c r="A433" s="24" t="str">
        <f>'DE ( Tarik barang retur )'!AC410</f>
        <v>AWBR-3316411651-01</v>
      </c>
      <c r="B433" s="24" t="str">
        <f>'DE ( Tarik barang retur )'!F410</f>
        <v>Apotek Sabi Pharma Cilangkap Cipayung</v>
      </c>
      <c r="C433" s="35">
        <f>'DE ( Tarik barang retur )'!G410</f>
        <v>6.28121E+17</v>
      </c>
      <c r="D433" s="24" t="str">
        <f>'DE ( Tarik barang retur )'!H410</f>
        <v>Jl. Cilangkap Baru Blok R No. 3 RT 001 RW 001 Kel. Cilangkap Kec. Cipayung Kota Jakarta Timur</v>
      </c>
      <c r="E433" s="24" t="str">
        <f>'DE ( Tarik barang retur )'!D410</f>
        <v>26060202015152kANfAMQdTA</v>
      </c>
      <c r="F433" s="24" t="str">
        <f>'DE ( Tarik barang retur )'!R410</f>
        <v>TMP-INV-2026/06/02/ 2809192 BEPANTHEN Bayer SALEP BAYI Tarik Barang</v>
      </c>
      <c r="G433" s="36">
        <f>'DE ( Tarik barang retur )'!AF410</f>
        <v>46183</v>
      </c>
      <c r="H433" s="22">
        <v>46184.0</v>
      </c>
      <c r="I433" s="22">
        <v>46185.0</v>
      </c>
      <c r="J433" s="21" t="s">
        <v>5294</v>
      </c>
      <c r="K433" s="24"/>
      <c r="L433" s="24">
        <f t="shared" si="2"/>
        <v>1</v>
      </c>
      <c r="M433" s="24"/>
      <c r="N433" s="24"/>
      <c r="O433" s="24"/>
      <c r="P433" s="25"/>
      <c r="Q433" s="25"/>
      <c r="R433" s="25"/>
      <c r="S433" s="25"/>
      <c r="T433" s="25"/>
      <c r="U433" s="25"/>
      <c r="V433" s="25"/>
      <c r="W433" s="25"/>
      <c r="X433" s="25"/>
      <c r="Y433" s="25"/>
      <c r="Z433" s="25"/>
      <c r="AA433" s="25"/>
      <c r="AB433" s="25"/>
      <c r="AC433" s="25"/>
    </row>
    <row r="434">
      <c r="A434" s="24" t="str">
        <f>'DE ( Tarik barang retur )'!AC411</f>
        <v>AWBR-3316460134-01</v>
      </c>
      <c r="B434" s="24" t="str">
        <f>'DE ( Tarik barang retur )'!F411</f>
        <v>Apotek Zaza Farma Curug Badak Maja</v>
      </c>
      <c r="C434" s="35">
        <f>'DE ( Tarik barang retur )'!G411</f>
        <v>6.28589E+17</v>
      </c>
      <c r="D434" s="24" t="str">
        <f>'DE ( Tarik barang retur )'!H411</f>
        <v>Citra Maja City, Ruko Green Cove Blok B35 No. 192 Kel. Curug Badak Kec. Maja Kab. Lebak</v>
      </c>
      <c r="E434" s="24" t="str">
        <f>'DE ( Tarik barang retur )'!D411</f>
        <v>26060303445748e2x9vMNm82</v>
      </c>
      <c r="F434" s="24" t="str">
        <f>'DE ( Tarik barang retur )'!R411</f>
        <v>TMP-INV-2026/06/03/ 2814093 ONEMED DERMAFIX SILICON FOAM DRESSING ADHESIVE SUPER SORB Jayamas Medica Tarik Barang</v>
      </c>
      <c r="G434" s="36">
        <f>'DE ( Tarik barang retur )'!AF411</f>
        <v>46183</v>
      </c>
      <c r="H434" s="22">
        <v>46183.0</v>
      </c>
      <c r="I434" s="22">
        <v>46184.0</v>
      </c>
      <c r="J434" s="21" t="s">
        <v>5294</v>
      </c>
      <c r="K434" s="24"/>
      <c r="L434" s="24">
        <f t="shared" si="2"/>
        <v>1</v>
      </c>
      <c r="M434" s="24"/>
      <c r="N434" s="24"/>
      <c r="O434" s="24"/>
      <c r="P434" s="25"/>
      <c r="Q434" s="25"/>
      <c r="R434" s="25"/>
      <c r="S434" s="25"/>
      <c r="T434" s="25"/>
      <c r="U434" s="25"/>
      <c r="V434" s="25"/>
      <c r="W434" s="25"/>
      <c r="X434" s="25"/>
      <c r="Y434" s="25"/>
      <c r="Z434" s="25"/>
      <c r="AA434" s="25"/>
      <c r="AB434" s="25"/>
      <c r="AC434" s="25"/>
    </row>
    <row r="435">
      <c r="A435" s="24" t="str">
        <f>'DE ( Tarik barang retur )'!AC412</f>
        <v>AWBR-3317074065-01</v>
      </c>
      <c r="B435" s="24" t="str">
        <f>'DE ( Tarik barang retur )'!F412</f>
        <v>Apotek Fit Pondok Pinang Kebayoran Lama</v>
      </c>
      <c r="C435" s="35">
        <f>'DE ( Tarik barang retur )'!G412</f>
        <v>6.28219E+17</v>
      </c>
      <c r="D435" s="24" t="str">
        <f>'DE ( Tarik barang retur )'!H412</f>
        <v>Jl. Bukit Hijau 1 No. 15, Desa/Kel. Pondok Pinang, Kec. KebayoranLama, Kota Jakarta Selatan</v>
      </c>
      <c r="E435" s="24" t="str">
        <f>'DE ( Tarik barang retur )'!D412</f>
        <v>25022702372132FQs8rXWIY</v>
      </c>
      <c r="F435" s="24" t="str">
        <f>'DE ( Tarik barang retur )'!R412</f>
        <v>TMP-INV-2025/02/27/ 1385964 GASTIN FORCE Soho SIRUP Tarik Barang</v>
      </c>
      <c r="G435" s="36">
        <f>'DE ( Tarik barang retur )'!AF412</f>
        <v>46183</v>
      </c>
      <c r="H435" s="24"/>
      <c r="I435" s="24"/>
      <c r="J435" s="21" t="s">
        <v>5307</v>
      </c>
      <c r="K435" s="24"/>
      <c r="L435" s="24">
        <f t="shared" si="2"/>
        <v>1</v>
      </c>
      <c r="M435" s="24"/>
      <c r="N435" s="24"/>
      <c r="O435" s="24"/>
      <c r="P435" s="25"/>
      <c r="Q435" s="25"/>
      <c r="R435" s="25"/>
      <c r="S435" s="25"/>
      <c r="T435" s="25"/>
      <c r="U435" s="25"/>
      <c r="V435" s="25"/>
      <c r="W435" s="25"/>
      <c r="X435" s="25"/>
      <c r="Y435" s="25"/>
      <c r="Z435" s="25"/>
      <c r="AA435" s="25"/>
      <c r="AB435" s="25"/>
      <c r="AC435" s="25"/>
    </row>
    <row r="436">
      <c r="A436" s="24" t="str">
        <f>'DE ( Tarik barang retur )'!AC413</f>
        <v>AWBR-3315235098-01</v>
      </c>
      <c r="B436" s="24" t="str">
        <f>'DE ( Tarik barang retur )'!F413</f>
        <v>Apotek Mandala Mandalamekar Cimeunyan</v>
      </c>
      <c r="C436" s="35">
        <f>'DE ( Tarik barang retur )'!G413</f>
        <v>6.28122E+17</v>
      </c>
      <c r="D436" s="24" t="str">
        <f>'DE ( Tarik barang retur )'!H413</f>
        <v>Jalan Mandala Raya No. 10A RT 02 RW 01, Desa/Kelurahan Mandalamekar, Kec. Cimenyan, Kab. Bandung</v>
      </c>
      <c r="E436" s="24" t="str">
        <f>'DE ( Tarik barang retur )'!D413</f>
        <v>25041402290355s9ugVHSDyR</v>
      </c>
      <c r="F436" s="24" t="str">
        <f>'DE ( Tarik barang retur )'!R413</f>
        <v>TMP-INV-2025/04/14/ 1496747 CURVIT Soho SIRUP Tarik Barang</v>
      </c>
      <c r="G436" s="36">
        <f>'DE ( Tarik barang retur )'!AF413</f>
        <v>46183</v>
      </c>
      <c r="H436" s="22">
        <v>46183.0</v>
      </c>
      <c r="I436" s="22">
        <v>46185.0</v>
      </c>
      <c r="J436" s="21" t="s">
        <v>5294</v>
      </c>
      <c r="K436" s="24"/>
      <c r="L436" s="24">
        <f t="shared" si="2"/>
        <v>1</v>
      </c>
      <c r="M436" s="24"/>
      <c r="N436" s="24"/>
      <c r="O436" s="24"/>
      <c r="P436" s="25"/>
      <c r="Q436" s="25"/>
      <c r="R436" s="25"/>
      <c r="S436" s="25"/>
      <c r="T436" s="25"/>
      <c r="U436" s="25"/>
      <c r="V436" s="25"/>
      <c r="W436" s="25"/>
      <c r="X436" s="25"/>
      <c r="Y436" s="25"/>
      <c r="Z436" s="25"/>
      <c r="AA436" s="25"/>
      <c r="AB436" s="25"/>
      <c r="AC436" s="25"/>
    </row>
    <row r="437">
      <c r="A437" s="24" t="str">
        <f>'DE ( Tarik barang retur )'!AC414</f>
        <v>AWBR-3316462710-01</v>
      </c>
      <c r="B437" s="24" t="str">
        <f>'DE ( Tarik barang retur )'!F414</f>
        <v>Apotek Bahari Raya Mampang Tegal Parang Mampang Prapatan</v>
      </c>
      <c r="C437" s="35">
        <f>'DE ( Tarik barang retur )'!G414</f>
        <v>6.2813E+16</v>
      </c>
      <c r="D437" s="24" t="str">
        <f>'DE ( Tarik barang retur )'!H414</f>
        <v>Jalan Mampang Prapatan VII No 33 RT 010 RW 03, Desa/Kel. Tegal Parang, Kec. Mampang Prapatan, Kota Jakarta Selatan</v>
      </c>
      <c r="E437" s="24" t="str">
        <f>'DE ( Tarik barang retur )'!D414</f>
        <v>250509072811426bGnxIt5Mj</v>
      </c>
      <c r="F437" s="24" t="str">
        <f>'DE ( Tarik barang retur )'!R414</f>
        <v>TMP-INV-2025/05/10/ 1565368 HERBABLEND DAILY HEALTH Hermed SIRUP Tarik Barang</v>
      </c>
      <c r="G437" s="36">
        <f>'DE ( Tarik barang retur )'!AF414</f>
        <v>46183</v>
      </c>
      <c r="H437" s="24"/>
      <c r="I437" s="24"/>
      <c r="J437" s="21" t="s">
        <v>5307</v>
      </c>
      <c r="K437" s="24"/>
      <c r="L437" s="24">
        <f t="shared" si="2"/>
        <v>1</v>
      </c>
      <c r="M437" s="24"/>
      <c r="N437" s="24"/>
      <c r="O437" s="24"/>
      <c r="P437" s="25"/>
      <c r="Q437" s="25"/>
      <c r="R437" s="25"/>
      <c r="S437" s="25"/>
      <c r="T437" s="25"/>
      <c r="U437" s="25"/>
      <c r="V437" s="25"/>
      <c r="W437" s="25"/>
      <c r="X437" s="25"/>
      <c r="Y437" s="25"/>
      <c r="Z437" s="25"/>
      <c r="AA437" s="25"/>
      <c r="AB437" s="25"/>
      <c r="AC437" s="25"/>
    </row>
    <row r="438">
      <c r="A438" s="24" t="str">
        <f>'DE ( Tarik barang retur )'!AC415</f>
        <v>AWBR-3317074402-01</v>
      </c>
      <c r="B438" s="24" t="str">
        <f>'DE ( Tarik barang retur )'!F415</f>
        <v>Apotek Inofarma Kebagusan</v>
      </c>
      <c r="C438" s="35" t="str">
        <f>'DE ( Tarik barang retur )'!G415</f>
        <v>62859-2661-1060</v>
      </c>
      <c r="D438" s="24" t="str">
        <f>'DE ( Tarik barang retur )'!H415</f>
        <v>Jl. Kebagusan Raya RT 007 RW 06, Kel. Kebagusan, Kec. Pasar Minggu, Jakarta Selatan</v>
      </c>
      <c r="E438" s="24" t="str">
        <f>'DE ( Tarik barang retur )'!D415</f>
        <v>26042407152473M3cV3Ptkhv</v>
      </c>
      <c r="F438" s="24" t="str">
        <f>'DE ( Tarik barang retur )'!R415</f>
        <v>TMP-INV-2026/04/25/ 2678001 EPISAN Sanbe SUSPENSI
1x EPISAN Sanbe SUSPENSI 500 MG/5 ML Tarik Barang</v>
      </c>
      <c r="G438" s="36">
        <f>'DE ( Tarik barang retur )'!AF415</f>
        <v>46183</v>
      </c>
      <c r="H438" s="22">
        <v>46183.0</v>
      </c>
      <c r="I438" s="22">
        <v>46185.0</v>
      </c>
      <c r="J438" s="21" t="s">
        <v>5294</v>
      </c>
      <c r="K438" s="24"/>
      <c r="L438" s="24">
        <f t="shared" si="2"/>
        <v>1</v>
      </c>
      <c r="M438" s="24"/>
      <c r="N438" s="24"/>
      <c r="O438" s="24"/>
      <c r="P438" s="25"/>
      <c r="Q438" s="25"/>
      <c r="R438" s="25"/>
      <c r="S438" s="25"/>
      <c r="T438" s="25"/>
      <c r="U438" s="25"/>
      <c r="V438" s="25"/>
      <c r="W438" s="25"/>
      <c r="X438" s="25"/>
      <c r="Y438" s="25"/>
      <c r="Z438" s="25"/>
      <c r="AA438" s="25"/>
      <c r="AB438" s="25"/>
      <c r="AC438" s="25"/>
    </row>
    <row r="439">
      <c r="A439" s="24" t="str">
        <f>'DE ( Tarik barang retur )'!AC416</f>
        <v>AWBR-3316496205-01</v>
      </c>
      <c r="B439" s="24" t="str">
        <f>'DE ( Tarik barang retur )'!F416</f>
        <v>Apotek Sehat Berkat Singajaya Jonggol</v>
      </c>
      <c r="C439" s="35">
        <f>'DE ( Tarik barang retur )'!G416</f>
        <v>6.28127E+17</v>
      </c>
      <c r="D439" s="24" t="str">
        <f>'DE ( Tarik barang retur )'!H416</f>
        <v>Ruko Citra Indah Festival, Blok CIF 08/10, Desa Singajaya Kecamatan Jonggol Kabupaten Bogor</v>
      </c>
      <c r="E439" s="24" t="str">
        <f>'DE ( Tarik barang retur )'!D416</f>
        <v>TMP</v>
      </c>
      <c r="F439" s="24" t="str">
        <f>'DE ( Tarik barang retur )'!R416</f>
        <v>TMP-INV-2025/03/25/ 1452052;
TMP-INV-2025/03/25/ 1452117;
TMP-INV-2025/04/15/ 1500712;
TMP-INV-2025/05/04/ 1549315;
TMP-INV-2025/03/25/ 1452201 HALOWELL C 500 Pertiwi Agung KAPLET Tarik Barang</v>
      </c>
      <c r="G439" s="36">
        <f>'DE ( Tarik barang retur )'!AF416</f>
        <v>46183</v>
      </c>
      <c r="H439" s="22">
        <v>46183.0</v>
      </c>
      <c r="I439" s="22">
        <v>46184.0</v>
      </c>
      <c r="J439" s="21" t="s">
        <v>5294</v>
      </c>
      <c r="K439" s="24"/>
      <c r="L439" s="24">
        <f t="shared" si="2"/>
        <v>1</v>
      </c>
      <c r="M439" s="24"/>
      <c r="N439" s="24"/>
      <c r="O439" s="24"/>
      <c r="P439" s="25"/>
      <c r="Q439" s="25"/>
      <c r="R439" s="25"/>
      <c r="S439" s="25"/>
      <c r="T439" s="25"/>
      <c r="U439" s="25"/>
      <c r="V439" s="25"/>
      <c r="W439" s="25"/>
      <c r="X439" s="25"/>
      <c r="Y439" s="25"/>
      <c r="Z439" s="25"/>
      <c r="AA439" s="25"/>
      <c r="AB439" s="25"/>
      <c r="AC439" s="25"/>
    </row>
    <row r="440">
      <c r="A440" s="24" t="str">
        <f>'DE ( Tarik barang retur )'!AC417</f>
        <v>AWBR-3316462291-01</v>
      </c>
      <c r="B440" s="24" t="str">
        <f>'DE ( Tarik barang retur )'!F417</f>
        <v>Apotek Pasfarma Cipayung Lubang Buaya Cipayung</v>
      </c>
      <c r="C440" s="35">
        <f>'DE ( Tarik barang retur )'!G417</f>
        <v>6.28232E+17</v>
      </c>
      <c r="D440" s="24" t="str">
        <f>'DE ( Tarik barang retur )'!H417</f>
        <v>Jl. Pd. Gede Raya No.18 P 1, RT.1/RW.8, Lubang Buaya, Kec. Cipayung, Kota Jakarta Timur</v>
      </c>
      <c r="E440" s="24" t="str">
        <f>'DE ( Tarik barang retur )'!D417</f>
        <v>TMP</v>
      </c>
      <c r="F440" s="24" t="str">
        <f>'DE ( Tarik barang retur )'!R417</f>
        <v>TMP-INV-2025/11/13/ 2123848 Tarik Barang</v>
      </c>
      <c r="G440" s="36">
        <f>'DE ( Tarik barang retur )'!AF417</f>
        <v>46183</v>
      </c>
      <c r="H440" s="22">
        <v>46184.0</v>
      </c>
      <c r="I440" s="22">
        <v>46184.0</v>
      </c>
      <c r="J440" s="21" t="s">
        <v>5294</v>
      </c>
      <c r="K440" s="24"/>
      <c r="L440" s="24">
        <f t="shared" si="2"/>
        <v>1</v>
      </c>
      <c r="M440" s="24"/>
      <c r="N440" s="24"/>
      <c r="O440" s="24"/>
      <c r="P440" s="25"/>
      <c r="Q440" s="25"/>
      <c r="R440" s="25"/>
      <c r="S440" s="25"/>
      <c r="T440" s="25"/>
      <c r="U440" s="25"/>
      <c r="V440" s="25"/>
      <c r="W440" s="25"/>
      <c r="X440" s="25"/>
      <c r="Y440" s="25"/>
      <c r="Z440" s="25"/>
      <c r="AA440" s="25"/>
      <c r="AB440" s="25"/>
      <c r="AC440" s="25"/>
    </row>
    <row r="441">
      <c r="A441" s="24" t="str">
        <f>'DE ( Tarik barang retur )'!AC418</f>
        <v>AWBR-3316459278-01</v>
      </c>
      <c r="B441" s="24" t="str">
        <f>'DE ( Tarik barang retur )'!F418</f>
        <v>Apotek Pasfarma Cipayung Lubang Buaya Cipayung</v>
      </c>
      <c r="C441" s="35">
        <f>'DE ( Tarik barang retur )'!G418</f>
        <v>6.28232E+17</v>
      </c>
      <c r="D441" s="24" t="str">
        <f>'DE ( Tarik barang retur )'!H418</f>
        <v>Jl. Pd. Gede Raya No.18 P 1, RT.1/RW.8, Lubang Buaya, Kec. Cipayung, Kota Jakarta Timur</v>
      </c>
      <c r="E441" s="24" t="str">
        <f>'DE ( Tarik barang retur )'!D418</f>
        <v>TMP</v>
      </c>
      <c r="F441" s="24" t="str">
        <f>'DE ( Tarik barang retur )'!R418</f>
        <v>TMP-INV-2025/11/13/ 2123848;
TMP-INV-2025/11/07/ 2103990 BIOCREAM Merck KRIM Tarik Barang</v>
      </c>
      <c r="G441" s="36">
        <f>'DE ( Tarik barang retur )'!AF418</f>
        <v>46183</v>
      </c>
      <c r="H441" s="22">
        <v>46184.0</v>
      </c>
      <c r="I441" s="22">
        <v>46184.0</v>
      </c>
      <c r="J441" s="21" t="s">
        <v>5294</v>
      </c>
      <c r="K441" s="24"/>
      <c r="L441" s="24">
        <f t="shared" si="2"/>
        <v>1</v>
      </c>
      <c r="M441" s="24"/>
      <c r="N441" s="24"/>
      <c r="O441" s="24"/>
      <c r="P441" s="25"/>
      <c r="Q441" s="25"/>
      <c r="R441" s="25"/>
      <c r="S441" s="25"/>
      <c r="T441" s="25"/>
      <c r="U441" s="25"/>
      <c r="V441" s="25"/>
      <c r="W441" s="25"/>
      <c r="X441" s="25"/>
      <c r="Y441" s="25"/>
      <c r="Z441" s="25"/>
      <c r="AA441" s="25"/>
      <c r="AB441" s="25"/>
      <c r="AC441" s="25"/>
    </row>
    <row r="442">
      <c r="A442" s="24" t="str">
        <f>'DE ( Tarik barang retur )'!AC419</f>
        <v>AWBR-3316406298-01</v>
      </c>
      <c r="B442" s="24" t="str">
        <f>'DE ( Tarik barang retur )'!F419</f>
        <v>Apotek Mina Farma Citaringgul Babakan Madang</v>
      </c>
      <c r="C442" s="35">
        <f>'DE ( Tarik barang retur )'!G419</f>
        <v>6.28953E+18</v>
      </c>
      <c r="D442" s="24" t="str">
        <f>'DE ( Tarik barang retur )'!H419</f>
        <v>Jl. Raya Citaringgul No. 15 Kp. Citaringgul RT. 001 RW. 003 Desa Citaringgul Kecamatan Babakan Madang Kabupaten Bogor</v>
      </c>
      <c r="E442" s="24" t="str">
        <f>'DE ( Tarik barang retur )'!D419</f>
        <v>26041502003050QMTN35Vo</v>
      </c>
      <c r="F442" s="24" t="str">
        <f>'DE ( Tarik barang retur )'!R419</f>
        <v>TMP-INV-2026/04/15/ 2640169 TOLAK ANGIN + MADU Sido Muncul CAIRAN ORAL
1x ERLAMYCETIN Erela TETES TELINGA Tarik Barang</v>
      </c>
      <c r="G442" s="36">
        <f>'DE ( Tarik barang retur )'!AF419</f>
        <v>46183</v>
      </c>
      <c r="H442" s="22">
        <v>46183.0</v>
      </c>
      <c r="I442" s="22">
        <v>46184.0</v>
      </c>
      <c r="J442" s="21" t="s">
        <v>5294</v>
      </c>
      <c r="K442" s="24"/>
      <c r="L442" s="24">
        <f t="shared" si="2"/>
        <v>1</v>
      </c>
      <c r="M442" s="24"/>
      <c r="N442" s="24"/>
      <c r="O442" s="24"/>
      <c r="P442" s="25"/>
      <c r="Q442" s="25"/>
      <c r="R442" s="25"/>
      <c r="S442" s="25"/>
      <c r="T442" s="25"/>
      <c r="U442" s="25"/>
      <c r="V442" s="25"/>
      <c r="W442" s="25"/>
      <c r="X442" s="25"/>
      <c r="Y442" s="25"/>
      <c r="Z442" s="25"/>
      <c r="AA442" s="25"/>
      <c r="AB442" s="25"/>
      <c r="AC442" s="25"/>
    </row>
    <row r="443">
      <c r="A443" s="24" t="str">
        <f>'DE ( Tarik barang retur )'!AC420</f>
        <v>AWBR-3315215147-01</v>
      </c>
      <c r="B443" s="24" t="str">
        <f>'DE ( Tarik barang retur )'!F420</f>
        <v>Apotek Mandala Medika Leuwigajah Cimahi Selatan</v>
      </c>
      <c r="C443" s="35">
        <f>'DE ( Tarik barang retur )'!G420</f>
        <v>6.28212E+17</v>
      </c>
      <c r="D443" s="24" t="str">
        <f>'DE ( Tarik barang retur )'!H420</f>
        <v>Jl. Kihapit Raya Timur No.20 RT.01 RW.08, Kelurahan Leuwigajah, Kec. Cimahi Selatan, Kota Cimahi</v>
      </c>
      <c r="E443" s="24" t="str">
        <f>'DE ( Tarik barang retur )'!D420</f>
        <v>26060103171250tQ4r6FGC7</v>
      </c>
      <c r="F443" s="24" t="str">
        <f>'DE ( Tarik barang retur )'!R420</f>
        <v>TMP-INV-2026/06/02/ 2805591 VENTOLIN INHALER CFC FREE Gsk 200 Doses Tarik Barang</v>
      </c>
      <c r="G443" s="36">
        <f>'DE ( Tarik barang retur )'!AF420</f>
        <v>46183</v>
      </c>
      <c r="H443" s="22">
        <v>46183.0</v>
      </c>
      <c r="I443" s="22">
        <v>46185.0</v>
      </c>
      <c r="J443" s="21" t="s">
        <v>5294</v>
      </c>
      <c r="K443" s="24"/>
      <c r="L443" s="24">
        <f t="shared" si="2"/>
        <v>1</v>
      </c>
      <c r="M443" s="24"/>
      <c r="N443" s="24"/>
      <c r="O443" s="24"/>
      <c r="P443" s="25"/>
      <c r="Q443" s="25"/>
      <c r="R443" s="25"/>
      <c r="S443" s="25"/>
      <c r="T443" s="25"/>
      <c r="U443" s="25"/>
      <c r="V443" s="25"/>
      <c r="W443" s="25"/>
      <c r="X443" s="25"/>
      <c r="Y443" s="25"/>
      <c r="Z443" s="25"/>
      <c r="AA443" s="25"/>
      <c r="AB443" s="25"/>
      <c r="AC443" s="25"/>
    </row>
    <row r="444">
      <c r="A444" s="24" t="str">
        <f>'DE ( Tarik barang retur )'!AC421</f>
        <v>AWBR-3312597598-01</v>
      </c>
      <c r="B444" s="24" t="str">
        <f>'DE ( Tarik barang retur )'!F421</f>
        <v>Apotek K24 Taman Semanan Indah Duri Kosambi Cengkareng</v>
      </c>
      <c r="C444" s="35">
        <f>'DE ( Tarik barang retur )'!G421</f>
        <v>6.28132E+17</v>
      </c>
      <c r="D444" s="24" t="str">
        <f>'DE ( Tarik barang retur )'!H421</f>
        <v>Taman Semanan Indah Blok D No. 5,RT 015, RW 011, Desa/Kel. Duri Kosambi, Kec. Cengkareng, Kota Jakarta Barat</v>
      </c>
      <c r="E444" s="24" t="str">
        <f>'DE ( Tarik barang retur )'!D421</f>
        <v>26053002060727XULuJ0Cl3</v>
      </c>
      <c r="F444" s="24" t="str">
        <f>'DE ( Tarik barang retur )'!R421</f>
        <v>TMP-INV-2026/05/30/ 2799400 Invoice: TMP-INV-2026/05/30/ 2799400
Full Return Tarik Barang</v>
      </c>
      <c r="G444" s="36">
        <f>'DE ( Tarik barang retur )'!AF421</f>
        <v>46183</v>
      </c>
      <c r="H444" s="22">
        <v>46184.0</v>
      </c>
      <c r="I444" s="22">
        <v>46186.0</v>
      </c>
      <c r="J444" s="21" t="s">
        <v>5294</v>
      </c>
      <c r="K444" s="24"/>
      <c r="L444" s="24">
        <f t="shared" si="2"/>
        <v>1</v>
      </c>
      <c r="M444" s="24"/>
      <c r="N444" s="24"/>
      <c r="O444" s="24"/>
      <c r="P444" s="25"/>
      <c r="Q444" s="25"/>
      <c r="R444" s="25"/>
      <c r="S444" s="25"/>
      <c r="T444" s="25"/>
      <c r="U444" s="25"/>
      <c r="V444" s="25"/>
      <c r="W444" s="25"/>
      <c r="X444" s="25"/>
      <c r="Y444" s="25"/>
      <c r="Z444" s="25"/>
      <c r="AA444" s="25"/>
      <c r="AB444" s="25"/>
      <c r="AC444" s="25"/>
    </row>
    <row r="445">
      <c r="A445" s="24" t="str">
        <f>'DE ( Tarik barang retur )'!AC422</f>
        <v>AWBR-3316457135-01</v>
      </c>
      <c r="B445" s="24" t="str">
        <f>'DE ( Tarik barang retur )'!F422</f>
        <v>Apotek K24 Taman Semanan Indah Duri Kosambi Cengkareng</v>
      </c>
      <c r="C445" s="35">
        <f>'DE ( Tarik barang retur )'!G422</f>
        <v>6.28132E+17</v>
      </c>
      <c r="D445" s="24" t="str">
        <f>'DE ( Tarik barang retur )'!H422</f>
        <v>Taman Semanan Indah Blok D No. 5,RT 015, RW 011, Desa/Kel. Duri Kosambi, Kec. Cengkareng, Kota Jakarta Barat</v>
      </c>
      <c r="E445" s="24" t="str">
        <f>'DE ( Tarik barang retur )'!D422</f>
        <v>26060502190988t5oOybyxB</v>
      </c>
      <c r="F445" s="24" t="str">
        <f>'DE ( Tarik barang retur )'!R422</f>
        <v>TMP-INV-2026/06/05/ 2821551 Invoice: TMP-INV-2026/06/05/ 2821551
Full Return Tarik Barang</v>
      </c>
      <c r="G445" s="36">
        <f>'DE ( Tarik barang retur )'!AF422</f>
        <v>46183</v>
      </c>
      <c r="H445" s="22">
        <v>46184.0</v>
      </c>
      <c r="I445" s="22">
        <v>46186.0</v>
      </c>
      <c r="J445" s="21" t="s">
        <v>5294</v>
      </c>
      <c r="K445" s="24"/>
      <c r="L445" s="24">
        <f t="shared" si="2"/>
        <v>1</v>
      </c>
      <c r="M445" s="24"/>
      <c r="N445" s="24"/>
      <c r="O445" s="24"/>
      <c r="P445" s="25"/>
      <c r="Q445" s="25"/>
      <c r="R445" s="25"/>
      <c r="S445" s="25"/>
      <c r="T445" s="25"/>
      <c r="U445" s="25"/>
      <c r="V445" s="25"/>
      <c r="W445" s="25"/>
      <c r="X445" s="25"/>
      <c r="Y445" s="25"/>
      <c r="Z445" s="25"/>
      <c r="AA445" s="25"/>
      <c r="AB445" s="25"/>
      <c r="AC445" s="25"/>
    </row>
    <row r="446">
      <c r="A446" s="24" t="str">
        <f>'DE ( Tarik barang retur )'!AC423</f>
        <v>AWBR-3316471417-01</v>
      </c>
      <c r="B446" s="24" t="str">
        <f>'DE ( Tarik barang retur )'!F423</f>
        <v>Apotek K24 Taman Semanan Indah Duri Kosambi Cengkareng</v>
      </c>
      <c r="C446" s="35">
        <f>'DE ( Tarik barang retur )'!G423</f>
        <v>6.28132E+17</v>
      </c>
      <c r="D446" s="24" t="str">
        <f>'DE ( Tarik barang retur )'!H423</f>
        <v>Taman Semanan Indah Blok D No. 5,RT 015, RW 011, Desa/Kel. Duri Kosambi, Kec. Cengkareng, Kota Jakarta Barat</v>
      </c>
      <c r="E446" s="24" t="str">
        <f>'DE ( Tarik barang retur )'!D423</f>
        <v>26052106054091MnONiE0Vh</v>
      </c>
      <c r="F446" s="24" t="str">
        <f>'DE ( Tarik barang retur )'!R423</f>
        <v>TMP-INV-2026/05/22/ 2773608 Invoice: TMP-INV-2026/05/22/ 2773608
Full Return Tarik Barang</v>
      </c>
      <c r="G446" s="36">
        <f>'DE ( Tarik barang retur )'!AF423</f>
        <v>46183</v>
      </c>
      <c r="H446" s="22">
        <v>46184.0</v>
      </c>
      <c r="I446" s="22">
        <v>46186.0</v>
      </c>
      <c r="J446" s="21" t="s">
        <v>5294</v>
      </c>
      <c r="K446" s="24"/>
      <c r="L446" s="24">
        <f t="shared" si="2"/>
        <v>1</v>
      </c>
      <c r="M446" s="24"/>
      <c r="N446" s="24"/>
      <c r="O446" s="24"/>
      <c r="P446" s="25"/>
      <c r="Q446" s="25"/>
      <c r="R446" s="25"/>
      <c r="S446" s="25"/>
      <c r="T446" s="25"/>
      <c r="U446" s="25"/>
      <c r="V446" s="25"/>
      <c r="W446" s="25"/>
      <c r="X446" s="25"/>
      <c r="Y446" s="25"/>
      <c r="Z446" s="25"/>
      <c r="AA446" s="25"/>
      <c r="AB446" s="25"/>
      <c r="AC446" s="25"/>
    </row>
    <row r="447">
      <c r="A447" s="24" t="str">
        <f>'DE ( Tarik barang retur )'!AC424</f>
        <v>AWBR-3316402267-01</v>
      </c>
      <c r="B447" s="24" t="str">
        <f>'DE ( Tarik barang retur )'!F424</f>
        <v>Apotek Zamzam Gunung Batu Gunungbatu Bogor Barat</v>
      </c>
      <c r="C447" s="35">
        <f>'DE ( Tarik barang retur )'!G424</f>
        <v>6.28226E+17</v>
      </c>
      <c r="D447" s="24" t="str">
        <f>'DE ( Tarik barang retur )'!H424</f>
        <v>Jl. Mayjend Ishak Djuarsa No.379 Rt.001 RW.012, Kel. Gunungbatu, Kec. Bogor Barat, Kota Bogor</v>
      </c>
      <c r="E447" s="24" t="str">
        <f>'DE ( Tarik barang retur )'!D424</f>
        <v>26052401371984JMs2Q5tGy</v>
      </c>
      <c r="F447" s="24" t="str">
        <f>'DE ( Tarik barang retur )'!R424</f>
        <v>TMP-INV-2026/05/24/ 2779533 ALOCLAIR PLUS MOUTHWASH Enseval OBAT KUMUR Tarik Barang</v>
      </c>
      <c r="G447" s="36">
        <f>'DE ( Tarik barang retur )'!AF424</f>
        <v>46183</v>
      </c>
      <c r="H447" s="22">
        <v>46183.0</v>
      </c>
      <c r="I447" s="22">
        <v>46185.0</v>
      </c>
      <c r="J447" s="21" t="s">
        <v>5294</v>
      </c>
      <c r="K447" s="24"/>
      <c r="L447" s="24">
        <f t="shared" si="2"/>
        <v>1</v>
      </c>
      <c r="M447" s="24"/>
      <c r="N447" s="24"/>
      <c r="O447" s="24"/>
      <c r="P447" s="25"/>
      <c r="Q447" s="25"/>
      <c r="R447" s="25"/>
      <c r="S447" s="25"/>
      <c r="T447" s="25"/>
      <c r="U447" s="25"/>
      <c r="V447" s="25"/>
      <c r="W447" s="25"/>
      <c r="X447" s="25"/>
      <c r="Y447" s="25"/>
      <c r="Z447" s="25"/>
      <c r="AA447" s="25"/>
      <c r="AB447" s="25"/>
      <c r="AC447" s="25"/>
    </row>
    <row r="448">
      <c r="A448" s="24" t="str">
        <f>'DE ( Tarik barang retur )'!AC425</f>
        <v>AWBR-3315231628-01</v>
      </c>
      <c r="B448" s="24" t="str">
        <f>'DE ( Tarik barang retur )'!F425</f>
        <v>Apotek Alka Farma Mekar Bakti Panongan</v>
      </c>
      <c r="C448" s="35" t="str">
        <f>'DE ( Tarik barang retur )'!G425</f>
        <v>6,29E+11</v>
      </c>
      <c r="D448" s="24" t="str">
        <f>'DE ( Tarik barang retur )'!H425</f>
        <v>Jl. Citra Raya Boulevard Ruko Blossom, Blok W01 / 05 R, Desa/Kel. Mekar Bakti, Kec. Panongan, Kabupaten Tangerang</v>
      </c>
      <c r="E448" s="24" t="str">
        <f>'DE ( Tarik barang retur )'!D425</f>
        <v>26041302101862ntWQlASUe</v>
      </c>
      <c r="F448" s="24" t="str">
        <f>'DE ( Tarik barang retur )'!R425</f>
        <v>TMP-INV-2026/04/13/ 2631207 Invoice: TMP-INV-2026/04/13/ 2631207
Full Return Tarik Barang</v>
      </c>
      <c r="G448" s="36">
        <f>'DE ( Tarik barang retur )'!AF425</f>
        <v>46183</v>
      </c>
      <c r="H448" s="22">
        <v>46184.0</v>
      </c>
      <c r="I448" s="22">
        <v>46185.0</v>
      </c>
      <c r="J448" s="21" t="s">
        <v>5294</v>
      </c>
      <c r="K448" s="24"/>
      <c r="L448" s="24">
        <f t="shared" si="2"/>
        <v>1</v>
      </c>
      <c r="M448" s="24"/>
      <c r="N448" s="24"/>
      <c r="O448" s="24"/>
      <c r="P448" s="25"/>
      <c r="Q448" s="25"/>
      <c r="R448" s="25"/>
      <c r="S448" s="25"/>
      <c r="T448" s="25"/>
      <c r="U448" s="25"/>
      <c r="V448" s="25"/>
      <c r="W448" s="25"/>
      <c r="X448" s="25"/>
      <c r="Y448" s="25"/>
      <c r="Z448" s="25"/>
      <c r="AA448" s="25"/>
      <c r="AB448" s="25"/>
      <c r="AC448" s="25"/>
    </row>
    <row r="449">
      <c r="A449" s="24" t="str">
        <f>'DE ( Tarik barang retur )'!AC426</f>
        <v>AWBR-3314581560-01</v>
      </c>
      <c r="B449" s="24" t="str">
        <f>'DE ( Tarik barang retur )'!F426</f>
        <v>Klinik Pratama Biomedilab Cisoka Cisoka</v>
      </c>
      <c r="C449" s="35">
        <f>'DE ( Tarik barang retur )'!G426</f>
        <v>6.28775E+17</v>
      </c>
      <c r="D449" s="24" t="str">
        <f>'DE ( Tarik barang retur )'!H426</f>
        <v>Kp. Lukun RT 001 RW 001, Desa/Kelurahan Cisoka, Kec. Cisoka, Kab. Tangerang</v>
      </c>
      <c r="E449" s="24" t="str">
        <f>'DE ( Tarik barang retur )'!D426</f>
        <v>26021201235345dX9tO75dH</v>
      </c>
      <c r="F449" s="24" t="str">
        <f>'DE ( Tarik barang retur )'!R426</f>
        <v>TMP-INV-2026/02/12/ 2424708 Invoice: TMP-INV-2026/02/12/ 2424708
Full Return Tarik Barang</v>
      </c>
      <c r="G449" s="36">
        <f>'DE ( Tarik barang retur )'!AF426</f>
        <v>46183</v>
      </c>
      <c r="H449" s="22">
        <v>46184.0</v>
      </c>
      <c r="I449" s="22">
        <v>46185.0</v>
      </c>
      <c r="J449" s="21" t="s">
        <v>5294</v>
      </c>
      <c r="K449" s="24"/>
      <c r="L449" s="24">
        <f t="shared" si="2"/>
        <v>1</v>
      </c>
      <c r="M449" s="24"/>
      <c r="N449" s="24"/>
      <c r="O449" s="24"/>
      <c r="P449" s="25"/>
      <c r="Q449" s="25"/>
      <c r="R449" s="25"/>
      <c r="S449" s="25"/>
      <c r="T449" s="25"/>
      <c r="U449" s="25"/>
      <c r="V449" s="25"/>
      <c r="W449" s="25"/>
      <c r="X449" s="25"/>
      <c r="Y449" s="25"/>
      <c r="Z449" s="25"/>
      <c r="AA449" s="25"/>
      <c r="AB449" s="25"/>
      <c r="AC449" s="25"/>
    </row>
    <row r="450">
      <c r="A450" s="24" t="str">
        <f>'DE ( Tarik barang retur )'!AC427</f>
        <v>AWBR-3316447204-01</v>
      </c>
      <c r="B450" s="24" t="str">
        <f>'DE ( Tarik barang retur )'!F427</f>
        <v>Apotek Ceremai Farma 2 Japara Japara</v>
      </c>
      <c r="C450" s="35">
        <f>'DE ( Tarik barang retur )'!G427</f>
        <v>6.28581E+17</v>
      </c>
      <c r="D450" s="24" t="str">
        <f>'DE ( Tarik barang retur )'!H427</f>
        <v>Jl.Raya Japara No 1 RT 013 RW 007 Dusun Wage Desa Japara Kec.Japara Kab.Kuningan</v>
      </c>
      <c r="E450" s="24" t="str">
        <f>'DE ( Tarik barang retur )'!D427</f>
        <v>26060406192408e32sBfZGp</v>
      </c>
      <c r="F450" s="24" t="str">
        <f>'DE ( Tarik barang retur )'!R427</f>
        <v>TMP-INV-2026/06/05/ 2822695 BODREXIN FLU dan BATUK PE Tempo Scan SIRUP RASA JERUK
8x OBH Surya Itrasal SIRUP
4x MINYAK ANGIN CAP KAPAK Yahi Utama
4x VESPERUM Ifars SUSPENSI
10x VICKS VAPORUB Darya-Varia Tarik Barang</v>
      </c>
      <c r="G450" s="36">
        <f>'DE ( Tarik barang retur )'!AF427</f>
        <v>46183</v>
      </c>
      <c r="H450" s="22">
        <v>46183.0</v>
      </c>
      <c r="I450" s="22">
        <v>46186.0</v>
      </c>
      <c r="J450" s="21" t="s">
        <v>5294</v>
      </c>
      <c r="K450" s="24"/>
      <c r="L450" s="24">
        <f t="shared" si="2"/>
        <v>1</v>
      </c>
      <c r="M450" s="24"/>
      <c r="N450" s="24"/>
      <c r="O450" s="24"/>
      <c r="P450" s="25"/>
      <c r="Q450" s="25"/>
      <c r="R450" s="25"/>
      <c r="S450" s="25"/>
      <c r="T450" s="25"/>
      <c r="U450" s="25"/>
      <c r="V450" s="25"/>
      <c r="W450" s="25"/>
      <c r="X450" s="25"/>
      <c r="Y450" s="25"/>
      <c r="Z450" s="25"/>
      <c r="AA450" s="25"/>
      <c r="AB450" s="25"/>
      <c r="AC450" s="25"/>
    </row>
    <row r="451">
      <c r="A451" s="24" t="str">
        <f>'DE ( Tarik barang retur )'!AC428</f>
        <v>AWBR-3316412495-01</v>
      </c>
      <c r="B451" s="24" t="str">
        <f>'DE ( Tarik barang retur )'!F428</f>
        <v>Apotek Mulya 2 Taraju Taraju</v>
      </c>
      <c r="C451" s="35">
        <f>'DE ( Tarik barang retur )'!G428</f>
        <v>6.2824E+16</v>
      </c>
      <c r="D451" s="24" t="str">
        <f>'DE ( Tarik barang retur )'!H428</f>
        <v>Jl. Raya Taraju RT. 003 RW. 004 Desa Taraju, Kecamatan Taraju, Kabupaten Tasikmalaya</v>
      </c>
      <c r="E451" s="24" t="str">
        <f>'DE ( Tarik barang retur )'!D428</f>
        <v>26052710055644eRQ7Te9B4</v>
      </c>
      <c r="F451" s="24" t="str">
        <f>'DE ( Tarik barang retur )'!R428</f>
        <v>TMP-INV-2026/05/28/ 2793570 OBH COMBI BATUK PLUS FLU RASA JAHE Combiphar SIRUP
5x OBH COMBI BATUK PLUS FLU RASA JAHE Combiphar SIRUP Tarik Barang</v>
      </c>
      <c r="G451" s="36">
        <f>'DE ( Tarik barang retur )'!AF428</f>
        <v>46183</v>
      </c>
      <c r="H451" s="22">
        <v>46183.0</v>
      </c>
      <c r="I451" s="22">
        <v>46185.0</v>
      </c>
      <c r="J451" s="21" t="s">
        <v>5294</v>
      </c>
      <c r="K451" s="24"/>
      <c r="L451" s="24">
        <f t="shared" si="2"/>
        <v>1</v>
      </c>
      <c r="M451" s="24"/>
      <c r="N451" s="24"/>
      <c r="O451" s="24"/>
      <c r="P451" s="25"/>
      <c r="Q451" s="25"/>
      <c r="R451" s="25"/>
      <c r="S451" s="25"/>
      <c r="T451" s="25"/>
      <c r="U451" s="25"/>
      <c r="V451" s="25"/>
      <c r="W451" s="25"/>
      <c r="X451" s="25"/>
      <c r="Y451" s="25"/>
      <c r="Z451" s="25"/>
      <c r="AA451" s="25"/>
      <c r="AB451" s="25"/>
      <c r="AC451" s="25"/>
    </row>
    <row r="452">
      <c r="A452" s="24" t="str">
        <f>'DE ( Tarik barang retur )'!AC429</f>
        <v>AWBR-3316410843-01</v>
      </c>
      <c r="B452" s="24" t="str">
        <f>'DE ( Tarik barang retur )'!F429</f>
        <v>Apotek Pranajaya Sukamaju Majalaya</v>
      </c>
      <c r="C452" s="35">
        <f>'DE ( Tarik barang retur )'!G429</f>
        <v>6.28222E+17</v>
      </c>
      <c r="D452" s="24" t="str">
        <f>'DE ( Tarik barang retur )'!H429</f>
        <v>Jl. Raya Laswi, No. 149, RT. 002, RW. 008, Desa/Kelurahan Sukamaju, Kec. Majalaya, Kab. Bandung</v>
      </c>
      <c r="E452" s="24" t="str">
        <f>'DE ( Tarik barang retur )'!D429</f>
        <v>26060104384503AvAsZwn6r</v>
      </c>
      <c r="F452" s="24" t="str">
        <f>'DE ( Tarik barang retur )'!R429</f>
        <v>TMP-INV-2026/06/02/ 2806005 INTERLAC Interbat DROPS Tarik Barang</v>
      </c>
      <c r="G452" s="36">
        <f>'DE ( Tarik barang retur )'!AF429</f>
        <v>46183</v>
      </c>
      <c r="H452" s="22">
        <v>46183.0</v>
      </c>
      <c r="I452" s="22">
        <v>46185.0</v>
      </c>
      <c r="J452" s="21" t="s">
        <v>5294</v>
      </c>
      <c r="K452" s="24"/>
      <c r="L452" s="24">
        <f t="shared" si="2"/>
        <v>1</v>
      </c>
      <c r="M452" s="24"/>
      <c r="N452" s="24"/>
      <c r="O452" s="24"/>
      <c r="P452" s="25"/>
      <c r="Q452" s="25"/>
      <c r="R452" s="25"/>
      <c r="S452" s="25"/>
      <c r="T452" s="25"/>
      <c r="U452" s="25"/>
      <c r="V452" s="25"/>
      <c r="W452" s="25"/>
      <c r="X452" s="25"/>
      <c r="Y452" s="25"/>
      <c r="Z452" s="25"/>
      <c r="AA452" s="25"/>
      <c r="AB452" s="25"/>
      <c r="AC452" s="25"/>
    </row>
    <row r="453">
      <c r="A453" s="24" t="str">
        <f>'DE ( Tarik barang retur )'!AC430</f>
        <v>AWBR-3313809368-01</v>
      </c>
      <c r="B453" s="24" t="str">
        <f>'DE ( Tarik barang retur )'!F430</f>
        <v>Apotek Sugeng</v>
      </c>
      <c r="C453" s="35">
        <f>'DE ( Tarik barang retur )'!G430</f>
        <v>8123566495</v>
      </c>
      <c r="D453" s="24" t="str">
        <f>'DE ( Tarik barang retur )'!H430</f>
        <v>Jalan Petemon Barat No. 136 Kelurahan Petemon Kecamatan Sawahan Kota Surabaya 60252</v>
      </c>
      <c r="E453" s="24" t="str">
        <f>'DE ( Tarik barang retur )'!D430</f>
        <v>26060203532922W9rOGOb83</v>
      </c>
      <c r="F453" s="24" t="str">
        <f>'DE ( Tarik barang retur )'!R430</f>
        <v>TMP-INV-2026/06/02/ 2807703 VOMIZOLE 40 Dexa Medica TABLET 40 MG Tarik Barang</v>
      </c>
      <c r="G453" s="36">
        <f>'DE ( Tarik barang retur )'!AF430</f>
        <v>46183</v>
      </c>
      <c r="H453" s="22">
        <v>46184.0</v>
      </c>
      <c r="I453" s="22">
        <v>46186.0</v>
      </c>
      <c r="J453" s="21" t="s">
        <v>5294</v>
      </c>
      <c r="K453" s="24"/>
      <c r="L453" s="24">
        <f t="shared" si="2"/>
        <v>1</v>
      </c>
      <c r="M453" s="24"/>
      <c r="N453" s="24"/>
      <c r="O453" s="24"/>
      <c r="P453" s="25"/>
      <c r="Q453" s="25"/>
      <c r="R453" s="25"/>
      <c r="S453" s="25"/>
      <c r="T453" s="25"/>
      <c r="U453" s="25"/>
      <c r="V453" s="25"/>
      <c r="W453" s="25"/>
      <c r="X453" s="25"/>
      <c r="Y453" s="25"/>
      <c r="Z453" s="25"/>
      <c r="AA453" s="25"/>
      <c r="AB453" s="25"/>
      <c r="AC453" s="25"/>
    </row>
    <row r="454">
      <c r="A454" s="24" t="str">
        <f>'DE ( Tarik barang retur )'!AC431</f>
        <v>AWBR-3315932564-01</v>
      </c>
      <c r="B454" s="24" t="str">
        <f>'DE ( Tarik barang retur )'!F431</f>
        <v>Apotek Sumber Waras 3631</v>
      </c>
      <c r="C454" s="35">
        <f>'DE ( Tarik barang retur )'!G431</f>
        <v>6.28524E+17</v>
      </c>
      <c r="D454" s="24" t="str">
        <f>'DE ( Tarik barang retur )'!H431</f>
        <v>Jalan Galunggung No.91A, Gading Kasri, Kecamatan Klojen, Kota Malang, Jawa Timur 65115</v>
      </c>
      <c r="E454" s="24" t="str">
        <f>'DE ( Tarik barang retur )'!D431</f>
        <v>26060407381253vaNrJJug1</v>
      </c>
      <c r="F454" s="24" t="str">
        <f>'DE ( Tarik barang retur )'!R431</f>
        <v>TMP-INV-2026/06/04/ 2818625 ANDALAN ALAT UJI KEHAMILAN MIDSTREAM Dkt Tarik Barang</v>
      </c>
      <c r="G454" s="36">
        <f>'DE ( Tarik barang retur )'!AF431</f>
        <v>46183</v>
      </c>
      <c r="H454" s="22">
        <v>46184.0</v>
      </c>
      <c r="I454" s="22">
        <v>46186.0</v>
      </c>
      <c r="J454" s="21" t="s">
        <v>5294</v>
      </c>
      <c r="K454" s="24"/>
      <c r="L454" s="24">
        <f t="shared" si="2"/>
        <v>1</v>
      </c>
      <c r="M454" s="24"/>
      <c r="N454" s="24"/>
      <c r="O454" s="24"/>
      <c r="P454" s="25"/>
      <c r="Q454" s="25"/>
      <c r="R454" s="25"/>
      <c r="S454" s="25"/>
      <c r="T454" s="25"/>
      <c r="U454" s="25"/>
      <c r="V454" s="25"/>
      <c r="W454" s="25"/>
      <c r="X454" s="25"/>
      <c r="Y454" s="25"/>
      <c r="Z454" s="25"/>
      <c r="AA454" s="25"/>
      <c r="AB454" s="25"/>
      <c r="AC454" s="25"/>
    </row>
    <row r="455">
      <c r="A455" s="24" t="str">
        <f>'DE ( Tarik barang retur )'!AC432</f>
        <v>AWBR-3315344953-01</v>
      </c>
      <c r="B455" s="24" t="str">
        <f>'DE ( Tarik barang retur )'!F432</f>
        <v>Apotek Mira Farma</v>
      </c>
      <c r="C455" s="35">
        <f>'DE ( Tarik barang retur )'!G432</f>
        <v>6.28524E+17</v>
      </c>
      <c r="D455" s="24" t="str">
        <f>'DE ( Tarik barang retur )'!H432</f>
        <v>Jl. Bukit Berbunga No 5 RT.03 RW.08, Desa/Kelurahan Sidomulyo,Kecamatan Batu, Kota Batu,Jawa Timur,65317</v>
      </c>
      <c r="E455" s="24" t="str">
        <f>'DE ( Tarik barang retur )'!D432</f>
        <v>26060403040661dOCnjISe</v>
      </c>
      <c r="F455" s="24" t="str">
        <f>'DE ( Tarik barang retur )'!R432</f>
        <v>TMP-INV-2026/06/04/ 2818586 ATORVASTATIN CALCIUM Hexpharm TABLET 10 MG Tarik Barang</v>
      </c>
      <c r="G455" s="36">
        <f>'DE ( Tarik barang retur )'!AF432</f>
        <v>46183</v>
      </c>
      <c r="H455" s="22">
        <v>46184.0</v>
      </c>
      <c r="I455" s="22">
        <v>46185.0</v>
      </c>
      <c r="J455" s="21" t="s">
        <v>5294</v>
      </c>
      <c r="K455" s="24"/>
      <c r="L455" s="24">
        <f t="shared" si="2"/>
        <v>1</v>
      </c>
      <c r="M455" s="24"/>
      <c r="N455" s="24"/>
      <c r="O455" s="24"/>
      <c r="P455" s="25"/>
      <c r="Q455" s="25"/>
      <c r="R455" s="25"/>
      <c r="S455" s="25"/>
      <c r="T455" s="25"/>
      <c r="U455" s="25"/>
      <c r="V455" s="25"/>
      <c r="W455" s="25"/>
      <c r="X455" s="25"/>
      <c r="Y455" s="25"/>
      <c r="Z455" s="25"/>
      <c r="AA455" s="25"/>
      <c r="AB455" s="25"/>
      <c r="AC455" s="25"/>
    </row>
    <row r="456">
      <c r="A456" s="24" t="str">
        <f>'DE ( Tarik barang retur )'!AC433</f>
        <v>AWBR-3315192715-01</v>
      </c>
      <c r="B456" s="24" t="str">
        <f>'DE ( Tarik barang retur )'!F433</f>
        <v>Apotek Blimbing Farma</v>
      </c>
      <c r="C456" s="35">
        <f>'DE ( Tarik barang retur )'!G433</f>
        <v>6.28571E+17</v>
      </c>
      <c r="D456" s="24" t="str">
        <f>'DE ( Tarik barang retur )'!H433</f>
        <v>Jalan Blimbing - Gudo no 22 Blimbing, Kecamatan Gudo, Kabupaten Jombang 61463</v>
      </c>
      <c r="E456" s="24" t="str">
        <f>'DE ( Tarik barang retur )'!D433</f>
        <v>26060305422663HpKHomBuG</v>
      </c>
      <c r="F456" s="24" t="str">
        <f>'DE ( Tarik barang retur )'!R433</f>
        <v>TMP-INV-2026/06/04/ 2818267 SAKATONIK ACTIV MULTIVITAMIN ZAT BESI Saka Farma KAPLET Tarik Barang</v>
      </c>
      <c r="G456" s="36">
        <f>'DE ( Tarik barang retur )'!AF433</f>
        <v>46183</v>
      </c>
      <c r="H456" s="22">
        <v>46183.0</v>
      </c>
      <c r="I456" s="22">
        <v>46186.0</v>
      </c>
      <c r="J456" s="21" t="s">
        <v>5294</v>
      </c>
      <c r="K456" s="24"/>
      <c r="L456" s="24">
        <f t="shared" si="2"/>
        <v>1</v>
      </c>
      <c r="M456" s="24"/>
      <c r="N456" s="24"/>
      <c r="O456" s="24"/>
      <c r="P456" s="25"/>
      <c r="Q456" s="25"/>
      <c r="R456" s="25"/>
      <c r="S456" s="25"/>
      <c r="T456" s="25"/>
      <c r="U456" s="25"/>
      <c r="V456" s="25"/>
      <c r="W456" s="25"/>
      <c r="X456" s="25"/>
      <c r="Y456" s="25"/>
      <c r="Z456" s="25"/>
      <c r="AA456" s="25"/>
      <c r="AB456" s="25"/>
      <c r="AC456" s="25"/>
    </row>
    <row r="457">
      <c r="A457" s="24" t="str">
        <f>'DE ( Tarik barang retur )'!AC434</f>
        <v>AWBR-3315512096-01</v>
      </c>
      <c r="B457" s="24" t="str">
        <f>'DE ( Tarik barang retur )'!F434</f>
        <v>Klinik Pratama Paradise Gununganyar Rungkut Menanggal</v>
      </c>
      <c r="C457" s="35">
        <f>'DE ( Tarik barang retur )'!G434</f>
        <v>6.28224E+17</v>
      </c>
      <c r="D457" s="24" t="str">
        <f>'DE ( Tarik barang retur )'!H434</f>
        <v>Jl. Rungkut Menanggal Harapan J No. 9,Desa/Kelurahan Rungkut Menanggal,Kecamatan Gunung Anyar,Kota Surabaya,Jawa Timur,60293</v>
      </c>
      <c r="E457" s="24" t="str">
        <f>'DE ( Tarik barang retur )'!D434</f>
        <v>26052604393871RtTQS52o</v>
      </c>
      <c r="F457" s="24" t="str">
        <f>'DE ( Tarik barang retur )'!R434</f>
        <v>TMP-INV-2026/05/26/ 2788234 PRAXION Pharos DROPS Tarik Barang</v>
      </c>
      <c r="G457" s="36">
        <f>'DE ( Tarik barang retur )'!AF434</f>
        <v>46183</v>
      </c>
      <c r="H457" s="22">
        <v>46184.0</v>
      </c>
      <c r="I457" s="22">
        <v>46186.0</v>
      </c>
      <c r="J457" s="21" t="s">
        <v>5294</v>
      </c>
      <c r="K457" s="24"/>
      <c r="L457" s="24">
        <f t="shared" si="2"/>
        <v>1</v>
      </c>
      <c r="M457" s="24"/>
      <c r="N457" s="24"/>
      <c r="O457" s="24"/>
      <c r="P457" s="25"/>
      <c r="Q457" s="25"/>
      <c r="R457" s="25"/>
      <c r="S457" s="25"/>
      <c r="T457" s="25"/>
      <c r="U457" s="25"/>
      <c r="V457" s="25"/>
      <c r="W457" s="25"/>
      <c r="X457" s="25"/>
      <c r="Y457" s="25"/>
      <c r="Z457" s="25"/>
      <c r="AA457" s="25"/>
      <c r="AB457" s="25"/>
      <c r="AC457" s="25"/>
    </row>
    <row r="458">
      <c r="A458" s="24" t="str">
        <f>'DE ( Tarik barang retur )'!AC435</f>
        <v>AWBR-3316409881-01</v>
      </c>
      <c r="B458" s="24" t="str">
        <f>'DE ( Tarik barang retur )'!F435</f>
        <v>Apotek Umi</v>
      </c>
      <c r="C458" s="35">
        <f>'DE ( Tarik barang retur )'!G435</f>
        <v>6.2818E+16</v>
      </c>
      <c r="D458" s="24" t="str">
        <f>'DE ( Tarik barang retur )'!H435</f>
        <v>Jalan Karah Agung No.29 ( Lama : Jalan Karah Agung No. 18 ) , Kelurahan Karah, Kecamatan Jambangan, Kota Surabaya, Jawa Timur 60232</v>
      </c>
      <c r="E458" s="24" t="str">
        <f>'DE ( Tarik barang retur )'!D435</f>
        <v>25020402431048nmpg5BhwV</v>
      </c>
      <c r="F458" s="24" t="str">
        <f>'DE ( Tarik barang retur )'!R435</f>
        <v>TMP-INV-2025/02/04/ 1328383 AKILEN Sanbe TETES MATA Tarik Barang</v>
      </c>
      <c r="G458" s="36">
        <f>'DE ( Tarik barang retur )'!AF435</f>
        <v>46183</v>
      </c>
      <c r="H458" s="22">
        <v>46184.0</v>
      </c>
      <c r="I458" s="22">
        <v>46186.0</v>
      </c>
      <c r="J458" s="21" t="s">
        <v>5294</v>
      </c>
      <c r="K458" s="24"/>
      <c r="L458" s="24">
        <f t="shared" si="2"/>
        <v>1</v>
      </c>
      <c r="M458" s="24"/>
      <c r="N458" s="24"/>
      <c r="O458" s="24"/>
      <c r="P458" s="25"/>
      <c r="Q458" s="25"/>
      <c r="R458" s="25"/>
      <c r="S458" s="25"/>
      <c r="T458" s="25"/>
      <c r="U458" s="25"/>
      <c r="V458" s="25"/>
      <c r="W458" s="25"/>
      <c r="X458" s="25"/>
      <c r="Y458" s="25"/>
      <c r="Z458" s="25"/>
      <c r="AA458" s="25"/>
      <c r="AB458" s="25"/>
      <c r="AC458" s="25"/>
    </row>
    <row r="459">
      <c r="A459" s="24" t="str">
        <f>'DE ( Tarik barang retur )'!AC436</f>
        <v>AWBR-3314599015-01</v>
      </c>
      <c r="B459" s="24" t="str">
        <f>'DE ( Tarik barang retur )'!F436</f>
        <v>Apotek HDK Farma</v>
      </c>
      <c r="C459" s="35">
        <f>'DE ( Tarik barang retur )'!G436</f>
        <v>6.28129E+17</v>
      </c>
      <c r="D459" s="24" t="str">
        <f>'DE ( Tarik barang retur )'!H436</f>
        <v>Dusun Sumbergesing Kulon RT 1 RW 8 Gedangan, Kecamatan Gedangan, Kabupaten Malang 65178</v>
      </c>
      <c r="E459" s="24" t="str">
        <f>'DE ( Tarik barang retur )'!D436</f>
        <v>25070211580634U34f7yvyX</v>
      </c>
      <c r="F459" s="24" t="str">
        <f>'DE ( Tarik barang retur )'!R436</f>
        <v>TMP-INV-2025/07/03/ 1706708 LACTOGEN PREMATURE and LBW Nestle Tarik Barang</v>
      </c>
      <c r="G459" s="36">
        <f>'DE ( Tarik barang retur )'!AF436</f>
        <v>46183</v>
      </c>
      <c r="H459" s="24"/>
      <c r="I459" s="24"/>
      <c r="J459" s="21" t="s">
        <v>5287</v>
      </c>
      <c r="K459" s="24"/>
      <c r="L459" s="24">
        <f t="shared" si="2"/>
        <v>1</v>
      </c>
      <c r="M459" s="25" t="str">
        <f>GET_LOCATION(D459,"city")</f>
        <v>Kabupaten Malang</v>
      </c>
      <c r="N459" s="25" t="str">
        <f>GET_LOCATION(D459,"province")</f>
        <v>Jawa Timur</v>
      </c>
      <c r="O459" s="25" t="str">
        <f>VLOOKUP(M459,'Mapping Area'!A:C,3,0)</f>
        <v>EJ</v>
      </c>
      <c r="P459" s="25"/>
      <c r="Q459" s="25"/>
      <c r="R459" s="25"/>
      <c r="S459" s="25"/>
      <c r="T459" s="25"/>
      <c r="U459" s="25"/>
      <c r="V459" s="25"/>
      <c r="W459" s="25"/>
      <c r="X459" s="25"/>
      <c r="Y459" s="25"/>
      <c r="Z459" s="25"/>
      <c r="AA459" s="25"/>
      <c r="AB459" s="25"/>
      <c r="AC459" s="25"/>
    </row>
    <row r="460">
      <c r="A460" s="24" t="str">
        <f>'DE ( Tarik barang retur )'!AC437</f>
        <v>AWBR-3316292738-01</v>
      </c>
      <c r="B460" s="24" t="str">
        <f>'DE ( Tarik barang retur )'!F437</f>
        <v>Apotek Mojogedang</v>
      </c>
      <c r="C460" s="35">
        <f>'DE ( Tarik barang retur )'!G437</f>
        <v>6.28516E+17</v>
      </c>
      <c r="D460" s="24" t="str">
        <f>'DE ( Tarik barang retur )'!H437</f>
        <v>Jl.Raya Mojogedang-Jamus, Dersono RT 02 RW 04 Kel.Mojogedang, Kec.Mojogedang, Kabupaten Karanganyar Jawa Tengah 57752</v>
      </c>
      <c r="E460" s="24" t="str">
        <f>'DE ( Tarik barang retur )'!D437</f>
        <v>26060407574653WMpP7vbQD</v>
      </c>
      <c r="F460" s="24" t="str">
        <f>'DE ( Tarik barang retur )'!R437</f>
        <v>TMP-INV-2026/06/04/ 2818661 DUPHASTON Abbott TABLET 10 MG
1x MICROGEST 200 Lapi KAPSUL Tarik Barang</v>
      </c>
      <c r="G460" s="36">
        <f>'DE ( Tarik barang retur )'!AF437</f>
        <v>46183</v>
      </c>
      <c r="H460" s="22">
        <v>46185.0</v>
      </c>
      <c r="I460" s="22">
        <v>46187.0</v>
      </c>
      <c r="J460" s="21" t="s">
        <v>5294</v>
      </c>
      <c r="K460" s="24"/>
      <c r="L460" s="24">
        <f t="shared" si="2"/>
        <v>1</v>
      </c>
      <c r="M460" s="24"/>
      <c r="N460" s="24"/>
      <c r="O460" s="24"/>
      <c r="P460" s="25"/>
      <c r="Q460" s="25"/>
      <c r="R460" s="25"/>
      <c r="S460" s="25"/>
      <c r="T460" s="25"/>
      <c r="U460" s="25"/>
      <c r="V460" s="25"/>
      <c r="W460" s="25"/>
      <c r="X460" s="25"/>
      <c r="Y460" s="25"/>
      <c r="Z460" s="25"/>
      <c r="AA460" s="25"/>
      <c r="AB460" s="25"/>
      <c r="AC460" s="25"/>
    </row>
    <row r="461">
      <c r="A461" s="24" t="str">
        <f>'DE ( Tarik barang retur )'!AC438</f>
        <v>AWBR-3316406573-01</v>
      </c>
      <c r="B461" s="24" t="str">
        <f>'DE ( Tarik barang retur )'!F438</f>
        <v>Apotek K24 Giri</v>
      </c>
      <c r="C461" s="35">
        <f>'DE ( Tarik barang retur )'!G438</f>
        <v>6.28155E+17</v>
      </c>
      <c r="D461" s="24" t="str">
        <f>'DE ( Tarik barang retur )'!H438</f>
        <v>Jl. Sunan Prapen No. 31,Desa Klangonan, Kecamatan Kebomas, Kabupaten Gresik, Jawa Timur,61124</v>
      </c>
      <c r="E461" s="24" t="str">
        <f>'DE ( Tarik barang retur )'!D438</f>
        <v>TMP</v>
      </c>
      <c r="F461" s="24" t="str">
        <f>'DE ( Tarik barang retur )'!R438</f>
        <v>TMP-INV-2026/05/22/ 2773645;
TMP-INV-2026/05/28/ 2791457 PROVE D3 Kalbe DROPS Tarik Barang</v>
      </c>
      <c r="G461" s="36">
        <f>'DE ( Tarik barang retur )'!AF438</f>
        <v>46183</v>
      </c>
      <c r="H461" s="22">
        <v>46183.0</v>
      </c>
      <c r="I461" s="22">
        <v>46186.0</v>
      </c>
      <c r="J461" s="21" t="s">
        <v>5294</v>
      </c>
      <c r="K461" s="24"/>
      <c r="L461" s="24">
        <f t="shared" si="2"/>
        <v>1</v>
      </c>
      <c r="M461" s="24"/>
      <c r="N461" s="24"/>
      <c r="O461" s="24"/>
      <c r="P461" s="25"/>
      <c r="Q461" s="25"/>
      <c r="R461" s="25"/>
      <c r="S461" s="25"/>
      <c r="T461" s="25"/>
      <c r="U461" s="25"/>
      <c r="V461" s="25"/>
      <c r="W461" s="25"/>
      <c r="X461" s="25"/>
      <c r="Y461" s="25"/>
      <c r="Z461" s="25"/>
      <c r="AA461" s="25"/>
      <c r="AB461" s="25"/>
      <c r="AC461" s="25"/>
    </row>
    <row r="462">
      <c r="A462" s="24" t="str">
        <f>'DE ( Tarik barang retur )'!AC439</f>
        <v>AWBR-3316487905-01</v>
      </c>
      <c r="B462" s="24" t="str">
        <f>'DE ( Tarik barang retur )'!F439</f>
        <v>Apotek Abima Farma</v>
      </c>
      <c r="C462" s="35">
        <f>'DE ( Tarik barang retur )'!G439</f>
        <v>6.28121E+17</v>
      </c>
      <c r="D462" s="24" t="str">
        <f>'DE ( Tarik barang retur )'!H439</f>
        <v>Jl. Pattimura No.77 Banjarsari RT.003 RW.003 Lorog, Tawangsari, Sukoharjo</v>
      </c>
      <c r="E462" s="24" t="str">
        <f>'DE ( Tarik barang retur )'!D439</f>
        <v>25101010484885dGkJKolm</v>
      </c>
      <c r="F462" s="24" t="str">
        <f>'DE ( Tarik barang retur )'!R439</f>
        <v>TMP-INV-2025/10/11/ 2014376 BLACKMORES PREGNANCY &amp; BREAST-FEEDING GOLD Kalbe KAPSUL Tarik Barang</v>
      </c>
      <c r="G462" s="36">
        <f>'DE ( Tarik barang retur )'!AF439</f>
        <v>46183</v>
      </c>
      <c r="H462" s="22">
        <v>46186.0</v>
      </c>
      <c r="I462" s="22">
        <v>46188.0</v>
      </c>
      <c r="J462" s="21" t="s">
        <v>5294</v>
      </c>
      <c r="K462" s="24"/>
      <c r="L462" s="24">
        <f t="shared" si="2"/>
        <v>1</v>
      </c>
      <c r="M462" s="24"/>
      <c r="N462" s="24"/>
      <c r="O462" s="24"/>
      <c r="P462" s="25"/>
      <c r="Q462" s="25"/>
      <c r="R462" s="25"/>
      <c r="S462" s="25"/>
      <c r="T462" s="25"/>
      <c r="U462" s="25"/>
      <c r="V462" s="25"/>
      <c r="W462" s="25"/>
      <c r="X462" s="25"/>
      <c r="Y462" s="25"/>
      <c r="Z462" s="25"/>
      <c r="AA462" s="25"/>
      <c r="AB462" s="25"/>
      <c r="AC462" s="25"/>
    </row>
    <row r="463">
      <c r="A463" s="24" t="str">
        <f>'DE ( Tarik barang retur )'!AC440</f>
        <v>AWBR-3313862107-01</v>
      </c>
      <c r="B463" s="24" t="str">
        <f>'DE ( Tarik barang retur )'!F440</f>
        <v>Apotek Banana</v>
      </c>
      <c r="C463" s="35">
        <f>'DE ( Tarik barang retur )'!G440</f>
        <v>6.2851E+16</v>
      </c>
      <c r="D463" s="24" t="str">
        <f>'DE ( Tarik barang retur )'!H440</f>
        <v>Jalan Sukodono No. 532 RT. 001 RW. 005 Kelurahan Kebonananom, Kecamatan Gedangan, Kabupaten Sidoarjo, Jawa Timur 61254</v>
      </c>
      <c r="E463" s="24" t="str">
        <f>'DE ( Tarik barang retur )'!D440</f>
        <v>260602032456496vXWzMWL8H</v>
      </c>
      <c r="F463" s="24" t="str">
        <f>'DE ( Tarik barang retur )'!R440</f>
        <v>TMP-INV-2026/06/02/ 2807254 ATORVASTATIN CALCIUM Hexpharm TABLET 20 MG Tarik Barang</v>
      </c>
      <c r="G463" s="36">
        <f>'DE ( Tarik barang retur )'!AF440</f>
        <v>46183</v>
      </c>
      <c r="H463" s="22">
        <v>46184.0</v>
      </c>
      <c r="I463" s="22">
        <v>46186.0</v>
      </c>
      <c r="J463" s="21" t="s">
        <v>5294</v>
      </c>
      <c r="K463" s="24"/>
      <c r="L463" s="24">
        <f t="shared" si="2"/>
        <v>1</v>
      </c>
      <c r="M463" s="24"/>
      <c r="N463" s="24"/>
      <c r="O463" s="24"/>
      <c r="P463" s="25"/>
      <c r="Q463" s="25"/>
      <c r="R463" s="25"/>
      <c r="S463" s="25"/>
      <c r="T463" s="25"/>
      <c r="U463" s="25"/>
      <c r="V463" s="25"/>
      <c r="W463" s="25"/>
      <c r="X463" s="25"/>
      <c r="Y463" s="25"/>
      <c r="Z463" s="25"/>
      <c r="AA463" s="25"/>
      <c r="AB463" s="25"/>
      <c r="AC463" s="25"/>
    </row>
    <row r="464">
      <c r="A464" s="24" t="str">
        <f>'DE ( Tarik barang retur )'!AC441</f>
        <v>AWBR-3316282253-01</v>
      </c>
      <c r="B464" s="24" t="str">
        <f>'DE ( Tarik barang retur )'!F441</f>
        <v>Apotek Narendra</v>
      </c>
      <c r="C464" s="35">
        <f>'DE ( Tarik barang retur )'!G441</f>
        <v>6.28775E+17</v>
      </c>
      <c r="D464" s="24" t="str">
        <f>'DE ( Tarik barang retur )'!H441</f>
        <v>Jalan Raya Bungah No. 8 Dusun Nongkokerep, Desa/Kelurahan Bungah, Kecamatan Bungah, Kabupaten Gresik, Jawa Timur 61152</v>
      </c>
      <c r="E464" s="24" t="str">
        <f>'DE ( Tarik barang retur )'!D441</f>
        <v>26060600264439DSa1exGcL</v>
      </c>
      <c r="F464" s="24" t="str">
        <f>'DE ( Tarik barang retur )'!R441</f>
        <v>TMP-INV-2026/06/06/ 2824355 CALADINE BABY LIQUID SOAP WITH ANTI IRRITANT Galenium Tarik Barang</v>
      </c>
      <c r="G464" s="36">
        <f>'DE ( Tarik barang retur )'!AF441</f>
        <v>46183</v>
      </c>
      <c r="H464" s="22">
        <v>46183.0</v>
      </c>
      <c r="I464" s="22">
        <v>46186.0</v>
      </c>
      <c r="J464" s="21" t="s">
        <v>5294</v>
      </c>
      <c r="K464" s="24"/>
      <c r="L464" s="24">
        <f t="shared" si="2"/>
        <v>1</v>
      </c>
      <c r="M464" s="24"/>
      <c r="N464" s="24"/>
      <c r="O464" s="24"/>
      <c r="P464" s="25"/>
      <c r="Q464" s="25"/>
      <c r="R464" s="25"/>
      <c r="S464" s="25"/>
      <c r="T464" s="25"/>
      <c r="U464" s="25"/>
      <c r="V464" s="25"/>
      <c r="W464" s="25"/>
      <c r="X464" s="25"/>
      <c r="Y464" s="25"/>
      <c r="Z464" s="25"/>
      <c r="AA464" s="25"/>
      <c r="AB464" s="25"/>
      <c r="AC464" s="25"/>
    </row>
    <row r="465">
      <c r="A465" s="24" t="str">
        <f>'DE ( Tarik barang retur )'!AC442</f>
        <v>AWBR-3315271575-01</v>
      </c>
      <c r="B465" s="24" t="str">
        <f>'DE ( Tarik barang retur )'!F442</f>
        <v>Apotek Narendra</v>
      </c>
      <c r="C465" s="35">
        <f>'DE ( Tarik barang retur )'!G442</f>
        <v>6.28775E+17</v>
      </c>
      <c r="D465" s="24" t="str">
        <f>'DE ( Tarik barang retur )'!H442</f>
        <v>Jalan Raya Bungah No. 8 Dusun Nongkokerep, Desa/Kelurahan Bungah, Kecamatan Bungah, Kabupaten Gresik, Jawa Timur 61152</v>
      </c>
      <c r="E465" s="24" t="str">
        <f>'DE ( Tarik barang retur )'!D442</f>
        <v>TMP</v>
      </c>
      <c r="F465" s="24" t="str">
        <f>'DE ( Tarik barang retur )'!R442</f>
        <v>TMP-INV-2026/06/03/ 2811645;
TMP-INV-2026/06/03/ 2812618 ANADEX Interbat SIRUP Tarik Barang</v>
      </c>
      <c r="G465" s="36">
        <f>'DE ( Tarik barang retur )'!AF442</f>
        <v>46183</v>
      </c>
      <c r="H465" s="22">
        <v>46183.0</v>
      </c>
      <c r="I465" s="22">
        <v>46186.0</v>
      </c>
      <c r="J465" s="21" t="s">
        <v>5294</v>
      </c>
      <c r="K465" s="24"/>
      <c r="L465" s="24">
        <f t="shared" si="2"/>
        <v>1</v>
      </c>
      <c r="M465" s="24"/>
      <c r="N465" s="24"/>
      <c r="O465" s="24"/>
      <c r="P465" s="25"/>
      <c r="Q465" s="25"/>
      <c r="R465" s="25"/>
      <c r="S465" s="25"/>
      <c r="T465" s="25"/>
      <c r="U465" s="25"/>
      <c r="V465" s="25"/>
      <c r="W465" s="25"/>
      <c r="X465" s="25"/>
      <c r="Y465" s="25"/>
      <c r="Z465" s="25"/>
      <c r="AA465" s="25"/>
      <c r="AB465" s="25"/>
      <c r="AC465" s="25"/>
    </row>
    <row r="466">
      <c r="A466" s="24" t="str">
        <f>'DE ( Tarik barang retur )'!AC443</f>
        <v>AWBR-3316632445-01</v>
      </c>
      <c r="B466" s="24" t="str">
        <f>'DE ( Tarik barang retur )'!F443</f>
        <v>Apotek Jambangan Jambangan Jambangan</v>
      </c>
      <c r="C466" s="35">
        <f>'DE ( Tarik barang retur )'!G443</f>
        <v>6.28123E+16</v>
      </c>
      <c r="D466" s="24" t="str">
        <f>'DE ( Tarik barang retur )'!H443</f>
        <v>Jalan Jambangan Kebon Agung No. 39 A Kelurahan Jambangan, Kecamatan Jambangan, Kota Surabaya, Jawa Timur 60232</v>
      </c>
      <c r="E466" s="24" t="str">
        <f>'DE ( Tarik barang retur )'!D443</f>
        <v>260608034413196oyCUu5Wa</v>
      </c>
      <c r="F466" s="24" t="str">
        <f>'DE ( Tarik barang retur )'!R443</f>
        <v>TMP-INV-2026/06/08/ 2830421 D3-1000 Pyridam TABLET Tarik Barang</v>
      </c>
      <c r="G466" s="36">
        <f>'DE ( Tarik barang retur )'!AF443</f>
        <v>46183</v>
      </c>
      <c r="H466" s="22">
        <v>46184.0</v>
      </c>
      <c r="I466" s="22">
        <v>46186.0</v>
      </c>
      <c r="J466" s="21" t="s">
        <v>5294</v>
      </c>
      <c r="K466" s="24"/>
      <c r="L466" s="24">
        <f t="shared" si="2"/>
        <v>1</v>
      </c>
      <c r="M466" s="24"/>
      <c r="N466" s="24"/>
      <c r="O466" s="24"/>
      <c r="P466" s="25"/>
      <c r="Q466" s="25"/>
      <c r="R466" s="25"/>
      <c r="S466" s="25"/>
      <c r="T466" s="25"/>
      <c r="U466" s="25"/>
      <c r="V466" s="25"/>
      <c r="W466" s="25"/>
      <c r="X466" s="25"/>
      <c r="Y466" s="25"/>
      <c r="Z466" s="25"/>
      <c r="AA466" s="25"/>
      <c r="AB466" s="25"/>
      <c r="AC466" s="25"/>
    </row>
    <row r="467">
      <c r="A467" s="24" t="str">
        <f>'DE ( Tarik barang retur )'!AC444</f>
        <v>AWBR-3315232541-01</v>
      </c>
      <c r="B467" s="24" t="str">
        <f>'DE ( Tarik barang retur )'!F444</f>
        <v>Apotek Avicenna Sukorame Gresik</v>
      </c>
      <c r="C467" s="35">
        <f>'DE ( Tarik barang retur )'!G444</f>
        <v>6.28151E+17</v>
      </c>
      <c r="D467" s="24" t="str">
        <f>'DE ( Tarik barang retur )'!H444</f>
        <v>Jalan Dokter Soetomo No.160 Kelurahan Sukorame, Kecamatan Gresik, Kabupaten Gresik, Jawa Timur 61121</v>
      </c>
      <c r="E467" s="24" t="str">
        <f>'DE ( Tarik barang retur )'!D444</f>
        <v>241021010259310QwNWXE8VG</v>
      </c>
      <c r="F467" s="24" t="str">
        <f>'DE ( Tarik barang retur )'!R444</f>
        <v>TMP-INV-2024/10/21/ 1083722 POLIDENT DENTURE ADHESIVE FLAVOUR FREE Haleon KRIM Tarik Barang</v>
      </c>
      <c r="G467" s="36">
        <f>'DE ( Tarik barang retur )'!AF444</f>
        <v>46183</v>
      </c>
      <c r="H467" s="22">
        <v>46183.0</v>
      </c>
      <c r="I467" s="22">
        <v>46186.0</v>
      </c>
      <c r="J467" s="21" t="s">
        <v>5294</v>
      </c>
      <c r="K467" s="24"/>
      <c r="L467" s="24">
        <f t="shared" si="2"/>
        <v>1</v>
      </c>
      <c r="M467" s="24"/>
      <c r="N467" s="24"/>
      <c r="O467" s="24"/>
      <c r="P467" s="25"/>
      <c r="Q467" s="25"/>
      <c r="R467" s="25"/>
      <c r="S467" s="25"/>
      <c r="T467" s="25"/>
      <c r="U467" s="25"/>
      <c r="V467" s="25"/>
      <c r="W467" s="25"/>
      <c r="X467" s="25"/>
      <c r="Y467" s="25"/>
      <c r="Z467" s="25"/>
      <c r="AA467" s="25"/>
      <c r="AB467" s="25"/>
      <c r="AC467" s="25"/>
    </row>
    <row r="468">
      <c r="A468" s="24" t="str">
        <f>'DE ( Tarik barang retur )'!AC445</f>
        <v>AWBR-3312465437-01</v>
      </c>
      <c r="B468" s="24" t="str">
        <f>'DE ( Tarik barang retur )'!F445</f>
        <v>Apotek K24 Brigjen Katamso Janti Waru</v>
      </c>
      <c r="C468" s="35">
        <f>'DE ( Tarik barang retur )'!G445</f>
        <v>6.28822E+17</v>
      </c>
      <c r="D468" s="24" t="str">
        <f>'DE ( Tarik barang retur )'!H445</f>
        <v>Jalan Brigjen Katamso No. 38B Kelurahan Janti, Kecamatan Waru, Kabupaten Sidoarjo, Jawa Timur 61256</v>
      </c>
      <c r="E468" s="24" t="str">
        <f>'DE ( Tarik barang retur )'!D445</f>
        <v>26053015531586xFSp4Pq2XY</v>
      </c>
      <c r="F468" s="24" t="str">
        <f>'DE ( Tarik barang retur )'!R445</f>
        <v>TMP-INV-2026/05/31/ 2800982 STERIMAR BLOCKED NOSE BABY Hypens Tarik Barang</v>
      </c>
      <c r="G468" s="36">
        <f>'DE ( Tarik barang retur )'!AF445</f>
        <v>46183</v>
      </c>
      <c r="H468" s="22">
        <v>46185.0</v>
      </c>
      <c r="I468" s="22">
        <v>46186.0</v>
      </c>
      <c r="J468" s="21" t="s">
        <v>5294</v>
      </c>
      <c r="K468" s="24"/>
      <c r="L468" s="24">
        <f t="shared" si="2"/>
        <v>1</v>
      </c>
      <c r="M468" s="24"/>
      <c r="N468" s="24"/>
      <c r="O468" s="24"/>
      <c r="P468" s="25"/>
      <c r="Q468" s="25"/>
      <c r="R468" s="25"/>
      <c r="S468" s="25"/>
      <c r="T468" s="25"/>
      <c r="U468" s="25"/>
      <c r="V468" s="25"/>
      <c r="W468" s="25"/>
      <c r="X468" s="25"/>
      <c r="Y468" s="25"/>
      <c r="Z468" s="25"/>
      <c r="AA468" s="25"/>
      <c r="AB468" s="25"/>
      <c r="AC468" s="25"/>
    </row>
    <row r="469">
      <c r="A469" s="24" t="str">
        <f>'DE ( Tarik barang retur )'!AC446</f>
        <v>AWBR-3314613307-01</v>
      </c>
      <c r="B469" s="24" t="str">
        <f>'DE ( Tarik barang retur )'!F446</f>
        <v>Apotek Sumber Waras Sentanan Kranggan</v>
      </c>
      <c r="C469" s="35">
        <f>'DE ( Tarik barang retur )'!G446</f>
        <v>6.28221E+17</v>
      </c>
      <c r="D469" s="24" t="str">
        <f>'DE ( Tarik barang retur )'!H446</f>
        <v>Jalan PB. Sudirman No.106, Mergelo, Kelurahan Sentanan, Kecamatan Magersari, Kota Mojokerto, Jawa Timur 61312</v>
      </c>
      <c r="E469" s="24" t="str">
        <f>'DE ( Tarik barang retur )'!D446</f>
        <v>26060304280117KOYre9v5</v>
      </c>
      <c r="F469" s="24" t="str">
        <f>'DE ( Tarik barang retur )'!R446</f>
        <v>TMP-INV-2026/06/04/ 2814803 PARASOL SUNCREEN LOTION Surya Dermato SPF 30 Tarik Barang</v>
      </c>
      <c r="G469" s="36">
        <f>'DE ( Tarik barang retur )'!AF446</f>
        <v>46183</v>
      </c>
      <c r="H469" s="22">
        <v>46183.0</v>
      </c>
      <c r="I469" s="22">
        <v>46186.0</v>
      </c>
      <c r="J469" s="21" t="s">
        <v>5294</v>
      </c>
      <c r="K469" s="24"/>
      <c r="L469" s="24">
        <f t="shared" si="2"/>
        <v>1</v>
      </c>
      <c r="M469" s="24"/>
      <c r="N469" s="24"/>
      <c r="O469" s="24"/>
      <c r="P469" s="25"/>
      <c r="Q469" s="25"/>
      <c r="R469" s="25"/>
      <c r="S469" s="25"/>
      <c r="T469" s="25"/>
      <c r="U469" s="25"/>
      <c r="V469" s="25"/>
      <c r="W469" s="25"/>
      <c r="X469" s="25"/>
      <c r="Y469" s="25"/>
      <c r="Z469" s="25"/>
      <c r="AA469" s="25"/>
      <c r="AB469" s="25"/>
      <c r="AC469" s="25"/>
    </row>
    <row r="470">
      <c r="A470" s="24" t="str">
        <f>'DE ( Tarik barang retur )'!AC447</f>
        <v>AWBR-3315167140-01</v>
      </c>
      <c r="B470" s="24" t="str">
        <f>'DE ( Tarik barang retur )'!F447</f>
        <v>Apotek Kimi Farma Ngadirejo Kota</v>
      </c>
      <c r="C470" s="35">
        <f>'DE ( Tarik barang retur )'!G447</f>
        <v>6.28911E+16</v>
      </c>
      <c r="D470" s="24" t="str">
        <f>'DE ( Tarik barang retur )'!H447</f>
        <v>Jl. Selowarih RT.004 RW 005,Desa/Kelurahan Ngadirejo,Kecamatan Kota,Kota Kediri,Jawa Timur,64122</v>
      </c>
      <c r="E470" s="24" t="str">
        <f>'DE ( Tarik barang retur )'!D447</f>
        <v>2606030509130284rK37EEz</v>
      </c>
      <c r="F470" s="24" t="str">
        <f>'DE ( Tarik barang retur )'!R447</f>
        <v>TMP-INV-2026/06/04/ 2818326 SALONPAS Hisamitsu Tarik Barang</v>
      </c>
      <c r="G470" s="36">
        <f>'DE ( Tarik barang retur )'!AF447</f>
        <v>46183</v>
      </c>
      <c r="H470" s="24"/>
      <c r="I470" s="24"/>
      <c r="J470" s="21" t="s">
        <v>5287</v>
      </c>
      <c r="K470" s="24"/>
      <c r="L470" s="24">
        <f t="shared" si="2"/>
        <v>1</v>
      </c>
      <c r="M470" s="25" t="str">
        <f>GET_LOCATION(D470,"city")</f>
        <v>Kota Kediri</v>
      </c>
      <c r="N470" s="25" t="str">
        <f>GET_LOCATION(D470,"province")</f>
        <v>Jawa Timur</v>
      </c>
      <c r="O470" s="25" t="str">
        <f>VLOOKUP(M470,'Mapping Area'!A:C,3,0)</f>
        <v>EJ</v>
      </c>
      <c r="P470" s="25"/>
      <c r="Q470" s="25"/>
      <c r="R470" s="25"/>
      <c r="S470" s="25"/>
      <c r="T470" s="25"/>
      <c r="U470" s="25"/>
      <c r="V470" s="25"/>
      <c r="W470" s="25"/>
      <c r="X470" s="25"/>
      <c r="Y470" s="25"/>
      <c r="Z470" s="25"/>
      <c r="AA470" s="25"/>
      <c r="AB470" s="25"/>
      <c r="AC470" s="25"/>
    </row>
    <row r="471">
      <c r="A471" s="24" t="str">
        <f>'DE ( Tarik barang retur )'!AC448</f>
        <v>AWBR-3316444994-01</v>
      </c>
      <c r="B471" s="24" t="str">
        <f>'DE ( Tarik barang retur )'!F448</f>
        <v>Apotek Bareng Bareng Klojen</v>
      </c>
      <c r="C471" s="35">
        <f>'DE ( Tarik barang retur )'!G448</f>
        <v>6.28136E+17</v>
      </c>
      <c r="D471" s="24" t="str">
        <f>'DE ( Tarik barang retur )'!H448</f>
        <v>Jl. IR Rais No. 284,Desa/Kelurahan Bareng,Kecamatan Klojen,Kota Malang, Jawa Timur,65116</v>
      </c>
      <c r="E471" s="24" t="str">
        <f>'DE ( Tarik barang retur )'!D448</f>
        <v>26060306370241z6NgMHkxk</v>
      </c>
      <c r="F471" s="24" t="str">
        <f>'DE ( Tarik barang retur )'!R448</f>
        <v>TMP-INV-2026/06/04/ 2815273 ANDALUT Dkt 5 MG Tarik Barang</v>
      </c>
      <c r="G471" s="36">
        <f>'DE ( Tarik barang retur )'!AF448</f>
        <v>46183</v>
      </c>
      <c r="H471" s="22">
        <v>46187.0</v>
      </c>
      <c r="I471" s="22">
        <v>46188.0</v>
      </c>
      <c r="J471" s="21" t="s">
        <v>5294</v>
      </c>
      <c r="K471" s="24"/>
      <c r="L471" s="24">
        <f t="shared" si="2"/>
        <v>1</v>
      </c>
      <c r="M471" s="24"/>
      <c r="N471" s="24"/>
      <c r="O471" s="24"/>
      <c r="P471" s="25"/>
      <c r="Q471" s="25"/>
      <c r="R471" s="25"/>
      <c r="S471" s="25"/>
      <c r="T471" s="25"/>
      <c r="U471" s="25"/>
      <c r="V471" s="25"/>
      <c r="W471" s="25"/>
      <c r="X471" s="25"/>
      <c r="Y471" s="25"/>
      <c r="Z471" s="25"/>
      <c r="AA471" s="25"/>
      <c r="AB471" s="25"/>
      <c r="AC471" s="25"/>
    </row>
    <row r="472">
      <c r="A472" s="24" t="str">
        <f>'DE ( Tarik barang retur )'!AC449</f>
        <v>AWBR-3316461759-01</v>
      </c>
      <c r="B472" s="24" t="str">
        <f>'DE ( Tarik barang retur )'!F449</f>
        <v>Apotek Subur Medika Tegal Harum Denpasar Barat</v>
      </c>
      <c r="C472" s="35">
        <f>'DE ( Tarik barang retur )'!G449</f>
        <v>6.28596E+17</v>
      </c>
      <c r="D472" s="24" t="str">
        <f>'DE ( Tarik barang retur )'!H449</f>
        <v>Jalan Gunung Rinjani IX C No 2C, Banjar Sanga Agung, Kel. Tegal Harum, Kec. Denpasar Barat, Kota Denpasar, Provinsi Bali,80119</v>
      </c>
      <c r="E472" s="24" t="str">
        <f>'DE ( Tarik barang retur )'!D449</f>
        <v>26060603120943hRMO2UEFV</v>
      </c>
      <c r="F472" s="24" t="str">
        <f>'DE ( Tarik barang retur )'!R449</f>
        <v>TMP-INV-2026/06/06/ 2825486 Invoice: TMP-INV-2026/06/06/ 2825486
Full Return Tarik Barang</v>
      </c>
      <c r="G472" s="36">
        <f>'DE ( Tarik barang retur )'!AF449</f>
        <v>46183</v>
      </c>
      <c r="H472" s="22">
        <v>46183.0</v>
      </c>
      <c r="I472" s="22">
        <v>46187.0</v>
      </c>
      <c r="J472" s="21" t="s">
        <v>5294</v>
      </c>
      <c r="K472" s="24"/>
      <c r="L472" s="24">
        <f t="shared" si="2"/>
        <v>1</v>
      </c>
      <c r="M472" s="24"/>
      <c r="N472" s="24"/>
      <c r="O472" s="24"/>
      <c r="P472" s="25"/>
      <c r="Q472" s="25"/>
      <c r="R472" s="25"/>
      <c r="S472" s="25"/>
      <c r="T472" s="25"/>
      <c r="U472" s="25"/>
      <c r="V472" s="25"/>
      <c r="W472" s="25"/>
      <c r="X472" s="25"/>
      <c r="Y472" s="25"/>
      <c r="Z472" s="25"/>
      <c r="AA472" s="25"/>
      <c r="AB472" s="25"/>
      <c r="AC472" s="25"/>
    </row>
    <row r="473">
      <c r="A473" s="24" t="str">
        <f>'DE ( Tarik barang retur )'!AC450</f>
        <v>AWBR-3316471432-01</v>
      </c>
      <c r="B473" s="24" t="str">
        <f>'DE ( Tarik barang retur )'!F450</f>
        <v>Apotek K24 Mlajah Mlajah Bangkalan</v>
      </c>
      <c r="C473" s="35">
        <f>'DE ( Tarik barang retur )'!G450</f>
        <v>6.28133E+17</v>
      </c>
      <c r="D473" s="24" t="str">
        <f>'DE ( Tarik barang retur )'!H450</f>
        <v>Jl. RE. Martadinata No.13,Desa/Kelurahan Mlajah,Kecamatan Bangkalan, Kabupaten Bangkalan,Jawa Timur,69116</v>
      </c>
      <c r="E473" s="24" t="str">
        <f>'DE ( Tarik barang retur )'!D450</f>
        <v>260520044358483PoaH5Gglo</v>
      </c>
      <c r="F473" s="24" t="str">
        <f>'DE ( Tarik barang retur )'!R450</f>
        <v>TMP-INV-2026/05/20/ 2767425 ANDALAN STRIP UJI KEHAMILAN PRIBADI Dkt Tarik Barang</v>
      </c>
      <c r="G473" s="36">
        <f>'DE ( Tarik barang retur )'!AF450</f>
        <v>46183</v>
      </c>
      <c r="H473" s="24"/>
      <c r="I473" s="24"/>
      <c r="J473" s="21" t="s">
        <v>5287</v>
      </c>
      <c r="K473" s="24"/>
      <c r="L473" s="24">
        <f t="shared" si="2"/>
        <v>1</v>
      </c>
      <c r="M473" s="25" t="str">
        <f>GET_LOCATION(D473,"city")</f>
        <v>Kabupaten Gresik</v>
      </c>
      <c r="N473" s="25" t="str">
        <f>GET_LOCATION(D473,"province")</f>
        <v>Jawa Timur</v>
      </c>
      <c r="O473" s="25" t="str">
        <f>VLOOKUP(M473,'Mapping Area'!A:C,3,0)</f>
        <v>EJ</v>
      </c>
      <c r="P473" s="25"/>
      <c r="Q473" s="25"/>
      <c r="R473" s="25"/>
      <c r="S473" s="25"/>
      <c r="T473" s="25"/>
      <c r="U473" s="25"/>
      <c r="V473" s="25"/>
      <c r="W473" s="25"/>
      <c r="X473" s="25"/>
      <c r="Y473" s="25"/>
      <c r="Z473" s="25"/>
      <c r="AA473" s="25"/>
      <c r="AB473" s="25"/>
      <c r="AC473" s="25"/>
    </row>
    <row r="474">
      <c r="A474" s="24" t="str">
        <f>'DE ( Tarik barang retur )'!AC451</f>
        <v>AWBR-3316413001-01</v>
      </c>
      <c r="B474" s="24" t="str">
        <f>'DE ( Tarik barang retur )'!F451</f>
        <v>Apotek Laras Farma Batubulan Sukawati</v>
      </c>
      <c r="C474" s="35">
        <f>'DE ( Tarik barang retur )'!G451</f>
        <v>6.28786E+17</v>
      </c>
      <c r="D474" s="24" t="str">
        <f>'DE ( Tarik barang retur )'!H451</f>
        <v>Jalan Raya Batubulan,Desa/Kelurahan Batubulan,Kecamatan Sukawati,Kabupaten Gianyar,Bali,80238</v>
      </c>
      <c r="E474" s="24" t="str">
        <f>'DE ( Tarik barang retur )'!D451</f>
        <v>25032600442022AtocbiDxE</v>
      </c>
      <c r="F474" s="24" t="str">
        <f>'DE ( Tarik barang retur )'!R451</f>
        <v>TMP-INV-2025/03/26/ 1455771 MARIMER HYPERTONIC SEA WATER SOLUTION Phapros NASAL SPRAY Tarik Barang</v>
      </c>
      <c r="G474" s="36">
        <f>'DE ( Tarik barang retur )'!AF451</f>
        <v>46183</v>
      </c>
      <c r="H474" s="22">
        <v>46185.0</v>
      </c>
      <c r="I474" s="22">
        <v>46187.0</v>
      </c>
      <c r="J474" s="21" t="s">
        <v>5294</v>
      </c>
      <c r="K474" s="24"/>
      <c r="L474" s="24">
        <f t="shared" si="2"/>
        <v>1</v>
      </c>
      <c r="M474" s="24"/>
      <c r="N474" s="24"/>
      <c r="O474" s="24"/>
      <c r="P474" s="25"/>
      <c r="Q474" s="25"/>
      <c r="R474" s="25"/>
      <c r="S474" s="25"/>
      <c r="T474" s="25"/>
      <c r="U474" s="25"/>
      <c r="V474" s="25"/>
      <c r="W474" s="25"/>
      <c r="X474" s="25"/>
      <c r="Y474" s="25"/>
      <c r="Z474" s="25"/>
      <c r="AA474" s="25"/>
      <c r="AB474" s="25"/>
      <c r="AC474" s="25"/>
    </row>
    <row r="475">
      <c r="A475" s="24" t="str">
        <f>'DE ( Tarik barang retur )'!AC452</f>
        <v>AWBR-3315933594-01</v>
      </c>
      <c r="B475" s="24" t="str">
        <f>'DE ( Tarik barang retur )'!F452</f>
        <v>Apotek Indobat Padma Penatih Denpasar Utara</v>
      </c>
      <c r="C475" s="35">
        <f>'DE ( Tarik barang retur )'!G452</f>
        <v>6.28124E+17</v>
      </c>
      <c r="D475" s="24" t="str">
        <f>'DE ( Tarik barang retur )'!H452</f>
        <v>Jl. Padma No. 3, Desa/Kelurahan Peguyangan Kangin, Kecamatan Denpasar Utara,Kota Denpasar,Bali,80115</v>
      </c>
      <c r="E475" s="24" t="str">
        <f>'DE ( Tarik barang retur )'!D452</f>
        <v>26060503414763y01yloICG4</v>
      </c>
      <c r="F475" s="24" t="str">
        <f>'DE ( Tarik barang retur )'!R452</f>
        <v>TMP-INV-2026/06/05/ 2821856 IMBOOST BONE Soho TABLET EFFERVESCENT Tarik Barang</v>
      </c>
      <c r="G475" s="36">
        <f>'DE ( Tarik barang retur )'!AF452</f>
        <v>46183</v>
      </c>
      <c r="H475" s="22">
        <v>46183.0</v>
      </c>
      <c r="I475" s="22">
        <v>46186.0</v>
      </c>
      <c r="J475" s="21" t="s">
        <v>5294</v>
      </c>
      <c r="K475" s="24"/>
      <c r="L475" s="24">
        <f t="shared" si="2"/>
        <v>1</v>
      </c>
      <c r="M475" s="24"/>
      <c r="N475" s="24"/>
      <c r="O475" s="24"/>
      <c r="P475" s="25"/>
      <c r="Q475" s="25"/>
      <c r="R475" s="25"/>
      <c r="S475" s="25"/>
      <c r="T475" s="25"/>
      <c r="U475" s="25"/>
      <c r="V475" s="25"/>
      <c r="W475" s="25"/>
      <c r="X475" s="25"/>
      <c r="Y475" s="25"/>
      <c r="Z475" s="25"/>
      <c r="AA475" s="25"/>
      <c r="AB475" s="25"/>
      <c r="AC475" s="25"/>
    </row>
    <row r="476">
      <c r="A476" s="24" t="str">
        <f>'DE ( Tarik barang retur )'!AC453</f>
        <v>AWBR-3316254885-01</v>
      </c>
      <c r="B476" s="24" t="str">
        <f>'DE ( Tarik barang retur )'!F453</f>
        <v>Apotek K24 Tamantirto Tamantirto Kasihan</v>
      </c>
      <c r="C476" s="35">
        <f>'DE ( Tarik barang retur )'!G453</f>
        <v>6.28222E+17</v>
      </c>
      <c r="D476" s="24" t="str">
        <f>'DE ( Tarik barang retur )'!H453</f>
        <v>Jl. Garuda 1-2, Gatak, Desa/Kelurahan Tamantirto, Kecamatan Kasihan,Kabupaten Bantul,Daerah Istimewa Yogyakarta,55184</v>
      </c>
      <c r="E476" s="24" t="str">
        <f>'DE ( Tarik barang retur )'!D453</f>
        <v>26060502283386bd21QLXyl</v>
      </c>
      <c r="F476" s="24" t="str">
        <f>'DE ( Tarik barang retur )'!R453</f>
        <v>TMP-INV-2026/06/05/ 2819987 YOUVIT OMEGA-3 KIDS RASA PERSIK, JERUK, RASBERI Yupi - DUS Tarik Barang</v>
      </c>
      <c r="G476" s="36">
        <f>'DE ( Tarik barang retur )'!AF453</f>
        <v>46183</v>
      </c>
      <c r="H476" s="22">
        <v>46185.0</v>
      </c>
      <c r="I476" s="22">
        <v>46186.0</v>
      </c>
      <c r="J476" s="21" t="s">
        <v>5294</v>
      </c>
      <c r="K476" s="24"/>
      <c r="L476" s="24">
        <f t="shared" si="2"/>
        <v>1</v>
      </c>
      <c r="M476" s="24"/>
      <c r="N476" s="24"/>
      <c r="O476" s="24"/>
      <c r="P476" s="25"/>
      <c r="Q476" s="25"/>
      <c r="R476" s="25"/>
      <c r="S476" s="25"/>
      <c r="T476" s="25"/>
      <c r="U476" s="25"/>
      <c r="V476" s="25"/>
      <c r="W476" s="25"/>
      <c r="X476" s="25"/>
      <c r="Y476" s="25"/>
      <c r="Z476" s="25"/>
      <c r="AA476" s="25"/>
      <c r="AB476" s="25"/>
      <c r="AC476" s="25"/>
    </row>
    <row r="477">
      <c r="A477" s="24" t="str">
        <f>'DE ( Tarik barang retur )'!AC454</f>
        <v>AWBR-3315465454-01</v>
      </c>
      <c r="B477" s="24" t="str">
        <f>'DE ( Tarik barang retur )'!F454</f>
        <v>Apotek K24 Blok O Banguntapan Banguntapan</v>
      </c>
      <c r="C477" s="35">
        <f>'DE ( Tarik barang retur )'!G454</f>
        <v>6.28133E+17</v>
      </c>
      <c r="D477" s="24" t="str">
        <f>'DE ( Tarik barang retur )'!H454</f>
        <v>Perum Janti Residence Kav RK 80 Maguwo RT 27 KD IV Wonocatur,Desa/Kelurahan Banguntapan, Kecamatan Banguntapan, Kabupaten Bantul,Daerah Istimewa Yogyakarta,55198</v>
      </c>
      <c r="E477" s="24" t="str">
        <f>'DE ( Tarik barang retur )'!D454</f>
        <v>TMP</v>
      </c>
      <c r="F477" s="24" t="str">
        <f>'DE ( Tarik barang retur )'!R454</f>
        <v>TMP-INV-2025/08/05/ 1804023 GLUMIN XR Dexa Medica KAPLET 750 MG Tarik Barang</v>
      </c>
      <c r="G477" s="36">
        <f>'DE ( Tarik barang retur )'!AF454</f>
        <v>46183</v>
      </c>
      <c r="H477" s="24"/>
      <c r="I477" s="24"/>
      <c r="J477" s="21" t="s">
        <v>5287</v>
      </c>
      <c r="K477" s="24"/>
      <c r="L477" s="24">
        <f t="shared" si="2"/>
        <v>1</v>
      </c>
      <c r="M477" s="25" t="str">
        <f t="shared" ref="M477:M478" si="3">GET_LOCATION(D477,"city")</f>
        <v>Kabupaten Bantul</v>
      </c>
      <c r="N477" s="25" t="str">
        <f t="shared" ref="N477:N478" si="4">GET_LOCATION(D477,"province")</f>
        <v>Daerah Istimewa Yogyakarta</v>
      </c>
      <c r="O477" s="25" t="str">
        <f>VLOOKUP(M477,'Mapping Area'!A:C,3,0)</f>
        <v>CJ</v>
      </c>
      <c r="P477" s="25"/>
      <c r="Q477" s="25"/>
      <c r="R477" s="25"/>
      <c r="S477" s="25"/>
      <c r="T477" s="25"/>
      <c r="U477" s="25"/>
      <c r="V477" s="25"/>
      <c r="W477" s="25"/>
      <c r="X477" s="25"/>
      <c r="Y477" s="25"/>
      <c r="Z477" s="25"/>
      <c r="AA477" s="25"/>
      <c r="AB477" s="25"/>
      <c r="AC477" s="25"/>
    </row>
    <row r="478">
      <c r="A478" s="24" t="str">
        <f>'DE ( Tarik barang retur )'!AC455</f>
        <v>AWBR-3316456006-01</v>
      </c>
      <c r="B478" s="24" t="str">
        <f>'DE ( Tarik barang retur )'!F455</f>
        <v>Apotek Rahayu Dawuhan Sengon Purwodadi</v>
      </c>
      <c r="C478" s="35">
        <f>'DE ( Tarik barang retur )'!G455</f>
        <v>6.28787E+17</v>
      </c>
      <c r="D478" s="24" t="str">
        <f>'DE ( Tarik barang retur )'!H455</f>
        <v>Dusun Sawiran RT.009 RW.006,Desa/Kelurahan Dawuhan Sengon,Kecamatan Purwodadi,Kabupaten Pasuruan,Jawa Timur,67163</v>
      </c>
      <c r="E478" s="24" t="str">
        <f>'DE ( Tarik barang retur )'!D455</f>
        <v>24112901435900hjsHORuX7</v>
      </c>
      <c r="F478" s="24" t="str">
        <f>'DE ( Tarik barang retur )'!R455</f>
        <v>TMP-INV-2024/11/29/ 1169353 ACTIFED GSK SIRUP Tarik Barang</v>
      </c>
      <c r="G478" s="36">
        <f>'DE ( Tarik barang retur )'!AF455</f>
        <v>46183</v>
      </c>
      <c r="H478" s="24"/>
      <c r="I478" s="24"/>
      <c r="J478" s="21" t="s">
        <v>5287</v>
      </c>
      <c r="K478" s="24"/>
      <c r="L478" s="24">
        <f t="shared" si="2"/>
        <v>1</v>
      </c>
      <c r="M478" s="25" t="str">
        <f t="shared" si="3"/>
        <v>Pasuruan</v>
      </c>
      <c r="N478" s="25" t="str">
        <f t="shared" si="4"/>
        <v>Jawa Timur</v>
      </c>
      <c r="O478" s="25" t="str">
        <f>VLOOKUP(M478,'Mapping Area'!A:C,3,0)</f>
        <v>EJ</v>
      </c>
      <c r="P478" s="25"/>
      <c r="Q478" s="25"/>
      <c r="R478" s="25"/>
      <c r="S478" s="25"/>
      <c r="T478" s="25"/>
      <c r="U478" s="25"/>
      <c r="V478" s="25"/>
      <c r="W478" s="25"/>
      <c r="X478" s="25"/>
      <c r="Y478" s="25"/>
      <c r="Z478" s="25"/>
      <c r="AA478" s="25"/>
      <c r="AB478" s="25"/>
      <c r="AC478" s="25"/>
    </row>
    <row r="479">
      <c r="A479" s="24" t="str">
        <f>'DE ( Tarik barang retur )'!AC456</f>
        <v>AWBR-3315901069-01</v>
      </c>
      <c r="B479" s="24" t="str">
        <f>'DE ( Tarik barang retur )'!F456</f>
        <v>Apotek Difa Farma Sumberejo Sukodono</v>
      </c>
      <c r="C479" s="35">
        <f>'DE ( Tarik barang retur )'!G456</f>
        <v>6.28122E+18</v>
      </c>
      <c r="D479" s="24" t="str">
        <f>'DE ( Tarik barang retur )'!H456</f>
        <v>Jl. Musi RT. 08 RW. 02, Desa/Kelurahan Sumberejo, Kecamatan Sukodono,Kabupaten Lumajang,Jawa Timur,67352</v>
      </c>
      <c r="E479" s="24" t="str">
        <f>'DE ( Tarik barang retur )'!D456</f>
        <v>240605025146430dlESmL8W</v>
      </c>
      <c r="F479" s="24" t="str">
        <f>'DE ( Tarik barang retur )'!R456</f>
        <v>TMP-INV-2024/06/05/ 819572 ACTIFED GSK SIRUP Tarik Barang</v>
      </c>
      <c r="G479" s="36">
        <f>'DE ( Tarik barang retur )'!AF456</f>
        <v>46183</v>
      </c>
      <c r="H479" s="22">
        <v>46183.0</v>
      </c>
      <c r="I479" s="22">
        <v>46186.0</v>
      </c>
      <c r="J479" s="21" t="s">
        <v>5294</v>
      </c>
      <c r="K479" s="24"/>
      <c r="L479" s="24">
        <f t="shared" si="2"/>
        <v>1</v>
      </c>
      <c r="M479" s="24"/>
      <c r="N479" s="24"/>
      <c r="O479" s="24"/>
      <c r="P479" s="25"/>
      <c r="Q479" s="25"/>
      <c r="R479" s="25"/>
      <c r="S479" s="25"/>
      <c r="T479" s="25"/>
      <c r="U479" s="25"/>
      <c r="V479" s="25"/>
      <c r="W479" s="25"/>
      <c r="X479" s="25"/>
      <c r="Y479" s="25"/>
      <c r="Z479" s="25"/>
      <c r="AA479" s="25"/>
      <c r="AB479" s="25"/>
      <c r="AC479" s="25"/>
    </row>
    <row r="480">
      <c r="A480" s="24" t="str">
        <f>'DE ( Tarik barang retur )'!AC457</f>
        <v>AWBR-3317049828-01</v>
      </c>
      <c r="B480" s="24" t="str">
        <f>'DE ( Tarik barang retur )'!F457</f>
        <v>Apotek Rachma Farma Kutisari Tenggilis Mejoyo</v>
      </c>
      <c r="C480" s="35">
        <f>'DE ( Tarik barang retur )'!G457</f>
        <v>6.28993E+16</v>
      </c>
      <c r="D480" s="24" t="str">
        <f>'DE ( Tarik barang retur )'!H457</f>
        <v>Jalan Kutisari Utara No. 46 B, Desa/Kelurahan Kutisari,Kecamatan Tenggilis Mejoyo,Kota Surabaya,Jawa Timur,60291</v>
      </c>
      <c r="E480" s="24" t="str">
        <f>'DE ( Tarik barang retur )'!D457</f>
        <v>26060713532143jJsNQGjrc</v>
      </c>
      <c r="F480" s="24" t="str">
        <f>'DE ( Tarik barang retur )'!R457</f>
        <v>TMP-INV-2026/06/08/ 2828838 Invoice: TMP-INV-2026/06/08/ 2828838
Full Return Tarik Barang</v>
      </c>
      <c r="G480" s="36">
        <f>'DE ( Tarik barang retur )'!AF457</f>
        <v>46183</v>
      </c>
      <c r="H480" s="22">
        <v>46184.0</v>
      </c>
      <c r="I480" s="22">
        <v>46186.0</v>
      </c>
      <c r="J480" s="21" t="s">
        <v>5294</v>
      </c>
      <c r="K480" s="24"/>
      <c r="L480" s="24">
        <f t="shared" si="2"/>
        <v>1</v>
      </c>
      <c r="M480" s="24"/>
      <c r="N480" s="24"/>
      <c r="O480" s="24"/>
      <c r="P480" s="25"/>
      <c r="Q480" s="25"/>
      <c r="R480" s="25"/>
      <c r="S480" s="25"/>
      <c r="T480" s="25"/>
      <c r="U480" s="25"/>
      <c r="V480" s="25"/>
      <c r="W480" s="25"/>
      <c r="X480" s="25"/>
      <c r="Y480" s="25"/>
      <c r="Z480" s="25"/>
      <c r="AA480" s="25"/>
      <c r="AB480" s="25"/>
      <c r="AC480" s="25"/>
    </row>
    <row r="481">
      <c r="A481" s="24" t="str">
        <f>'DE ( Tarik barang retur )'!AC458</f>
        <v>AWBR-3315238290-01</v>
      </c>
      <c r="B481" s="24" t="str">
        <f>'DE ( Tarik barang retur )'!F458</f>
        <v>Apotek Nusantara Kepolorejo Magetan</v>
      </c>
      <c r="C481" s="35">
        <f>'DE ( Tarik barang retur )'!G458</f>
        <v>6.28786E+17</v>
      </c>
      <c r="D481" s="24" t="str">
        <f>'DE ( Tarik barang retur )'!H458</f>
        <v>Jl. A Yani No. 51, Desa/Kelurahan Kepolorejo,Kecamatan Magetan,Kabupaten Magetan,Jawa Timur,63311</v>
      </c>
      <c r="E481" s="24" t="str">
        <f>'DE ( Tarik barang retur )'!D458</f>
        <v>TMP</v>
      </c>
      <c r="F481" s="24" t="str">
        <f>'DE ( Tarik barang retur )'!R458</f>
        <v>TMP-INV-2026/06/03/ 2810375;
TMP-INV-2026/06/03/ 2813996 Invoice: TMP-INV-2026/06/03/ 2810375
Full Return
----------------------------------------
Invoice: TMP-INV-2026/06/03/ 2813996
Full Return Tarik Barang</v>
      </c>
      <c r="G481" s="36">
        <f>'DE ( Tarik barang retur )'!AF458</f>
        <v>46183</v>
      </c>
      <c r="H481" s="22">
        <v>46183.0</v>
      </c>
      <c r="I481" s="22">
        <v>46186.0</v>
      </c>
      <c r="J481" s="21" t="s">
        <v>5294</v>
      </c>
      <c r="K481" s="24"/>
      <c r="L481" s="24">
        <f t="shared" si="2"/>
        <v>1</v>
      </c>
      <c r="M481" s="24"/>
      <c r="N481" s="24"/>
      <c r="O481" s="24"/>
      <c r="P481" s="25"/>
      <c r="Q481" s="25"/>
      <c r="R481" s="25"/>
      <c r="S481" s="25"/>
      <c r="T481" s="25"/>
      <c r="U481" s="25"/>
      <c r="V481" s="25"/>
      <c r="W481" s="25"/>
      <c r="X481" s="25"/>
      <c r="Y481" s="25"/>
      <c r="Z481" s="25"/>
      <c r="AA481" s="25"/>
      <c r="AB481" s="25"/>
      <c r="AC481" s="25"/>
    </row>
    <row r="482">
      <c r="A482" s="24" t="str">
        <f>'DE ( Tarik barang retur )'!AC459</f>
        <v>AWBR-3316495106-01</v>
      </c>
      <c r="B482" s="24" t="str">
        <f>'DE ( Tarik barang retur )'!F459</f>
        <v>Apotek Heka Majapahit Palebon Pedurungan</v>
      </c>
      <c r="C482" s="35">
        <f>'DE ( Tarik barang retur )'!G459</f>
        <v>6.28194E+17</v>
      </c>
      <c r="D482" s="24" t="str">
        <f>'DE ( Tarik barang retur )'!H459</f>
        <v>Jl Brigjen Sudiarto No 330 , Desa/Kelurahan Palebon,Kecamatan Pedurungan,Kota Semarang,Jawa Tengah,50246</v>
      </c>
      <c r="E482" s="24" t="str">
        <f>'DE ( Tarik barang retur )'!D459</f>
        <v>26060403420116WnkPbDnho</v>
      </c>
      <c r="F482" s="24" t="str">
        <f>'DE ( Tarik barang retur )'!R459</f>
        <v>TMP-INV-2026/06/04/ 2818540 AMMELTZ YOKO YOKO Eagle Indo Tarik Barang</v>
      </c>
      <c r="G482" s="36">
        <f>'DE ( Tarik barang retur )'!AF459</f>
        <v>46183</v>
      </c>
      <c r="H482" s="22">
        <v>46184.0</v>
      </c>
      <c r="I482" s="22">
        <v>46186.0</v>
      </c>
      <c r="J482" s="21" t="s">
        <v>5294</v>
      </c>
      <c r="K482" s="24"/>
      <c r="L482" s="24">
        <f t="shared" si="2"/>
        <v>1</v>
      </c>
      <c r="M482" s="24"/>
      <c r="N482" s="24"/>
      <c r="O482" s="24"/>
      <c r="P482" s="25"/>
      <c r="Q482" s="25"/>
      <c r="R482" s="25"/>
      <c r="S482" s="25"/>
      <c r="T482" s="25"/>
      <c r="U482" s="25"/>
      <c r="V482" s="25"/>
      <c r="W482" s="25"/>
      <c r="X482" s="25"/>
      <c r="Y482" s="25"/>
      <c r="Z482" s="25"/>
      <c r="AA482" s="25"/>
      <c r="AB482" s="25"/>
      <c r="AC482" s="25"/>
    </row>
    <row r="483">
      <c r="A483" s="24" t="str">
        <f>'DE ( Tarik barang retur )'!AC460</f>
        <v>AWBR-3316675114-01</v>
      </c>
      <c r="B483" s="24" t="str">
        <f>'DE ( Tarik barang retur )'!F460</f>
        <v>Apotek Berkah One Bringinbendo Taman</v>
      </c>
      <c r="C483" s="35">
        <f>'DE ( Tarik barang retur )'!G460</f>
        <v>6.28124E+17</v>
      </c>
      <c r="D483" s="24" t="str">
        <f>'DE ( Tarik barang retur )'!H460</f>
        <v>Jl. Bringin Barat No. 2, Desa/Kelurahan Bringinbendo,Kecamatan Taman,Kabupaten Sidoarjo,Jawa Timur,61257</v>
      </c>
      <c r="E483" s="24" t="str">
        <f>'DE ( Tarik barang retur )'!D460</f>
        <v>26060802201429ewFgUZFG1X</v>
      </c>
      <c r="F483" s="24" t="str">
        <f>'DE ( Tarik barang retur )'!R460</f>
        <v>TMP-INV-2026/06/08/ 2830771 ASTHIN FORCE 12 Soho KAPSUL Tarik Barang</v>
      </c>
      <c r="G483" s="36">
        <f>'DE ( Tarik barang retur )'!AF460</f>
        <v>46183</v>
      </c>
      <c r="H483" s="22">
        <v>46184.0</v>
      </c>
      <c r="I483" s="22">
        <v>46186.0</v>
      </c>
      <c r="J483" s="21" t="s">
        <v>5294</v>
      </c>
      <c r="K483" s="24"/>
      <c r="L483" s="24">
        <f t="shared" si="2"/>
        <v>1</v>
      </c>
      <c r="M483" s="24"/>
      <c r="N483" s="24"/>
      <c r="O483" s="24"/>
      <c r="P483" s="25"/>
      <c r="Q483" s="25"/>
      <c r="R483" s="25"/>
      <c r="S483" s="25"/>
      <c r="T483" s="25"/>
      <c r="U483" s="25"/>
      <c r="V483" s="25"/>
      <c r="W483" s="25"/>
      <c r="X483" s="25"/>
      <c r="Y483" s="25"/>
      <c r="Z483" s="25"/>
      <c r="AA483" s="25"/>
      <c r="AB483" s="25"/>
      <c r="AC483" s="25"/>
    </row>
    <row r="484">
      <c r="A484" s="24" t="str">
        <f>'DE ( Tarik barang retur )'!AC461</f>
        <v>AWBR-3315225604-01</v>
      </c>
      <c r="B484" s="24" t="str">
        <f>'DE ( Tarik barang retur )'!F461</f>
        <v>Apotek Althaf Farma Maguwoharjo Depok</v>
      </c>
      <c r="C484" s="35">
        <f>'DE ( Tarik barang retur )'!G461</f>
        <v>6.28233E+17</v>
      </c>
      <c r="D484" s="24" t="str">
        <f>'DE ( Tarik barang retur )'!H461</f>
        <v>Jl.Pangeran Diponegoro Dusun Bedreg Desa/Kelurahan Maguwoharjo, Kecamatan Depok, Kabupaten Sleman,DI Yogyakarta,55282</v>
      </c>
      <c r="E484" s="24" t="str">
        <f>'DE ( Tarik barang retur )'!D461</f>
        <v>25080506191227TZBs2Ig0I</v>
      </c>
      <c r="F484" s="24" t="str">
        <f>'DE ( Tarik barang retur )'!R461</f>
        <v>TMP-INV-2025/08/05/ 1804550 BLACKMORES I-FOLIC Kalbe TABLET Tarik Barang</v>
      </c>
      <c r="G484" s="36">
        <f>'DE ( Tarik barang retur )'!AF461</f>
        <v>46183</v>
      </c>
      <c r="H484" s="22">
        <v>46185.0</v>
      </c>
      <c r="I484" s="22">
        <v>46186.0</v>
      </c>
      <c r="J484" s="21" t="s">
        <v>5294</v>
      </c>
      <c r="K484" s="24"/>
      <c r="L484" s="24">
        <f t="shared" si="2"/>
        <v>1</v>
      </c>
      <c r="M484" s="24"/>
      <c r="N484" s="24"/>
      <c r="O484" s="24"/>
      <c r="P484" s="25"/>
      <c r="Q484" s="25"/>
      <c r="R484" s="25"/>
      <c r="S484" s="25"/>
      <c r="T484" s="25"/>
      <c r="U484" s="25"/>
      <c r="V484" s="25"/>
      <c r="W484" s="25"/>
      <c r="X484" s="25"/>
      <c r="Y484" s="25"/>
      <c r="Z484" s="25"/>
      <c r="AA484" s="25"/>
      <c r="AB484" s="25"/>
      <c r="AC484" s="25"/>
    </row>
    <row r="485">
      <c r="A485" s="24" t="str">
        <f>'DE ( Tarik barang retur )'!AC462</f>
        <v>AWBR-3317058484-01</v>
      </c>
      <c r="B485" s="24" t="str">
        <f>'DE ( Tarik barang retur )'!F462</f>
        <v>Apotek Indo Sehat Tegal Siwalan Tegal Siwalan</v>
      </c>
      <c r="C485" s="35">
        <f>'DE ( Tarik barang retur )'!G462</f>
        <v>6.28128E+17</v>
      </c>
      <c r="D485" s="24" t="str">
        <f>'DE ( Tarik barang retur )'!H462</f>
        <v>Dusun Klobungan RT. 28 RW. 05 Desa Tegalsiwalan,Kecamatan Tegalsiwalan, Kabupaten Probolinggo,Jawa Timur,67274</v>
      </c>
      <c r="E485" s="24" t="str">
        <f>'DE ( Tarik barang retur )'!D462</f>
        <v>250922174524843YkdDQv1kg</v>
      </c>
      <c r="F485" s="24" t="str">
        <f>'DE ( Tarik barang retur )'!R462</f>
        <v>TMP-INV-2025/09/23/ 1957590 IMUNPED SIRUP Darya-Varia Tarik Barang</v>
      </c>
      <c r="G485" s="36">
        <f>'DE ( Tarik barang retur )'!AF462</f>
        <v>46183</v>
      </c>
      <c r="H485" s="22">
        <v>46183.0</v>
      </c>
      <c r="I485" s="22">
        <v>46186.0</v>
      </c>
      <c r="J485" s="21" t="s">
        <v>5294</v>
      </c>
      <c r="K485" s="24"/>
      <c r="L485" s="24">
        <f t="shared" si="2"/>
        <v>1</v>
      </c>
      <c r="M485" s="24"/>
      <c r="N485" s="24"/>
      <c r="O485" s="24"/>
      <c r="P485" s="25"/>
      <c r="Q485" s="25"/>
      <c r="R485" s="25"/>
      <c r="S485" s="25"/>
      <c r="T485" s="25"/>
      <c r="U485" s="25"/>
      <c r="V485" s="25"/>
      <c r="W485" s="25"/>
      <c r="X485" s="25"/>
      <c r="Y485" s="25"/>
      <c r="Z485" s="25"/>
      <c r="AA485" s="25"/>
      <c r="AB485" s="25"/>
      <c r="AC485" s="25"/>
    </row>
    <row r="486">
      <c r="A486" s="24" t="str">
        <f>'DE ( Tarik barang retur )'!AC463</f>
        <v>AWBR-3316288055-01</v>
      </c>
      <c r="B486" s="24" t="str">
        <f>'DE ( Tarik barang retur )'!F463</f>
        <v>Apotek Indo Sehat Tegal Siwalan Tegal Siwalan</v>
      </c>
      <c r="C486" s="35">
        <f>'DE ( Tarik barang retur )'!G463</f>
        <v>6.28128E+17</v>
      </c>
      <c r="D486" s="24" t="str">
        <f>'DE ( Tarik barang retur )'!H463</f>
        <v>Dusun Klobungan RT. 28 RW. 05 Desa Tegalsiwalan,Kecamatan Tegalsiwalan, Kabupaten Probolinggo,Jawa Timur,67274</v>
      </c>
      <c r="E486" s="24" t="str">
        <f>'DE ( Tarik barang retur )'!D463</f>
        <v>250922174524843YkdDQv1kg</v>
      </c>
      <c r="F486" s="24" t="str">
        <f>'DE ( Tarik barang retur )'!R463</f>
        <v>TMP-INV-2025/09/23/ 1957590 IMUNPED SIRUP Darya-Varia Tarik Barang</v>
      </c>
      <c r="G486" s="36">
        <f>'DE ( Tarik barang retur )'!AF463</f>
        <v>46183</v>
      </c>
      <c r="H486" s="22">
        <v>46183.0</v>
      </c>
      <c r="I486" s="22">
        <v>46186.0</v>
      </c>
      <c r="J486" s="21" t="s">
        <v>5294</v>
      </c>
      <c r="K486" s="24"/>
      <c r="L486" s="24">
        <f t="shared" si="2"/>
        <v>1</v>
      </c>
      <c r="M486" s="24"/>
      <c r="N486" s="24"/>
      <c r="O486" s="24"/>
      <c r="P486" s="25"/>
      <c r="Q486" s="25"/>
      <c r="R486" s="25"/>
      <c r="S486" s="25"/>
      <c r="T486" s="25"/>
      <c r="U486" s="25"/>
      <c r="V486" s="25"/>
      <c r="W486" s="25"/>
      <c r="X486" s="25"/>
      <c r="Y486" s="25"/>
      <c r="Z486" s="25"/>
      <c r="AA486" s="25"/>
      <c r="AB486" s="25"/>
      <c r="AC486" s="25"/>
    </row>
    <row r="487">
      <c r="A487" s="24" t="str">
        <f>'DE ( Tarik barang retur )'!AC464</f>
        <v>AWBR-3316289082-01</v>
      </c>
      <c r="B487" s="24" t="str">
        <f>'DE ( Tarik barang retur )'!F464</f>
        <v>Apotek Indo Sehat Tegal Siwalan Tegal Siwalan</v>
      </c>
      <c r="C487" s="35">
        <f>'DE ( Tarik barang retur )'!G464</f>
        <v>6.28128E+17</v>
      </c>
      <c r="D487" s="24" t="str">
        <f>'DE ( Tarik barang retur )'!H464</f>
        <v>Dusun Klobungan RT. 28 RW. 05 Desa Tegalsiwalan,Kecamatan Tegalsiwalan, Kabupaten Probolinggo,Jawa Timur,67274</v>
      </c>
      <c r="E487" s="24" t="str">
        <f>'DE ( Tarik barang retur )'!D464</f>
        <v>25120402442995z9iQruJ1d</v>
      </c>
      <c r="F487" s="24" t="str">
        <f>'DE ( Tarik barang retur )'!R464</f>
        <v>TMP-INV-2025/12/04/ 2193103 IMUNPED DROPS Darya-Varia Tarik Barang</v>
      </c>
      <c r="G487" s="36">
        <f>'DE ( Tarik barang retur )'!AF464</f>
        <v>46183</v>
      </c>
      <c r="H487" s="22">
        <v>46183.0</v>
      </c>
      <c r="I487" s="22">
        <v>46186.0</v>
      </c>
      <c r="J487" s="21" t="s">
        <v>5294</v>
      </c>
      <c r="K487" s="24"/>
      <c r="L487" s="24">
        <f t="shared" si="2"/>
        <v>1</v>
      </c>
      <c r="M487" s="24"/>
      <c r="N487" s="24"/>
      <c r="O487" s="24"/>
      <c r="P487" s="25"/>
      <c r="Q487" s="25"/>
      <c r="R487" s="25"/>
      <c r="S487" s="25"/>
      <c r="T487" s="25"/>
      <c r="U487" s="25"/>
      <c r="V487" s="25"/>
      <c r="W487" s="25"/>
      <c r="X487" s="25"/>
      <c r="Y487" s="25"/>
      <c r="Z487" s="25"/>
      <c r="AA487" s="25"/>
      <c r="AB487" s="25"/>
      <c r="AC487" s="25"/>
    </row>
    <row r="488">
      <c r="A488" s="24" t="str">
        <f>'DE ( Tarik barang retur )'!AC465</f>
        <v>AWBR-3316466507-01</v>
      </c>
      <c r="B488" s="24" t="str">
        <f>'DE ( Tarik barang retur )'!F465</f>
        <v>Apotek Lentera Brengkok Brondong</v>
      </c>
      <c r="C488" s="35">
        <f>'DE ( Tarik barang retur )'!G465</f>
        <v>6.28214E+17</v>
      </c>
      <c r="D488" s="24" t="str">
        <f>'DE ( Tarik barang retur )'!H465</f>
        <v>Jl. Poros Dusun Cumpleng, RT 003 RW 013, Desa/Kelurahan Brengkok, Kecamatan Brondong,Kabupaten Lamongan, Jawa Timur, 62263</v>
      </c>
      <c r="E488" s="24" t="str">
        <f>'DE ( Tarik barang retur )'!D465</f>
        <v>260602033526694kBX5dvc4S</v>
      </c>
      <c r="F488" s="24" t="str">
        <f>'DE ( Tarik barang retur )'!R465</f>
        <v>TMP-INV-2026/06/02/ 2809499 MINYAK ANGIN CAP KAPAK Yahi Utama Tarik Barang</v>
      </c>
      <c r="G488" s="36">
        <f>'DE ( Tarik barang retur )'!AF465</f>
        <v>46183</v>
      </c>
      <c r="H488" s="22">
        <v>46185.0</v>
      </c>
      <c r="I488" s="22">
        <v>46187.0</v>
      </c>
      <c r="J488" s="21" t="s">
        <v>5294</v>
      </c>
      <c r="K488" s="24"/>
      <c r="L488" s="24">
        <f t="shared" si="2"/>
        <v>1</v>
      </c>
      <c r="M488" s="24"/>
      <c r="N488" s="24"/>
      <c r="O488" s="24"/>
      <c r="P488" s="25"/>
      <c r="Q488" s="25"/>
      <c r="R488" s="25"/>
      <c r="S488" s="25"/>
      <c r="T488" s="25"/>
      <c r="U488" s="25"/>
      <c r="V488" s="25"/>
      <c r="W488" s="25"/>
      <c r="X488" s="25"/>
      <c r="Y488" s="25"/>
      <c r="Z488" s="25"/>
      <c r="AA488" s="25"/>
      <c r="AB488" s="25"/>
      <c r="AC488" s="25"/>
    </row>
    <row r="489">
      <c r="A489" s="24" t="str">
        <f>'DE ( Tarik barang retur )'!AC466</f>
        <v>AWBR-3317055606-01</v>
      </c>
      <c r="B489" s="24" t="str">
        <f>'DE ( Tarik barang retur )'!F466</f>
        <v>Apotek D La Tisnonegaran Kanigaran</v>
      </c>
      <c r="C489" s="35">
        <f>'DE ( Tarik barang retur )'!G466</f>
        <v>6.28134E+17</v>
      </c>
      <c r="D489" s="24" t="str">
        <f>'DE ( Tarik barang retur )'!H466</f>
        <v>Jalan A.A. Maramis No. 116, Desa/Kelurahan Kanigaran, Kecamatan Kanigaran, Kota Probolinggo, Jawa Timur, 67213</v>
      </c>
      <c r="E489" s="24" t="str">
        <f>'DE ( Tarik barang retur )'!D466</f>
        <v>26060515142779h85PJEjOgR</v>
      </c>
      <c r="F489" s="24" t="str">
        <f>'DE ( Tarik barang retur )'!R466</f>
        <v>TMP-INV-2026/06/06/ 2825926 CATAFLAM D Novartis TABLET DISPERSIBLE Tarik Barang</v>
      </c>
      <c r="G489" s="36">
        <f>'DE ( Tarik barang retur )'!AF466</f>
        <v>46183</v>
      </c>
      <c r="H489" s="22">
        <v>46183.0</v>
      </c>
      <c r="I489" s="22">
        <v>46186.0</v>
      </c>
      <c r="J489" s="21" t="s">
        <v>5294</v>
      </c>
      <c r="K489" s="24"/>
      <c r="L489" s="24">
        <f t="shared" si="2"/>
        <v>1</v>
      </c>
      <c r="M489" s="24"/>
      <c r="N489" s="24"/>
      <c r="O489" s="24"/>
      <c r="P489" s="25"/>
      <c r="Q489" s="25"/>
      <c r="R489" s="25"/>
      <c r="S489" s="25"/>
      <c r="T489" s="25"/>
      <c r="U489" s="25"/>
      <c r="V489" s="25"/>
      <c r="W489" s="25"/>
      <c r="X489" s="25"/>
      <c r="Y489" s="25"/>
      <c r="Z489" s="25"/>
      <c r="AA489" s="25"/>
      <c r="AB489" s="25"/>
      <c r="AC489" s="25"/>
    </row>
    <row r="490">
      <c r="A490" s="24" t="str">
        <f>'DE ( Tarik barang retur )'!AC467</f>
        <v>AWBR-3316404457-01</v>
      </c>
      <c r="B490" s="24" t="str">
        <f>'DE ( Tarik barang retur )'!F467</f>
        <v>Apotek An Nuur Pesurungan Kidul Tegal Barat</v>
      </c>
      <c r="C490" s="35">
        <f>'DE ( Tarik barang retur )'!G467</f>
        <v>6.28523E+17</v>
      </c>
      <c r="D490" s="24" t="str">
        <f>'DE ( Tarik barang retur )'!H467</f>
        <v>Jl. Dewi Sartika No. 8 RT 05 / RW 03, Desa/Kel. Pesurungan Kidul, Kec. Tegal Barat, Kota Tegal, Jawa Tengah, 52117</v>
      </c>
      <c r="E490" s="24" t="str">
        <f>'DE ( Tarik barang retur )'!D467</f>
        <v>26060404524185rTpkSm7niU</v>
      </c>
      <c r="F490" s="24" t="str">
        <f>'DE ( Tarik barang retur )'!R467</f>
        <v>TMP-INV-2026/06/05/ 2821951 CATAFLAM D Novartis TABLET DISPERSIBLE Tarik Barang</v>
      </c>
      <c r="G490" s="36">
        <f>'DE ( Tarik barang retur )'!AF467</f>
        <v>46183</v>
      </c>
      <c r="H490" s="22">
        <v>46190.0</v>
      </c>
      <c r="I490" s="24"/>
      <c r="J490" s="21" t="s">
        <v>5295</v>
      </c>
      <c r="K490" s="24"/>
      <c r="L490" s="24">
        <f t="shared" si="2"/>
        <v>1</v>
      </c>
      <c r="M490" s="25"/>
      <c r="N490" s="25"/>
      <c r="O490" s="25"/>
      <c r="P490" s="25"/>
      <c r="Q490" s="25"/>
      <c r="R490" s="25"/>
      <c r="S490" s="25"/>
      <c r="T490" s="25"/>
      <c r="U490" s="25"/>
      <c r="V490" s="25"/>
      <c r="W490" s="25"/>
      <c r="X490" s="25"/>
      <c r="Y490" s="25"/>
      <c r="Z490" s="25"/>
      <c r="AA490" s="25"/>
      <c r="AB490" s="25"/>
      <c r="AC490" s="25"/>
    </row>
    <row r="491">
      <c r="A491" s="24" t="str">
        <f>'DE ( Tarik barang retur )'!AC468</f>
        <v>AWBR-3316418485-01</v>
      </c>
      <c r="B491" s="24" t="str">
        <f>'DE ( Tarik barang retur )'!F468</f>
        <v>Apotek Anvi Farma Klepu Sumbermanjing Wetan</v>
      </c>
      <c r="C491" s="35">
        <f>'DE ( Tarik barang retur )'!G468</f>
        <v>6.28223E+17</v>
      </c>
      <c r="D491" s="24" t="str">
        <f>'DE ( Tarik barang retur )'!H468</f>
        <v>JI. Raya Pasar RT.01 RW.01 Desa/ Kel. Klepu, Kec. Sumbermanjing Wetan, Kabupaten Malang, Jawa Timur, 65176</v>
      </c>
      <c r="E491" s="24" t="str">
        <f>'DE ( Tarik barang retur )'!D468</f>
        <v>26060501350505SVDkpYbEo</v>
      </c>
      <c r="F491" s="24" t="str">
        <f>'DE ( Tarik barang retur )'!R468</f>
        <v>TMP-INV-2026/06/05/ 2819945 Invoice: TMP-INV-2026/06/05/ 2819945
Full Return Tarik Barang</v>
      </c>
      <c r="G491" s="36">
        <f>'DE ( Tarik barang retur )'!AF468</f>
        <v>46183</v>
      </c>
      <c r="H491" s="24"/>
      <c r="I491" s="24"/>
      <c r="J491" s="21" t="s">
        <v>5287</v>
      </c>
      <c r="K491" s="24"/>
      <c r="L491" s="24">
        <f t="shared" si="2"/>
        <v>1</v>
      </c>
      <c r="M491" s="25" t="str">
        <f t="shared" ref="M491:M492" si="5">GET_LOCATION(D491,"city")</f>
        <v>Malang Regency</v>
      </c>
      <c r="N491" s="25" t="str">
        <f t="shared" ref="N491:N492" si="6">GET_LOCATION(D491,"province")</f>
        <v>East Java</v>
      </c>
      <c r="O491" s="25" t="str">
        <f>VLOOKUP(M491,'Mapping Area'!A:C,3,0)</f>
        <v>EJ</v>
      </c>
      <c r="P491" s="25"/>
      <c r="Q491" s="25"/>
      <c r="R491" s="25"/>
      <c r="S491" s="25"/>
      <c r="T491" s="25"/>
      <c r="U491" s="25"/>
      <c r="V491" s="25"/>
      <c r="W491" s="25"/>
      <c r="X491" s="25"/>
      <c r="Y491" s="25"/>
      <c r="Z491" s="25"/>
      <c r="AA491" s="25"/>
      <c r="AB491" s="25"/>
      <c r="AC491" s="25"/>
    </row>
    <row r="492">
      <c r="A492" s="24" t="str">
        <f>'DE ( Tarik barang retur )'!AC469</f>
        <v>AWBR-3316419472-01</v>
      </c>
      <c r="B492" s="24" t="str">
        <f>'DE ( Tarik barang retur )'!F469</f>
        <v>Apotek Anvi Farma Klepu Sumbermanjing Wetan</v>
      </c>
      <c r="C492" s="35">
        <f>'DE ( Tarik barang retur )'!G469</f>
        <v>6.28223E+17</v>
      </c>
      <c r="D492" s="24" t="str">
        <f>'DE ( Tarik barang retur )'!H469</f>
        <v>JI. Raya Pasar RT.01 RW.01 Desa/ Kel. Klepu, Kec. Sumbermanjing Wetan, Kabupaten Malang, Jawa Timur, 65176</v>
      </c>
      <c r="E492" s="24" t="str">
        <f>'DE ( Tarik barang retur )'!D469</f>
        <v>26053113005958VAicW7Uas</v>
      </c>
      <c r="F492" s="24" t="str">
        <f>'DE ( Tarik barang retur )'!R469</f>
        <v>TMP-INV-2026/06/01/ 2802609 Invoice: TMP-INV-2026/06/01/ 2802609
Full Return Tarik Barang</v>
      </c>
      <c r="G492" s="36">
        <f>'DE ( Tarik barang retur )'!AF469</f>
        <v>46183</v>
      </c>
      <c r="H492" s="24"/>
      <c r="I492" s="24"/>
      <c r="J492" s="21" t="s">
        <v>5287</v>
      </c>
      <c r="K492" s="24"/>
      <c r="L492" s="24">
        <f t="shared" si="2"/>
        <v>1</v>
      </c>
      <c r="M492" s="25" t="str">
        <f t="shared" si="5"/>
        <v>Malang Regency</v>
      </c>
      <c r="N492" s="25" t="str">
        <f t="shared" si="6"/>
        <v>East Java</v>
      </c>
      <c r="O492" s="25" t="str">
        <f>VLOOKUP(M492,'Mapping Area'!A:C,3,0)</f>
        <v>EJ</v>
      </c>
      <c r="P492" s="25"/>
      <c r="Q492" s="25"/>
      <c r="R492" s="25"/>
      <c r="S492" s="25"/>
      <c r="T492" s="25"/>
      <c r="U492" s="25"/>
      <c r="V492" s="25"/>
      <c r="W492" s="25"/>
      <c r="X492" s="25"/>
      <c r="Y492" s="25"/>
      <c r="Z492" s="25"/>
      <c r="AA492" s="25"/>
      <c r="AB492" s="25"/>
      <c r="AC492" s="25"/>
    </row>
    <row r="493">
      <c r="A493" s="24" t="str">
        <f>'DE ( Tarik barang retur )'!AC470</f>
        <v>AWBR-12078-2026-6-10-01</v>
      </c>
      <c r="B493" s="24" t="str">
        <f>'DE ( Tarik barang retur )'!F470</f>
        <v>Apotek A Plus Telagamurni Cikarang Barat</v>
      </c>
      <c r="C493" s="35">
        <f>'DE ( Tarik barang retur )'!G470</f>
        <v>6.2881E+17</v>
      </c>
      <c r="D493" s="24" t="str">
        <f>'DE ( Tarik barang retur )'!H470</f>
        <v>Kampung Bojong Koneng, RT 01/RW 02, Desa/Kel. Telagamurni, Kec. Cikarang Barat, Kab. Bekasi</v>
      </c>
      <c r="E493" s="24" t="str">
        <f>'DE ( Tarik barang retur )'!D470</f>
        <v>25042210592222VvExm9uch</v>
      </c>
      <c r="F493" s="24" t="str">
        <f>'DE ( Tarik barang retur )'!R470</f>
        <v>TMP-INV-2025/04/23/ 1520443 / TMP-INV-2025/05/04/ 1548567 ZINC SULFATE MONOHYDRATE Combiphar DROPS DUS, 1 BOTOL @ 15 ML ASTRIA Pertiwi Agung KAPSUL 4 MG DUS, 2 STRIP @ 6 KAPSUL LUNAK Tarik Barang Retur</v>
      </c>
      <c r="G493" s="36">
        <f>'DE ( Tarik barang retur )'!AF470</f>
        <v>46183</v>
      </c>
      <c r="H493" s="22">
        <v>46184.0</v>
      </c>
      <c r="I493" s="22">
        <v>46184.0</v>
      </c>
      <c r="J493" s="21" t="s">
        <v>5294</v>
      </c>
      <c r="K493" s="24"/>
      <c r="L493" s="24">
        <f t="shared" si="2"/>
        <v>1</v>
      </c>
      <c r="M493" s="24"/>
      <c r="N493" s="24"/>
      <c r="O493" s="24"/>
      <c r="P493" s="25"/>
      <c r="Q493" s="25"/>
      <c r="R493" s="25"/>
      <c r="S493" s="25"/>
      <c r="T493" s="25"/>
      <c r="U493" s="25"/>
      <c r="V493" s="25"/>
      <c r="W493" s="25"/>
      <c r="X493" s="25"/>
      <c r="Y493" s="25"/>
      <c r="Z493" s="25"/>
      <c r="AA493" s="25"/>
      <c r="AB493" s="25"/>
      <c r="AC493" s="25"/>
    </row>
    <row r="494">
      <c r="A494" s="24" t="str">
        <f>'DE ( Tarik barang retur )'!AC471</f>
        <v>AWBR-2343-2026-6-10-01</v>
      </c>
      <c r="B494" s="24" t="str">
        <f>'DE ( Tarik barang retur )'!F471</f>
        <v>Apotek Aliya</v>
      </c>
      <c r="C494" s="35">
        <f>'DE ( Tarik barang retur )'!G471</f>
        <v>81388854434</v>
      </c>
      <c r="D494" s="24" t="str">
        <f>'DE ( Tarik barang retur )'!H471</f>
        <v>Jalan Raya Kranggan No.12 RT 001 RW 004 Desa Puspasari Kecamatan Citeureup Kabupaten Bogor 16810</v>
      </c>
      <c r="E494" s="24" t="str">
        <f>'DE ( Tarik barang retur )'!D471</f>
        <v>26060223110794rwxVlZCvR</v>
      </c>
      <c r="F494" s="24" t="str">
        <f>'DE ( Tarik barang retur )'!R471</f>
        <v>TMP-INV-2026/06/03/ 2812983 TRINORDIOL-28 Sunthi TABLET DUS, 2 BLISTER @ 28 TABLET SALUT GULA Tarik Barang Retur</v>
      </c>
      <c r="G494" s="36">
        <f>'DE ( Tarik barang retur )'!AF471</f>
        <v>46183</v>
      </c>
      <c r="H494" s="22">
        <v>46183.0</v>
      </c>
      <c r="I494" s="22">
        <v>46184.0</v>
      </c>
      <c r="J494" s="21" t="s">
        <v>5294</v>
      </c>
      <c r="K494" s="24"/>
      <c r="L494" s="24">
        <f t="shared" si="2"/>
        <v>1</v>
      </c>
      <c r="M494" s="24"/>
      <c r="N494" s="24"/>
      <c r="O494" s="24"/>
      <c r="P494" s="25"/>
      <c r="Q494" s="25"/>
      <c r="R494" s="25"/>
      <c r="S494" s="25"/>
      <c r="T494" s="25"/>
      <c r="U494" s="25"/>
      <c r="V494" s="25"/>
      <c r="W494" s="25"/>
      <c r="X494" s="25"/>
      <c r="Y494" s="25"/>
      <c r="Z494" s="25"/>
      <c r="AA494" s="25"/>
      <c r="AB494" s="25"/>
      <c r="AC494" s="25"/>
    </row>
    <row r="495">
      <c r="A495" s="24" t="str">
        <f>'DE ( Tarik barang retur )'!AC472</f>
        <v>AWBR-15738-2026-6-10-01</v>
      </c>
      <c r="B495" s="24" t="str">
        <f>'DE ( Tarik barang retur )'!F472</f>
        <v>Apotek Barokah Plus Bojong Rawalumbu Rawalumbu</v>
      </c>
      <c r="C495" s="35">
        <f>'DE ( Tarik barang retur )'!G472</f>
        <v>6.28521E+17</v>
      </c>
      <c r="D495" s="24" t="str">
        <f>'DE ( Tarik barang retur )'!H472</f>
        <v>Jl Caringin no 6A RT 003 RW 005 , Desa/Kelurahan Bojong Rawalumbu, Kec. Rawalumbu, Kota Bekasi</v>
      </c>
      <c r="E495" s="24" t="str">
        <f>'DE ( Tarik barang retur )'!D472</f>
        <v>25101303573870drSx2IFG5</v>
      </c>
      <c r="F495" s="24" t="str">
        <f>'DE ( Tarik barang retur )'!R472</f>
        <v>TMP-INV-2025/10/14/ 2022305 VENTOLIN INHALER CFC FREE Gsk 200 Doses DUS, 1 BOTOL @ 200 DOSIS Tarik Barang Retur</v>
      </c>
      <c r="G495" s="36">
        <f>'DE ( Tarik barang retur )'!AF472</f>
        <v>46183</v>
      </c>
      <c r="H495" s="22">
        <v>46184.0</v>
      </c>
      <c r="I495" s="22">
        <v>46184.0</v>
      </c>
      <c r="J495" s="21" t="s">
        <v>5294</v>
      </c>
      <c r="K495" s="24"/>
      <c r="L495" s="24">
        <f t="shared" si="2"/>
        <v>1</v>
      </c>
      <c r="M495" s="24"/>
      <c r="N495" s="24"/>
      <c r="O495" s="24"/>
      <c r="P495" s="25"/>
      <c r="Q495" s="25"/>
      <c r="R495" s="25"/>
      <c r="S495" s="25"/>
      <c r="T495" s="25"/>
      <c r="U495" s="25"/>
      <c r="V495" s="25"/>
      <c r="W495" s="25"/>
      <c r="X495" s="25"/>
      <c r="Y495" s="25"/>
      <c r="Z495" s="25"/>
      <c r="AA495" s="25"/>
      <c r="AB495" s="25"/>
      <c r="AC495" s="25"/>
    </row>
    <row r="496">
      <c r="A496" s="24" t="str">
        <f>'DE ( Tarik barang retur )'!AC473</f>
        <v>AWBR-1467-2026-6-10-01</v>
      </c>
      <c r="B496" s="24" t="str">
        <f>'DE ( Tarik barang retur )'!F473</f>
        <v>Apotek Cinta Sehat 1467</v>
      </c>
      <c r="C496" s="35">
        <f>'DE ( Tarik barang retur )'!G473</f>
        <v>81317174324</v>
      </c>
      <c r="D496" s="24" t="str">
        <f>'DE ( Tarik barang retur )'!H473</f>
        <v>Jl KH. Agus Salim No 50 V Rt 07 Rw 06 bekasi jaya Kecamatan Bekasi Timur kota Bekasi</v>
      </c>
      <c r="E496" s="24" t="str">
        <f>'DE ( Tarik barang retur )'!D473</f>
        <v>24100208393449Gl5jeQQnaA</v>
      </c>
      <c r="F496" s="24" t="str">
        <f>'DE ( Tarik barang retur )'!R473</f>
        <v>TMP-INV-2024/10/03/ 1046777 MEBO Pharma Health DUS, 1 TUBE 20 g Tarik Barang Retur</v>
      </c>
      <c r="G496" s="36">
        <f>'DE ( Tarik barang retur )'!AF473</f>
        <v>46183</v>
      </c>
      <c r="H496" s="22">
        <v>46184.0</v>
      </c>
      <c r="I496" s="22">
        <v>46184.0</v>
      </c>
      <c r="J496" s="21" t="s">
        <v>5294</v>
      </c>
      <c r="K496" s="24"/>
      <c r="L496" s="24">
        <f t="shared" si="2"/>
        <v>1</v>
      </c>
      <c r="M496" s="24"/>
      <c r="N496" s="24"/>
      <c r="O496" s="24"/>
      <c r="P496" s="25"/>
      <c r="Q496" s="25"/>
      <c r="R496" s="25"/>
      <c r="S496" s="25"/>
      <c r="T496" s="25"/>
      <c r="U496" s="25"/>
      <c r="V496" s="25"/>
      <c r="W496" s="25"/>
      <c r="X496" s="25"/>
      <c r="Y496" s="25"/>
      <c r="Z496" s="25"/>
      <c r="AA496" s="25"/>
      <c r="AB496" s="25"/>
      <c r="AC496" s="25"/>
    </row>
    <row r="497">
      <c r="A497" s="24" t="str">
        <f>'DE ( Tarik barang retur )'!AC474</f>
        <v>AWBR-15247-2026-6-10-01</v>
      </c>
      <c r="B497" s="24" t="str">
        <f>'DE ( Tarik barang retur )'!F474</f>
        <v>Apotek Dzahira Mustika Jaya Mustika Jaya</v>
      </c>
      <c r="C497" s="35">
        <f>'DE ( Tarik barang retur )'!G474</f>
        <v>6.28226E+17</v>
      </c>
      <c r="D497" s="24" t="str">
        <f>'DE ( Tarik barang retur )'!H474</f>
        <v>Perumahan Pondok Timur Indah Blok. C 164, Jl. Titiran II Kel. Mustika Jaya Kec. Mustika Jaya, Kota Bekasi</v>
      </c>
      <c r="E497" s="24" t="str">
        <f>'DE ( Tarik barang retur )'!D474</f>
        <v>25052512085245L0FAs9BxVK</v>
      </c>
      <c r="F497" s="24" t="str">
        <f>'DE ( Tarik barang retur )'!R474</f>
        <v>TMP-INV-2025/05/26/ 1605922 CENDO CARPINE 2% Cendo TETES MATA Minidose CATCH COVER, 5 BOTOL PLASTIK @ 0,6 ML VERNACEL Cendo TETES MATA BOTOL 5 ML Tarik Barang Retur</v>
      </c>
      <c r="G497" s="36">
        <f>'DE ( Tarik barang retur )'!AF474</f>
        <v>46183</v>
      </c>
      <c r="H497" s="22">
        <v>46184.0</v>
      </c>
      <c r="I497" s="22">
        <v>46184.0</v>
      </c>
      <c r="J497" s="21" t="s">
        <v>5294</v>
      </c>
      <c r="K497" s="24"/>
      <c r="L497" s="24">
        <f t="shared" si="2"/>
        <v>1</v>
      </c>
      <c r="M497" s="24"/>
      <c r="N497" s="24"/>
      <c r="O497" s="24"/>
      <c r="P497" s="25"/>
      <c r="Q497" s="25"/>
      <c r="R497" s="25"/>
      <c r="S497" s="25"/>
      <c r="T497" s="25"/>
      <c r="U497" s="25"/>
      <c r="V497" s="25"/>
      <c r="W497" s="25"/>
      <c r="X497" s="25"/>
      <c r="Y497" s="25"/>
      <c r="Z497" s="25"/>
      <c r="AA497" s="25"/>
      <c r="AB497" s="25"/>
      <c r="AC497" s="25"/>
    </row>
    <row r="498">
      <c r="A498" s="24" t="str">
        <f>'DE ( Tarik barang retur )'!AC475</f>
        <v>AWBR-12122-2026-6-10-01</v>
      </c>
      <c r="B498" s="24" t="str">
        <f>'DE ( Tarik barang retur )'!F475</f>
        <v>Apotek Eka Mandiri Kaliabang Tengah Bekasi Utara</v>
      </c>
      <c r="C498" s="35">
        <f>'DE ( Tarik barang retur )'!G475</f>
        <v>6.28221E+17</v>
      </c>
      <c r="D498" s="24" t="str">
        <f>'DE ( Tarik barang retur )'!H475</f>
        <v>Jl. Raya Kaliabang Tengah No 06, Kel. Kaliabang Tengah, Kec. Bekasi Utara, Kota Bekasi</v>
      </c>
      <c r="E498" s="24" t="str">
        <f>'DE ( Tarik barang retur )'!D475</f>
        <v>26041715282137f28bJNKw</v>
      </c>
      <c r="F498" s="24" t="str">
        <f>'DE ( Tarik barang retur )'!R475</f>
        <v>TMP-INV-2026/04/18/ 2651184 IMBOOST EXTRA VIT C dan D3 KIDS Soho TABLET HISAP DUS, BOTOL PLASTIK @ 21 TABLET HISAP Tarik Barang Retur</v>
      </c>
      <c r="G498" s="36">
        <f>'DE ( Tarik barang retur )'!AF475</f>
        <v>46183</v>
      </c>
      <c r="H498" s="22">
        <v>46183.0</v>
      </c>
      <c r="I498" s="22">
        <v>46184.0</v>
      </c>
      <c r="J498" s="21" t="s">
        <v>5294</v>
      </c>
      <c r="K498" s="24"/>
      <c r="L498" s="24">
        <f t="shared" si="2"/>
        <v>1</v>
      </c>
      <c r="M498" s="24"/>
      <c r="N498" s="24"/>
      <c r="O498" s="24"/>
      <c r="P498" s="25"/>
      <c r="Q498" s="25"/>
      <c r="R498" s="25"/>
      <c r="S498" s="25"/>
      <c r="T498" s="25"/>
      <c r="U498" s="25"/>
      <c r="V498" s="25"/>
      <c r="W498" s="25"/>
      <c r="X498" s="25"/>
      <c r="Y498" s="25"/>
      <c r="Z498" s="25"/>
      <c r="AA498" s="25"/>
      <c r="AB498" s="25"/>
      <c r="AC498" s="25"/>
    </row>
    <row r="499">
      <c r="A499" s="24" t="str">
        <f>'DE ( Tarik barang retur )'!AC476</f>
        <v>AWBR-2958-2026-6-10-01</v>
      </c>
      <c r="B499" s="24" t="str">
        <f>'DE ( Tarik barang retur )'!F476</f>
        <v>Apotek Hayy Farma</v>
      </c>
      <c r="C499" s="35">
        <f>'DE ( Tarik barang retur )'!G476</f>
        <v>87774007271</v>
      </c>
      <c r="D499" s="24" t="str">
        <f>'DE ( Tarik barang retur )'!H476</f>
        <v>Kp. Kamansari RT 002/005 No 18. Desa Cikande. Kec. Cikande. Kab. Serang Banten 42186</v>
      </c>
      <c r="E499" s="24" t="str">
        <f>'DE ( Tarik barang retur )'!D476</f>
        <v>260525030333048l0WtPCoM7</v>
      </c>
      <c r="F499" s="24" t="str">
        <f>'DE ( Tarik barang retur )'!R476</f>
        <v>TMP-INV-2026/05/25/ 2783623 TRINORDIOL-28 Sunthi TABLET DUS, 2 BLISTER @ 28 TABLET SALUT GULA Tarik Barang Retur</v>
      </c>
      <c r="G499" s="36">
        <f>'DE ( Tarik barang retur )'!AF476</f>
        <v>46183</v>
      </c>
      <c r="H499" s="22">
        <v>46183.0</v>
      </c>
      <c r="I499" s="22">
        <v>46184.0</v>
      </c>
      <c r="J499" s="21" t="s">
        <v>5294</v>
      </c>
      <c r="K499" s="24"/>
      <c r="L499" s="24">
        <f t="shared" si="2"/>
        <v>1</v>
      </c>
      <c r="M499" s="24"/>
      <c r="N499" s="24"/>
      <c r="O499" s="24"/>
      <c r="P499" s="25"/>
      <c r="Q499" s="25"/>
      <c r="R499" s="25"/>
      <c r="S499" s="25"/>
      <c r="T499" s="25"/>
      <c r="U499" s="25"/>
      <c r="V499" s="25"/>
      <c r="W499" s="25"/>
      <c r="X499" s="25"/>
      <c r="Y499" s="25"/>
      <c r="Z499" s="25"/>
      <c r="AA499" s="25"/>
      <c r="AB499" s="25"/>
      <c r="AC499" s="25"/>
    </row>
    <row r="500">
      <c r="A500" s="24" t="str">
        <f>'DE ( Tarik barang retur )'!AC477</f>
        <v>AWBR-14029-2026-6-10-01</v>
      </c>
      <c r="B500" s="24" t="str">
        <f>'DE ( Tarik barang retur )'!F477</f>
        <v>Apotek Inofarma Pulogebang</v>
      </c>
      <c r="C500" s="35">
        <f>'DE ( Tarik barang retur )'!G477</f>
        <v>6.28789E+17</v>
      </c>
      <c r="D500" s="24" t="str">
        <f>'DE ( Tarik barang retur )'!H477</f>
        <v>Jl. Pulo Gebang No. 63 RT 001 RW 006, Pulo Gebang, Cakung, Kota Jakarta Timur</v>
      </c>
      <c r="E500" s="24" t="str">
        <f>'DE ( Tarik barang retur )'!D477</f>
        <v>26051903255916OUCXfXQmW0</v>
      </c>
      <c r="F500" s="24" t="str">
        <f>'DE ( Tarik barang retur )'!R477</f>
        <v>TMP-INV-2026/05/20/ 2763745 TMP-INV-2026/05/25/ 2783879 SELECTION FACIAL COTTON PACK @ 75 GRAM TRINORDIOL-28 Sunthi TABLET DUS, 2 BLISTER @ 28 TABLET SALUT GULA Tarik Barang Damaged</v>
      </c>
      <c r="G500" s="36">
        <f>'DE ( Tarik barang retur )'!AF477</f>
        <v>46183</v>
      </c>
      <c r="H500" s="22">
        <v>46183.0</v>
      </c>
      <c r="I500" s="22">
        <v>46184.0</v>
      </c>
      <c r="J500" s="21" t="s">
        <v>5294</v>
      </c>
      <c r="K500" s="24"/>
      <c r="L500" s="24">
        <f t="shared" si="2"/>
        <v>1</v>
      </c>
      <c r="M500" s="24"/>
      <c r="N500" s="24"/>
      <c r="O500" s="24"/>
      <c r="P500" s="25"/>
      <c r="Q500" s="25"/>
      <c r="R500" s="25"/>
      <c r="S500" s="25"/>
      <c r="T500" s="25"/>
      <c r="U500" s="25"/>
      <c r="V500" s="25"/>
      <c r="W500" s="25"/>
      <c r="X500" s="25"/>
      <c r="Y500" s="25"/>
      <c r="Z500" s="25"/>
      <c r="AA500" s="25"/>
      <c r="AB500" s="25"/>
      <c r="AC500" s="25"/>
    </row>
    <row r="501">
      <c r="A501" s="24" t="str">
        <f>'DE ( Tarik barang retur )'!AC478</f>
        <v>AWBR-14025-2026-6-10-01</v>
      </c>
      <c r="B501" s="24" t="str">
        <f>'DE ( Tarik barang retur )'!F478</f>
        <v>Apotek Inofarma Syahdan</v>
      </c>
      <c r="C501" s="35">
        <f>'DE ( Tarik barang retur )'!G478</f>
        <v>6.28789E+17</v>
      </c>
      <c r="D501" s="24" t="str">
        <f>'DE ( Tarik barang retur )'!H478</f>
        <v>Jl. K.H. Syahdan No. 02 RT 003 RW 011, Kel. Palmerah, Kec. Pal Merah, Kota Jakarta Barat</v>
      </c>
      <c r="E501" s="24" t="str">
        <f>'DE ( Tarik barang retur )'!D478</f>
        <v>260522040021418H2ovaumx4</v>
      </c>
      <c r="F501" s="24" t="str">
        <f>'DE ( Tarik barang retur )'!R478</f>
        <v>TMP-INV-2026/05/22/ 2774884 IMBOOST Soho TABLET DUS, 5 AMPLOP @ 1 STRIP @ 10 TABLET SALUT SELAPUT Tarik Barang Damaged</v>
      </c>
      <c r="G501" s="36">
        <f>'DE ( Tarik barang retur )'!AF478</f>
        <v>46183</v>
      </c>
      <c r="H501" s="22">
        <v>46184.0</v>
      </c>
      <c r="I501" s="22">
        <v>46186.0</v>
      </c>
      <c r="J501" s="21" t="s">
        <v>5294</v>
      </c>
      <c r="K501" s="24"/>
      <c r="L501" s="24">
        <f t="shared" si="2"/>
        <v>1</v>
      </c>
      <c r="M501" s="24"/>
      <c r="N501" s="24"/>
      <c r="O501" s="24"/>
      <c r="P501" s="25"/>
      <c r="Q501" s="25"/>
      <c r="R501" s="25"/>
      <c r="S501" s="25"/>
      <c r="T501" s="25"/>
      <c r="U501" s="25"/>
      <c r="V501" s="25"/>
      <c r="W501" s="25"/>
      <c r="X501" s="25"/>
      <c r="Y501" s="25"/>
      <c r="Z501" s="25"/>
      <c r="AA501" s="25"/>
      <c r="AB501" s="25"/>
      <c r="AC501" s="25"/>
    </row>
    <row r="502">
      <c r="A502" s="24" t="str">
        <f>'DE ( Tarik barang retur )'!AC479</f>
        <v>AWBR-1695-2026-6-10-01</v>
      </c>
      <c r="B502" s="24" t="str">
        <f>'DE ( Tarik barang retur )'!F479</f>
        <v>Apotek K24 Pondok Kopi</v>
      </c>
      <c r="C502" s="35">
        <f>'DE ( Tarik barang retur )'!G479</f>
        <v>82111559870</v>
      </c>
      <c r="D502" s="24" t="str">
        <f>'DE ( Tarik barang retur )'!H479</f>
        <v>Jalan Pondok Kopi Raya No.7 RT 05 RW 10 Kelurahan Pondok Kopi Kecamatan Duren Sawit Jakarta Timur 13460</v>
      </c>
      <c r="E502" s="24" t="str">
        <f>'DE ( Tarik barang retur )'!D479</f>
        <v>25052904223636FepAEDAtK7</v>
      </c>
      <c r="F502" s="24" t="str">
        <f>'DE ( Tarik barang retur )'!R479</f>
        <v>TMP-INV-2025/05/30/ 1617061 CURVIT Soho SIRUP DUS, BOTOL KACA @ 120 ML Tarik Barang Retur</v>
      </c>
      <c r="G502" s="36">
        <f>'DE ( Tarik barang retur )'!AF479</f>
        <v>46183</v>
      </c>
      <c r="H502" s="22">
        <v>46183.0</v>
      </c>
      <c r="I502" s="22">
        <v>46184.0</v>
      </c>
      <c r="J502" s="21" t="s">
        <v>5294</v>
      </c>
      <c r="K502" s="24"/>
      <c r="L502" s="24">
        <f t="shared" si="2"/>
        <v>1</v>
      </c>
      <c r="M502" s="24"/>
      <c r="N502" s="24"/>
      <c r="O502" s="24"/>
      <c r="P502" s="25"/>
      <c r="Q502" s="25"/>
      <c r="R502" s="25"/>
      <c r="S502" s="25"/>
      <c r="T502" s="25"/>
      <c r="U502" s="25"/>
      <c r="V502" s="25"/>
      <c r="W502" s="25"/>
      <c r="X502" s="25"/>
      <c r="Y502" s="25"/>
      <c r="Z502" s="25"/>
      <c r="AA502" s="25"/>
      <c r="AB502" s="25"/>
      <c r="AC502" s="25"/>
    </row>
    <row r="503">
      <c r="A503" s="24" t="str">
        <f>'DE ( Tarik barang retur )'!AC480</f>
        <v>AWBR-699-2026-6-10-01</v>
      </c>
      <c r="B503" s="24" t="str">
        <f>'DE ( Tarik barang retur )'!F480</f>
        <v>Apotek Kessy</v>
      </c>
      <c r="C503" s="35">
        <f>'DE ( Tarik barang retur )'!G480</f>
        <v>81316511464</v>
      </c>
      <c r="D503" s="24" t="str">
        <f>'DE ( Tarik barang retur )'!H480</f>
        <v>Jalan Margahayu Raya Blok C No.85 RT.004 RW.015 Kelurahan Margahayu, Kecamatan Bekasi Timur, Kota Bekasi 17113</v>
      </c>
      <c r="E503" s="24" t="str">
        <f>'DE ( Tarik barang retur )'!D480</f>
        <v>26050703225619lHl9ovVxyH</v>
      </c>
      <c r="F503" s="24" t="str">
        <f>'DE ( Tarik barang retur )'!R480</f>
        <v>TMP-INV-2026/05/07/ 2718749 SUTRA LUBRICANT DKT TUBE, 50 ML Tarik Barang Retur</v>
      </c>
      <c r="G503" s="36">
        <f>'DE ( Tarik barang retur )'!AF480</f>
        <v>46183</v>
      </c>
      <c r="H503" s="22">
        <v>46184.0</v>
      </c>
      <c r="I503" s="22">
        <v>46184.0</v>
      </c>
      <c r="J503" s="21" t="s">
        <v>5294</v>
      </c>
      <c r="K503" s="24"/>
      <c r="L503" s="24">
        <f t="shared" si="2"/>
        <v>1</v>
      </c>
      <c r="M503" s="24"/>
      <c r="N503" s="24"/>
      <c r="O503" s="24"/>
      <c r="P503" s="25"/>
      <c r="Q503" s="25"/>
      <c r="R503" s="25"/>
      <c r="S503" s="25"/>
      <c r="T503" s="25"/>
      <c r="U503" s="25"/>
      <c r="V503" s="25"/>
      <c r="W503" s="25"/>
      <c r="X503" s="25"/>
      <c r="Y503" s="25"/>
      <c r="Z503" s="25"/>
      <c r="AA503" s="25"/>
      <c r="AB503" s="25"/>
      <c r="AC503" s="25"/>
    </row>
    <row r="504">
      <c r="A504" s="24" t="str">
        <f>'DE ( Tarik barang retur )'!AC481</f>
        <v>AWBR-1725-2026-6-10-01</v>
      </c>
      <c r="B504" s="24" t="str">
        <f>'DE ( Tarik barang retur )'!F481</f>
        <v>Apotek Makmur Sehat</v>
      </c>
      <c r="C504" s="35">
        <f>'DE ( Tarik barang retur )'!G481</f>
        <v>81354877771</v>
      </c>
      <c r="D504" s="24" t="str">
        <f>'DE ( Tarik barang retur )'!H481</f>
        <v>Jalan Raya Pondok Petir No. 38 RT. 004/005 Kelurahan Pondok Petir Kecamatan Bojongsari Kota Depok 16516</v>
      </c>
      <c r="E504" s="24" t="str">
        <f>'DE ( Tarik barang retur )'!D481</f>
        <v>26050907582633k8LQVdWyM</v>
      </c>
      <c r="F504" s="24" t="str">
        <f>'DE ( Tarik barang retur )'!R481</f>
        <v>TMP-INV-2026/05/10/ 2729745 DEXTAMINE Phapros SIRUP DUS, BOTOL 60 ML Tarik Barang Retur</v>
      </c>
      <c r="G504" s="36">
        <f>'DE ( Tarik barang retur )'!AF481</f>
        <v>46183</v>
      </c>
      <c r="H504" s="22">
        <v>46183.0</v>
      </c>
      <c r="I504" s="22">
        <v>46184.0</v>
      </c>
      <c r="J504" s="21" t="s">
        <v>5294</v>
      </c>
      <c r="K504" s="24"/>
      <c r="L504" s="24">
        <f t="shared" si="2"/>
        <v>1</v>
      </c>
      <c r="M504" s="24"/>
      <c r="N504" s="24"/>
      <c r="O504" s="24"/>
      <c r="P504" s="25"/>
      <c r="Q504" s="25"/>
      <c r="R504" s="25"/>
      <c r="S504" s="25"/>
      <c r="T504" s="25"/>
      <c r="U504" s="25"/>
      <c r="V504" s="25"/>
      <c r="W504" s="25"/>
      <c r="X504" s="25"/>
      <c r="Y504" s="25"/>
      <c r="Z504" s="25"/>
      <c r="AA504" s="25"/>
      <c r="AB504" s="25"/>
      <c r="AC504" s="25"/>
    </row>
    <row r="505">
      <c r="A505" s="24" t="str">
        <f>'DE ( Tarik barang retur )'!AC482</f>
        <v>AWBR-13495-2026-6-10-01</v>
      </c>
      <c r="B505" s="24" t="str">
        <f>'DE ( Tarik barang retur )'!F482</f>
        <v>Apotek Mandiri Farma Sampora Cisauk</v>
      </c>
      <c r="C505" s="35">
        <f>'DE ( Tarik barang retur )'!G482</f>
        <v>6.28159E+16</v>
      </c>
      <c r="D505" s="24" t="str">
        <f>'DE ( Tarik barang retur )'!H482</f>
        <v>Ruko Campton Blok A Nomor 6, BSD City, Desa/Kelurahan Sampora, Kec. Cisauk, Kab. Tangerang</v>
      </c>
      <c r="E505" s="24" t="str">
        <f>'DE ( Tarik barang retur )'!D482</f>
        <v>26052903571137TFcimbtF6M</v>
      </c>
      <c r="F505" s="24" t="str">
        <f>'DE ( Tarik barang retur )'!R482</f>
        <v>TMP-INV-2026/05/29/ 2795937 TRINORDIOL-28 Sunthi TABLET DUS, 2 BLISTER @ 28 TABLET SALUT GULA Tarik Barang Retur</v>
      </c>
      <c r="G505" s="36">
        <f>'DE ( Tarik barang retur )'!AF482</f>
        <v>46183</v>
      </c>
      <c r="H505" s="22">
        <v>46184.0</v>
      </c>
      <c r="I505" s="22">
        <v>46186.0</v>
      </c>
      <c r="J505" s="21" t="s">
        <v>5294</v>
      </c>
      <c r="K505" s="24"/>
      <c r="L505" s="24">
        <f t="shared" si="2"/>
        <v>1</v>
      </c>
      <c r="M505" s="24"/>
      <c r="N505" s="24"/>
      <c r="O505" s="24"/>
      <c r="P505" s="25"/>
      <c r="Q505" s="25"/>
      <c r="R505" s="25"/>
      <c r="S505" s="25"/>
      <c r="T505" s="25"/>
      <c r="U505" s="25"/>
      <c r="V505" s="25"/>
      <c r="W505" s="25"/>
      <c r="X505" s="25"/>
      <c r="Y505" s="25"/>
      <c r="Z505" s="25"/>
      <c r="AA505" s="25"/>
      <c r="AB505" s="25"/>
      <c r="AC505" s="25"/>
    </row>
    <row r="506">
      <c r="A506" s="24" t="str">
        <f>'DE ( Tarik barang retur )'!AC483</f>
        <v>AWBR-350-2026-6-10-01</v>
      </c>
      <c r="B506" s="24" t="str">
        <f>'DE ( Tarik barang retur )'!F483</f>
        <v>Apotek Medicastore</v>
      </c>
      <c r="C506" s="35">
        <f>'DE ( Tarik barang retur )'!G483</f>
        <v>2129323456</v>
      </c>
      <c r="D506" s="24" t="str">
        <f>'DE ( Tarik barang retur )'!H483</f>
        <v>Jalan Pos Pengumben Lama No. 24 RT 009 RW 003 Kelurahan Srengseng, Kecamatan Kembangan 11630</v>
      </c>
      <c r="E506" s="24" t="str">
        <f>'DE ( Tarik barang retur )'!D483</f>
        <v>25012807431641NtozTFr07</v>
      </c>
      <c r="F506" s="24" t="str">
        <f>'DE ( Tarik barang retur )'!R483</f>
        <v>TMP-INV-2025/01/29/ 1312680 OBH COMBI BATUK PLUS FLU RASA JAHE Combiphar SIRUP DUS, 1 BOTOL PLASTIK @ 100 ML OBH COMBI BATUK PLUS FLU RASA JAHE Combiphar SIRUP DUS, 1 BOTOL PLASTIK @ 60 ML Tarik Barang Retur</v>
      </c>
      <c r="G506" s="36">
        <f>'DE ( Tarik barang retur )'!AF483</f>
        <v>46183</v>
      </c>
      <c r="H506" s="22">
        <v>46184.0</v>
      </c>
      <c r="I506" s="22">
        <v>46185.0</v>
      </c>
      <c r="J506" s="21" t="s">
        <v>5294</v>
      </c>
      <c r="K506" s="24"/>
      <c r="L506" s="24">
        <f t="shared" si="2"/>
        <v>1</v>
      </c>
      <c r="M506" s="24"/>
      <c r="N506" s="24"/>
      <c r="O506" s="24"/>
      <c r="P506" s="25"/>
      <c r="Q506" s="25"/>
      <c r="R506" s="25"/>
      <c r="S506" s="25"/>
      <c r="T506" s="25"/>
      <c r="U506" s="25"/>
      <c r="V506" s="25"/>
      <c r="W506" s="25"/>
      <c r="X506" s="25"/>
      <c r="Y506" s="25"/>
      <c r="Z506" s="25"/>
      <c r="AA506" s="25"/>
      <c r="AB506" s="25"/>
      <c r="AC506" s="25"/>
    </row>
    <row r="507">
      <c r="A507" s="24" t="str">
        <f>'DE ( Tarik barang retur )'!AC484</f>
        <v>AWBR-1601-2026-6-10-01</v>
      </c>
      <c r="B507" s="24" t="str">
        <f>'DE ( Tarik barang retur )'!F484</f>
        <v>Apotek Medicastore 1601</v>
      </c>
      <c r="C507" s="35">
        <f>'DE ( Tarik barang retur )'!G484</f>
        <v>81585857777</v>
      </c>
      <c r="D507" s="24" t="str">
        <f>'DE ( Tarik barang retur )'!H484</f>
        <v>Jalan Kelapa Gading Boulevard Blok CN-2 Kav. No. 26 RT 03 RW 012 Kelurahan Kelapa Gading Timur Kecamatan Kelapa Gading Jakarta Utara 14240</v>
      </c>
      <c r="E507" s="24" t="str">
        <f>'DE ( Tarik barang retur )'!D484</f>
        <v>25030414110053j9wEFXYSo</v>
      </c>
      <c r="F507" s="24" t="str">
        <f>'DE ( Tarik barang retur )'!R484</f>
        <v>TMP-INV-2025/03/05/ 1400818 NASONEX Organon SEMPROT HIDUNG 50 MCG/DOSIS DUS, 1 BOTOL PLASTIK @ 60 DOSIS Tarik Barang Retur</v>
      </c>
      <c r="G507" s="36">
        <f>'DE ( Tarik barang retur )'!AF484</f>
        <v>46183</v>
      </c>
      <c r="H507" s="22">
        <v>46184.0</v>
      </c>
      <c r="I507" s="22">
        <v>46184.0</v>
      </c>
      <c r="J507" s="21" t="s">
        <v>5294</v>
      </c>
      <c r="K507" s="24"/>
      <c r="L507" s="24">
        <f t="shared" si="2"/>
        <v>1</v>
      </c>
      <c r="M507" s="24"/>
      <c r="N507" s="24"/>
      <c r="O507" s="24"/>
      <c r="P507" s="25"/>
      <c r="Q507" s="25"/>
      <c r="R507" s="25"/>
      <c r="S507" s="25"/>
      <c r="T507" s="25"/>
      <c r="U507" s="25"/>
      <c r="V507" s="25"/>
      <c r="W507" s="25"/>
      <c r="X507" s="25"/>
      <c r="Y507" s="25"/>
      <c r="Z507" s="25"/>
      <c r="AA507" s="25"/>
      <c r="AB507" s="25"/>
      <c r="AC507" s="25"/>
    </row>
    <row r="508">
      <c r="A508" s="24" t="str">
        <f>'DE ( Tarik barang retur )'!AC485</f>
        <v>AWBR-9143-2026-6-10-01</v>
      </c>
      <c r="B508" s="24" t="str">
        <f>'DE ( Tarik barang retur )'!F485</f>
        <v>Apotek Mypharma Pluit Penjaringan</v>
      </c>
      <c r="C508" s="35">
        <f>'DE ( Tarik barang retur )'!G485</f>
        <v>81617575708</v>
      </c>
      <c r="D508" s="24" t="str">
        <f>'DE ( Tarik barang retur )'!H485</f>
        <v>Jl. Muara Karang Blok D7 No. 49-50, RT 007 RW 008, Kel. Pluit, Kec. Penjaringan, Jakarta Utara 14450</v>
      </c>
      <c r="E508" s="24" t="str">
        <f>'DE ( Tarik barang retur )'!D485</f>
        <v>24060309355521NXQWlN9d7</v>
      </c>
      <c r="F508" s="24" t="str">
        <f>'DE ( Tarik barang retur )'!R485</f>
        <v>TMP-INV-2024/06/04/ 815642 TERMOREX PATCH DUS, 6 SACHET Tarik Barang Retur</v>
      </c>
      <c r="G508" s="36">
        <f>'DE ( Tarik barang retur )'!AF485</f>
        <v>46183</v>
      </c>
      <c r="H508" s="22">
        <v>46184.0</v>
      </c>
      <c r="I508" s="22">
        <v>46186.0</v>
      </c>
      <c r="J508" s="21" t="s">
        <v>5294</v>
      </c>
      <c r="K508" s="24"/>
      <c r="L508" s="24">
        <f t="shared" si="2"/>
        <v>1</v>
      </c>
      <c r="M508" s="24"/>
      <c r="N508" s="24"/>
      <c r="O508" s="24"/>
      <c r="P508" s="25"/>
      <c r="Q508" s="25"/>
      <c r="R508" s="25"/>
      <c r="S508" s="25"/>
      <c r="T508" s="25"/>
      <c r="U508" s="25"/>
      <c r="V508" s="25"/>
      <c r="W508" s="25"/>
      <c r="X508" s="25"/>
      <c r="Y508" s="25"/>
      <c r="Z508" s="25"/>
      <c r="AA508" s="25"/>
      <c r="AB508" s="25"/>
      <c r="AC508" s="25"/>
    </row>
    <row r="509">
      <c r="A509" s="24" t="str">
        <f>'DE ( Tarik barang retur )'!AC486</f>
        <v>AWBR-3042-2026-6-10-01</v>
      </c>
      <c r="B509" s="24" t="str">
        <f>'DE ( Tarik barang retur )'!F486</f>
        <v>Apotek Najah</v>
      </c>
      <c r="C509" s="35">
        <f>'DE ( Tarik barang retur )'!G486</f>
        <v>6.2859E+16</v>
      </c>
      <c r="D509" s="24" t="str">
        <f>'DE ( Tarik barang retur )'!H486</f>
        <v>Jl. Ruko Little China JD 20, Legenda Wisata Desa/Kelurahan Nagrak, Kecamatan Gunung Putri, Kabupaten Bogor, Jawa Barat, 16967</v>
      </c>
      <c r="E509" s="24" t="str">
        <f>'DE ( Tarik barang retur )'!D486</f>
        <v>25020600434635QHBgST0he</v>
      </c>
      <c r="F509" s="24" t="str">
        <f>'DE ( Tarik barang retur )'!R486</f>
        <v>TMP-INV-2025/02/06/ 1334223 VENTOLIN Gsk SIRUP 2 MG/5 ML DUS, 1 BOTOL @ 100 ML Tarik Barang Retur</v>
      </c>
      <c r="G509" s="36">
        <f>'DE ( Tarik barang retur )'!AF486</f>
        <v>46183</v>
      </c>
      <c r="H509" s="22">
        <v>46183.0</v>
      </c>
      <c r="I509" s="22">
        <v>46184.0</v>
      </c>
      <c r="J509" s="21" t="s">
        <v>5294</v>
      </c>
      <c r="K509" s="24"/>
      <c r="L509" s="24">
        <f t="shared" si="2"/>
        <v>1</v>
      </c>
      <c r="M509" s="24"/>
      <c r="N509" s="24"/>
      <c r="O509" s="24"/>
      <c r="P509" s="25"/>
      <c r="Q509" s="25"/>
      <c r="R509" s="25"/>
      <c r="S509" s="25"/>
      <c r="T509" s="25"/>
      <c r="U509" s="25"/>
      <c r="V509" s="25"/>
      <c r="W509" s="25"/>
      <c r="X509" s="25"/>
      <c r="Y509" s="25"/>
      <c r="Z509" s="25"/>
      <c r="AA509" s="25"/>
      <c r="AB509" s="25"/>
      <c r="AC509" s="25"/>
    </row>
    <row r="510">
      <c r="A510" s="24" t="str">
        <f>'DE ( Tarik barang retur )'!AC487</f>
        <v>AWBR-15476-2026-6-10-01</v>
      </c>
      <c r="B510" s="24" t="str">
        <f>'DE ( Tarik barang retur )'!F487</f>
        <v>Apotek Omega Wijaya Kusuma Grogol Petamburan</v>
      </c>
      <c r="C510" s="35">
        <f>'DE ( Tarik barang retur )'!G487</f>
        <v>6.28121E+17</v>
      </c>
      <c r="D510" s="24" t="str">
        <f>'DE ( Tarik barang retur )'!H487</f>
        <v>Jalan Anyar Raya 6 Rt 7 Rw 10 Wijaya Kusuma Grogol Petamburan Jakarta Barat, Desa/Kelurahan Wijaya Kusuma, Kec. Grogol Petamburan, Kota Adm. Jakarta Barat</v>
      </c>
      <c r="E510" s="24" t="str">
        <f>'DE ( Tarik barang retur )'!D487</f>
        <v>25070414441993y6XfjZuh</v>
      </c>
      <c r="F510" s="24" t="str">
        <f>'DE ( Tarik barang retur )'!R487</f>
        <v>TMP-INV-2025/07/05/ 1714751 DUPHALAC Abbott SIRUP 3.335 G DUS, 1 BOTOL PLASTIK @ 200 ML Tarik Barang Retur</v>
      </c>
      <c r="G510" s="36">
        <f>'DE ( Tarik barang retur )'!AF487</f>
        <v>46183</v>
      </c>
      <c r="H510" s="22">
        <v>46184.0</v>
      </c>
      <c r="I510" s="22">
        <v>46186.0</v>
      </c>
      <c r="J510" s="21" t="s">
        <v>5294</v>
      </c>
      <c r="K510" s="24"/>
      <c r="L510" s="24">
        <f t="shared" si="2"/>
        <v>1</v>
      </c>
      <c r="M510" s="24"/>
      <c r="N510" s="24"/>
      <c r="O510" s="24"/>
      <c r="P510" s="25"/>
      <c r="Q510" s="25"/>
      <c r="R510" s="25"/>
      <c r="S510" s="25"/>
      <c r="T510" s="25"/>
      <c r="U510" s="25"/>
      <c r="V510" s="25"/>
      <c r="W510" s="25"/>
      <c r="X510" s="25"/>
      <c r="Y510" s="25"/>
      <c r="Z510" s="25"/>
      <c r="AA510" s="25"/>
      <c r="AB510" s="25"/>
      <c r="AC510" s="25"/>
    </row>
    <row r="511">
      <c r="A511" s="24" t="str">
        <f>'DE ( Tarik barang retur )'!AC488</f>
        <v>AWBR-1211-2026-6-10-01</v>
      </c>
      <c r="B511" s="24" t="str">
        <f>'DE ( Tarik barang retur )'!F488</f>
        <v>Apotek Prisma Farma</v>
      </c>
      <c r="C511" s="35">
        <f>'DE ( Tarik barang retur )'!G488</f>
        <v>82217371661</v>
      </c>
      <c r="D511" s="24" t="str">
        <f>'DE ( Tarik barang retur )'!H488</f>
        <v>Jalan Raya Binong No. 55 Curug Kampung Galuga Kelurahan Binong Kecamatan Curug Kabupaten Tangerang 15810</v>
      </c>
      <c r="E511" s="24" t="str">
        <f>'DE ( Tarik barang retur )'!D488</f>
        <v>26053012233465ULZjsmtxTT</v>
      </c>
      <c r="F511" s="24" t="str">
        <f>'DE ( Tarik barang retur )'!R488</f>
        <v>TMP-INV-2026/05/31/ 2801725 TRINORDIOL-28 Sunthi TABLET DUS, 2 BLISTER @ 28 TABLET SALUT GULA Tarik Barang Retur</v>
      </c>
      <c r="G511" s="36">
        <f>'DE ( Tarik barang retur )'!AF488</f>
        <v>46183</v>
      </c>
      <c r="H511" s="22">
        <v>46184.0</v>
      </c>
      <c r="I511" s="22">
        <v>46185.0</v>
      </c>
      <c r="J511" s="21" t="s">
        <v>5294</v>
      </c>
      <c r="K511" s="24"/>
      <c r="L511" s="24">
        <f t="shared" si="2"/>
        <v>1</v>
      </c>
      <c r="M511" s="24"/>
      <c r="N511" s="24"/>
      <c r="O511" s="24"/>
      <c r="P511" s="25"/>
      <c r="Q511" s="25"/>
      <c r="R511" s="25"/>
      <c r="S511" s="25"/>
      <c r="T511" s="25"/>
      <c r="U511" s="25"/>
      <c r="V511" s="25"/>
      <c r="W511" s="25"/>
      <c r="X511" s="25"/>
      <c r="Y511" s="25"/>
      <c r="Z511" s="25"/>
      <c r="AA511" s="25"/>
      <c r="AB511" s="25"/>
      <c r="AC511" s="25"/>
    </row>
    <row r="512">
      <c r="A512" s="24" t="str">
        <f>'DE ( Tarik barang retur )'!AC489</f>
        <v>AWBR-13296-2026-6-10-01</v>
      </c>
      <c r="B512" s="24" t="str">
        <f>'DE ( Tarik barang retur )'!F489</f>
        <v>Apotek Saya Sehat</v>
      </c>
      <c r="C512" s="35">
        <f>'DE ( Tarik barang retur )'!G489</f>
        <v>6.2823E+16</v>
      </c>
      <c r="D512" s="24" t="str">
        <f>'DE ( Tarik barang retur )'!H489</f>
        <v>Jl Permata Taman Palem Blok D9 No 36 RT 02 RW 03 Kel. Pegadungan Kec. Kalideres Kota Jakarta Barat</v>
      </c>
      <c r="E512" s="24" t="str">
        <f>'DE ( Tarik barang retur )'!D489</f>
        <v>25060705113774q1f8yhylak</v>
      </c>
      <c r="F512" s="24" t="str">
        <f>'DE ( Tarik barang retur )'!R489</f>
        <v>TMP-INV-2025/06/07/ 1639267 NOROID DERMA RASH Soho KRIM TUBE 60 ML Tarik Barang Retur</v>
      </c>
      <c r="G512" s="36">
        <f>'DE ( Tarik barang retur )'!AF489</f>
        <v>46183</v>
      </c>
      <c r="H512" s="22">
        <v>46184.0</v>
      </c>
      <c r="I512" s="22">
        <v>46185.0</v>
      </c>
      <c r="J512" s="21" t="s">
        <v>5294</v>
      </c>
      <c r="K512" s="24"/>
      <c r="L512" s="24">
        <f t="shared" si="2"/>
        <v>1</v>
      </c>
      <c r="M512" s="24"/>
      <c r="N512" s="24"/>
      <c r="O512" s="24"/>
      <c r="P512" s="25"/>
      <c r="Q512" s="25"/>
      <c r="R512" s="25"/>
      <c r="S512" s="25"/>
      <c r="T512" s="25"/>
      <c r="U512" s="25"/>
      <c r="V512" s="25"/>
      <c r="W512" s="25"/>
      <c r="X512" s="25"/>
      <c r="Y512" s="25"/>
      <c r="Z512" s="25"/>
      <c r="AA512" s="25"/>
      <c r="AB512" s="25"/>
      <c r="AC512" s="25"/>
    </row>
    <row r="513">
      <c r="A513" s="24" t="str">
        <f>'DE ( Tarik barang retur )'!AC490</f>
        <v>AWBR-15523-2026-6-10-01</v>
      </c>
      <c r="B513" s="24" t="str">
        <f>'DE ( Tarik barang retur )'!F490</f>
        <v>Apotek Shibuya Lemo Teluknaga</v>
      </c>
      <c r="C513" s="35">
        <f>'DE ( Tarik barang retur )'!G490</f>
        <v>6.28581E+17</v>
      </c>
      <c r="D513" s="24" t="str">
        <f>'DE ( Tarik barang retur )'!H490</f>
        <v>Rukan Shibuya Blok E No 19, Desa/Kelurahan Lemo, Kec. Teluknaga, Kab. Tangeran</v>
      </c>
      <c r="E513" s="24" t="str">
        <f>'DE ( Tarik barang retur )'!D490</f>
        <v>25101310140856XdyaujAF2</v>
      </c>
      <c r="F513" s="24" t="str">
        <f>'DE ( Tarik barang retur )'!R490</f>
        <v>TMP-INV-2025/10/14/ 2022851 TMP-INV-2025/12/29/ 2274325 TMP-INV-2026/02/06/ 2404497 YOUVIT MULTIVITAMIN GUMMY RASA STRAWBERRY, GOJIBERRY, CANBERRY, RASPBERRY, BLUEBERRY Yupi - POUCH POUCH @ 30 GUMMIES 120 G / KIRANTI SEHAT DATANG BULAN Cayadewi ORIGINAL BOTOL @ 150 ML / MOXIBAT Interbat KAPLET 400 MG DUS, 1 BLISTER @ 5 KAPLET SALUT SELAPUT Tarik Barang Retur</v>
      </c>
      <c r="G513" s="36">
        <f>'DE ( Tarik barang retur )'!AF490</f>
        <v>46183</v>
      </c>
      <c r="H513" s="22">
        <v>46184.0</v>
      </c>
      <c r="I513" s="22">
        <v>46185.0</v>
      </c>
      <c r="J513" s="21" t="s">
        <v>5294</v>
      </c>
      <c r="K513" s="24"/>
      <c r="L513" s="24">
        <f t="shared" si="2"/>
        <v>1</v>
      </c>
      <c r="M513" s="24"/>
      <c r="N513" s="24"/>
      <c r="O513" s="24"/>
      <c r="P513" s="25"/>
      <c r="Q513" s="25"/>
      <c r="R513" s="25"/>
      <c r="S513" s="25"/>
      <c r="T513" s="25"/>
      <c r="U513" s="25"/>
      <c r="V513" s="25"/>
      <c r="W513" s="25"/>
      <c r="X513" s="25"/>
      <c r="Y513" s="25"/>
      <c r="Z513" s="25"/>
      <c r="AA513" s="25"/>
      <c r="AB513" s="25"/>
      <c r="AC513" s="25"/>
    </row>
    <row r="514">
      <c r="A514" s="24" t="str">
        <f>'DE ( Tarik barang retur )'!AC491</f>
        <v>AWBR-7692-2026-6-10-01</v>
      </c>
      <c r="B514" s="24" t="str">
        <f>'DE ( Tarik barang retur )'!F491</f>
        <v>Apotek Taman Asri 7692</v>
      </c>
      <c r="C514" s="35">
        <f>'DE ( Tarik barang retur )'!G491</f>
        <v>85880687416</v>
      </c>
      <c r="D514" s="24" t="str">
        <f>'DE ( Tarik barang retur )'!H491</f>
        <v>Jl. HOS Cokroaminoto RT. 004 RW 001 No. 9 Kel. Larangan Utara Kec. Larangan Kota Tangerang 15154</v>
      </c>
      <c r="E514" s="24" t="str">
        <f>'DE ( Tarik barang retur )'!D491</f>
        <v>25061605454811mCyan1KI6j</v>
      </c>
      <c r="F514" s="24" t="str">
        <f>'DE ( Tarik barang retur )'!R491</f>
        <v>TMP-INV-2025/06/17/ 1663639 FRESHLIVING BEBIO ITCHY Ultra Sakti DUS, BOTOL KACA ROL ON 9 ML Tarik Barang Retur</v>
      </c>
      <c r="G514" s="36">
        <f>'DE ( Tarik barang retur )'!AF491</f>
        <v>46183</v>
      </c>
      <c r="H514" s="22">
        <v>46189.0</v>
      </c>
      <c r="I514" s="22">
        <v>46190.0</v>
      </c>
      <c r="J514" s="21" t="s">
        <v>5294</v>
      </c>
      <c r="K514" s="24"/>
      <c r="L514" s="24">
        <f t="shared" si="2"/>
        <v>1</v>
      </c>
      <c r="M514" s="24"/>
      <c r="N514" s="24"/>
      <c r="O514" s="24"/>
      <c r="P514" s="25"/>
      <c r="Q514" s="25"/>
      <c r="R514" s="25"/>
      <c r="S514" s="25"/>
      <c r="T514" s="25"/>
      <c r="U514" s="25"/>
      <c r="V514" s="25"/>
      <c r="W514" s="25"/>
      <c r="X514" s="25"/>
      <c r="Y514" s="25"/>
      <c r="Z514" s="25"/>
      <c r="AA514" s="25"/>
      <c r="AB514" s="25"/>
      <c r="AC514" s="25"/>
    </row>
    <row r="515">
      <c r="A515" s="24" t="str">
        <f>'DE ( Tarik barang retur )'!AC492</f>
        <v>AWBR-5092-2026-6-10-01</v>
      </c>
      <c r="B515" s="24" t="str">
        <f>'DE ( Tarik barang retur )'!F492</f>
        <v>Apotek Timmy Farma</v>
      </c>
      <c r="C515" s="35">
        <f>'DE ( Tarik barang retur )'!G492</f>
        <v>816806328</v>
      </c>
      <c r="D515" s="24" t="str">
        <f>'DE ( Tarik barang retur )'!H492</f>
        <v>Rukan Gading Park View Jalan Boulevard Timur Blok ZC1 No.29, RT 05 RW 11, Kelurahan Pegangsaan Dua Kecamatan Kelapa Gading, Kota Jakarta Utara 14250</v>
      </c>
      <c r="E515" s="24" t="str">
        <f>'DE ( Tarik barang retur )'!D492</f>
        <v>25101500353833Oh08SomtrP</v>
      </c>
      <c r="F515" s="24" t="str">
        <f>'DE ( Tarik barang retur )'!R492</f>
        <v>TMP-INV-2025/10/15/ 2028661 PROKIDS GUMMY Inasentra RASA JERUK DUS, 100 G (5 SACHET @ 10 BUTIR @ 2 G) Tarik Barang Retur</v>
      </c>
      <c r="G515" s="36">
        <f>'DE ( Tarik barang retur )'!AF492</f>
        <v>46183</v>
      </c>
      <c r="H515" s="22">
        <v>46184.0</v>
      </c>
      <c r="I515" s="22">
        <v>46184.0</v>
      </c>
      <c r="J515" s="21" t="s">
        <v>5294</v>
      </c>
      <c r="K515" s="24"/>
      <c r="L515" s="24">
        <f t="shared" si="2"/>
        <v>1</v>
      </c>
      <c r="M515" s="24"/>
      <c r="N515" s="24"/>
      <c r="O515" s="24"/>
      <c r="P515" s="25"/>
      <c r="Q515" s="25"/>
      <c r="R515" s="25"/>
      <c r="S515" s="25"/>
      <c r="T515" s="25"/>
      <c r="U515" s="25"/>
      <c r="V515" s="25"/>
      <c r="W515" s="25"/>
      <c r="X515" s="25"/>
      <c r="Y515" s="25"/>
      <c r="Z515" s="25"/>
      <c r="AA515" s="25"/>
      <c r="AB515" s="25"/>
      <c r="AC515" s="25"/>
    </row>
    <row r="516">
      <c r="A516" s="24" t="str">
        <f>'DE ( Tarik barang retur )'!AC493</f>
        <v>AWBR-11155-2026-6-10-01</v>
      </c>
      <c r="B516" s="24" t="str">
        <f>'DE ( Tarik barang retur )'!F493</f>
        <v>Apotek Tumbuh Sehat Mekar Jaya Sukmajaya</v>
      </c>
      <c r="C516" s="35">
        <f>'DE ( Tarik barang retur )'!G493</f>
        <v>6.28132E+17</v>
      </c>
      <c r="D516" s="24" t="str">
        <f>'DE ( Tarik barang retur )'!H493</f>
        <v>Jl. Tole iskandar No 12A RT 001/001 Kel. Mekarjaya Kec. Sukmajaya Depok 16411</v>
      </c>
      <c r="E516" s="24" t="str">
        <f>'DE ( Tarik barang retur )'!D493</f>
        <v>24032701364916NFZMVE9Oas</v>
      </c>
      <c r="F516" s="24" t="str">
        <f>'DE ( Tarik barang retur )'!R493</f>
        <v>TMP-INV-2024/03/27/ 700069 PANADOL ANAK 1-6 Thn Gsk SIRUP 160 MG/5 ML DUS, 1 BOTOL PLASTIK @ 60 ML Tarik Barang Retur</v>
      </c>
      <c r="G516" s="36">
        <f>'DE ( Tarik barang retur )'!AF493</f>
        <v>46183</v>
      </c>
      <c r="H516" s="22">
        <v>46183.0</v>
      </c>
      <c r="I516" s="22">
        <v>46185.0</v>
      </c>
      <c r="J516" s="21" t="s">
        <v>5294</v>
      </c>
      <c r="K516" s="24"/>
      <c r="L516" s="24">
        <f t="shared" si="2"/>
        <v>1</v>
      </c>
      <c r="M516" s="24"/>
      <c r="N516" s="24"/>
      <c r="O516" s="24"/>
      <c r="P516" s="25"/>
      <c r="Q516" s="25"/>
      <c r="R516" s="25"/>
      <c r="S516" s="25"/>
      <c r="T516" s="25"/>
      <c r="U516" s="25"/>
      <c r="V516" s="25"/>
      <c r="W516" s="25"/>
      <c r="X516" s="25"/>
      <c r="Y516" s="25"/>
      <c r="Z516" s="25"/>
      <c r="AA516" s="25"/>
      <c r="AB516" s="25"/>
      <c r="AC516" s="25"/>
    </row>
    <row r="517">
      <c r="A517" s="24" t="str">
        <f>'DE ( Tarik barang retur )'!AC494</f>
        <v>AWBR-519-2026-6-10-01</v>
      </c>
      <c r="B517" s="24" t="str">
        <f>'DE ( Tarik barang retur )'!F494</f>
        <v>Apotek Zam Zam</v>
      </c>
      <c r="C517" s="35">
        <f>'DE ( Tarik barang retur )'!G494</f>
        <v>217363846</v>
      </c>
      <c r="D517" s="24" t="str">
        <f>'DE ( Tarik barang retur )'!H494</f>
        <v>Jalan RC Veteran No. 2-3, RT 002 RW 011, Kelurahan Bintaro, Kecamatan Pesanggrahan, Kota Administrasi Jakarta Selatan, DKI Jakarta 12330</v>
      </c>
      <c r="E517" s="24" t="str">
        <f>'DE ( Tarik barang retur )'!D494</f>
        <v>2405220608369104VEc6yHk</v>
      </c>
      <c r="F517" s="24" t="str">
        <f>'DE ( Tarik barang retur )'!R494</f>
        <v>TMP-INV-2024/05/22/ 796137 PANADOL ANAK-ANAK Gsk TABLET KUNYAH 120 MG DUS, 10 AMPLOP @ 1 BLISTER @ 10 TABLET KUNYAH Tarik Barang Retur</v>
      </c>
      <c r="G517" s="36">
        <f>'DE ( Tarik barang retur )'!AF494</f>
        <v>46183</v>
      </c>
      <c r="H517" s="24"/>
      <c r="I517" s="24"/>
      <c r="J517" s="21" t="s">
        <v>5307</v>
      </c>
      <c r="K517" s="24"/>
      <c r="L517" s="24">
        <f t="shared" si="2"/>
        <v>1</v>
      </c>
      <c r="M517" s="24"/>
      <c r="N517" s="24"/>
      <c r="O517" s="24"/>
      <c r="P517" s="25"/>
      <c r="Q517" s="25"/>
      <c r="R517" s="25"/>
      <c r="S517" s="25"/>
      <c r="T517" s="25"/>
      <c r="U517" s="25"/>
      <c r="V517" s="25"/>
      <c r="W517" s="25"/>
      <c r="X517" s="25"/>
      <c r="Y517" s="25"/>
      <c r="Z517" s="25"/>
      <c r="AA517" s="25"/>
      <c r="AB517" s="25"/>
      <c r="AC517" s="25"/>
    </row>
    <row r="518">
      <c r="A518" s="24" t="str">
        <f>'DE ( Tarik barang retur )'!AC495</f>
        <v>AWBR-12391-2026-6-10-01</v>
      </c>
      <c r="B518" s="24" t="str">
        <f>'DE ( Tarik barang retur )'!F495</f>
        <v>Apotek Zidna Cijengkol Setu</v>
      </c>
      <c r="C518" s="35">
        <f>'DE ( Tarik barang retur )'!G495</f>
        <v>6.28138E+17</v>
      </c>
      <c r="D518" s="24" t="str">
        <f>'DE ( Tarik barang retur )'!H495</f>
        <v>Jl. Raya Letjen R Suprapto RT/RW 04/03 Desa Cijengkol, Kec. Setu, Kabupaten Bekasi</v>
      </c>
      <c r="E518" s="24" t="str">
        <f>'DE ( Tarik barang retur )'!D495</f>
        <v>25032703043358jUD87Hvo</v>
      </c>
      <c r="F518" s="24" t="str">
        <f>'DE ( Tarik barang retur )'!R495</f>
        <v>TMP-INV-2025/03/28/ 1460121 BLACKMORES MULTI B PERFORMANCE Kalbe TABLET BOTOL KACA 30 TABLET Tarik Barang Retur</v>
      </c>
      <c r="G518" s="36">
        <f>'DE ( Tarik barang retur )'!AF495</f>
        <v>46183</v>
      </c>
      <c r="H518" s="22">
        <v>46183.0</v>
      </c>
      <c r="I518" s="22">
        <v>46184.0</v>
      </c>
      <c r="J518" s="21" t="s">
        <v>5294</v>
      </c>
      <c r="K518" s="24"/>
      <c r="L518" s="24">
        <f t="shared" si="2"/>
        <v>1</v>
      </c>
      <c r="M518" s="24"/>
      <c r="N518" s="24"/>
      <c r="O518" s="24"/>
      <c r="P518" s="25"/>
      <c r="Q518" s="25"/>
      <c r="R518" s="25"/>
      <c r="S518" s="25"/>
      <c r="T518" s="25"/>
      <c r="U518" s="25"/>
      <c r="V518" s="25"/>
      <c r="W518" s="25"/>
      <c r="X518" s="25"/>
      <c r="Y518" s="25"/>
      <c r="Z518" s="25"/>
      <c r="AA518" s="25"/>
      <c r="AB518" s="25"/>
      <c r="AC518" s="25"/>
    </row>
    <row r="519">
      <c r="A519" s="24" t="str">
        <f>'DE ( Tarik barang retur )'!AC496</f>
        <v>AWBR-4773-2026-6-10-01</v>
      </c>
      <c r="B519" s="24" t="str">
        <f>'DE ( Tarik barang retur )'!F496</f>
        <v>Apotekita</v>
      </c>
      <c r="C519" s="35">
        <f>'DE ( Tarik barang retur )'!G496</f>
        <v>6.28191E+17</v>
      </c>
      <c r="D519" s="24" t="str">
        <f>'DE ( Tarik barang retur )'!H496</f>
        <v>Ruko Elang Laut Boulevard Blok A-11, Jl. Pantai Indah Selatan, Kel. Kamal Muara, Kec. Penjaringan, Jakarta Utara, Provinsi DKI Jakarta,14470</v>
      </c>
      <c r="E519" s="24" t="str">
        <f>'DE ( Tarik barang retur )'!D496</f>
        <v>26052204021175HMhDyPbCYo</v>
      </c>
      <c r="F519" s="24" t="str">
        <f>'DE ( Tarik barang retur )'!R496</f>
        <v>TMP-INV-2026/05/23/ 2778142 TMP-INV-2026/05/24/ 2779609 COMBIVENT UDV Tunggal Idaman CAIRAN INHALASI DUS, 20 VIAL @ 2,5 ML PULMICORT RESPULES AstraZeneca CAIRAN INHALASI 0.25 MG/ML BOX, 4 PAK @ 5 RESPULES @ 2 ML Tarik Barang Retur</v>
      </c>
      <c r="G519" s="36">
        <f>'DE ( Tarik barang retur )'!AF496</f>
        <v>46183</v>
      </c>
      <c r="H519" s="22">
        <v>46184.0</v>
      </c>
      <c r="I519" s="22">
        <v>46185.0</v>
      </c>
      <c r="J519" s="21" t="s">
        <v>5294</v>
      </c>
      <c r="K519" s="24"/>
      <c r="L519" s="24">
        <f t="shared" si="2"/>
        <v>1</v>
      </c>
      <c r="M519" s="24"/>
      <c r="N519" s="24"/>
      <c r="O519" s="24"/>
      <c r="P519" s="25"/>
      <c r="Q519" s="25"/>
      <c r="R519" s="25"/>
      <c r="S519" s="25"/>
      <c r="T519" s="25"/>
      <c r="U519" s="25"/>
      <c r="V519" s="25"/>
      <c r="W519" s="25"/>
      <c r="X519" s="25"/>
      <c r="Y519" s="25"/>
      <c r="Z519" s="25"/>
      <c r="AA519" s="25"/>
      <c r="AB519" s="25"/>
      <c r="AC519" s="25"/>
    </row>
    <row r="520">
      <c r="A520" s="24" t="str">
        <f>'DE ( Tarik barang retur )'!AC497</f>
        <v>AWBR-1130-2026-6-10-01</v>
      </c>
      <c r="B520" s="24" t="str">
        <f>'DE ( Tarik barang retur )'!F497</f>
        <v>Apotek Bukit Asri</v>
      </c>
      <c r="C520" s="35">
        <f>'DE ( Tarik barang retur )'!G497</f>
        <v>8128125437</v>
      </c>
      <c r="D520" s="24" t="str">
        <f>'DE ( Tarik barang retur )'!H497</f>
        <v>Ruko Perumahan Bukit Asri Baru Blok A No.6 Kelurahan Pabuaran Kecamatan Cibinong Bogor 16916</v>
      </c>
      <c r="E520" s="24" t="str">
        <f>'DE ( Tarik barang retur )'!D497</f>
        <v>26052518085364LNedbj3xlY</v>
      </c>
      <c r="F520" s="24" t="str">
        <f>'DE ( Tarik barang retur )'!R497</f>
        <v>TMP-INV-2026/05/26/ 2786686 LOTASBAT Interbat KRIM DUS, TUBE @ 10 G Tukar Guling</v>
      </c>
      <c r="G520" s="36">
        <f>'DE ( Tarik barang retur )'!AF497</f>
        <v>46183</v>
      </c>
      <c r="H520" s="22">
        <v>46183.0</v>
      </c>
      <c r="I520" s="22">
        <v>46184.0</v>
      </c>
      <c r="J520" s="21" t="s">
        <v>5294</v>
      </c>
      <c r="K520" s="24"/>
      <c r="L520" s="24">
        <f t="shared" si="2"/>
        <v>1</v>
      </c>
      <c r="M520" s="24"/>
      <c r="N520" s="24"/>
      <c r="O520" s="24"/>
      <c r="P520" s="25"/>
      <c r="Q520" s="25"/>
      <c r="R520" s="25"/>
      <c r="S520" s="25"/>
      <c r="T520" s="25"/>
      <c r="U520" s="25"/>
      <c r="V520" s="25"/>
      <c r="W520" s="25"/>
      <c r="X520" s="25"/>
      <c r="Y520" s="25"/>
      <c r="Z520" s="25"/>
      <c r="AA520" s="25"/>
      <c r="AB520" s="25"/>
      <c r="AC520" s="25"/>
    </row>
    <row r="521">
      <c r="A521" s="24" t="str">
        <f>'DE ( Tarik barang retur )'!AC498</f>
        <v>AWBR-916-2026-6-10-01</v>
      </c>
      <c r="B521" s="24" t="str">
        <f>'DE ( Tarik barang retur )'!F498</f>
        <v>Apotek Danez Farma Jatibening</v>
      </c>
      <c r="C521" s="35">
        <f>'DE ( Tarik barang retur )'!G498</f>
        <v>81317054040</v>
      </c>
      <c r="D521" s="24" t="str">
        <f>'DE ( Tarik barang retur )'!H498</f>
        <v>Jalan Jatibening Estate Kav.2 Kelurahan Jatibening Kecamatan Pondok Gede Kota Bekasi 17412</v>
      </c>
      <c r="E521" s="24" t="str">
        <f>'DE ( Tarik barang retur )'!D498</f>
        <v>26053114193571j6PirlywH</v>
      </c>
      <c r="F521" s="24" t="str">
        <f>'DE ( Tarik barang retur )'!R498</f>
        <v>TMP-INV-2026/06/01/ 2804943 IMBOOST FORCE FCT+ Soho KAPLET DUS, 3 STRIP @ 10 KAPLET SALUT SELAPUT Tukar Guling</v>
      </c>
      <c r="G521" s="36">
        <f>'DE ( Tarik barang retur )'!AF498</f>
        <v>46183</v>
      </c>
      <c r="H521" s="22">
        <v>46184.0</v>
      </c>
      <c r="I521" s="22">
        <v>46184.0</v>
      </c>
      <c r="J521" s="21" t="s">
        <v>5294</v>
      </c>
      <c r="K521" s="24"/>
      <c r="L521" s="24">
        <f t="shared" si="2"/>
        <v>1</v>
      </c>
      <c r="M521" s="24"/>
      <c r="N521" s="24"/>
      <c r="O521" s="24"/>
      <c r="P521" s="25"/>
      <c r="Q521" s="25"/>
      <c r="R521" s="25"/>
      <c r="S521" s="25"/>
      <c r="T521" s="25"/>
      <c r="U521" s="25"/>
      <c r="V521" s="25"/>
      <c r="W521" s="25"/>
      <c r="X521" s="25"/>
      <c r="Y521" s="25"/>
      <c r="Z521" s="25"/>
      <c r="AA521" s="25"/>
      <c r="AB521" s="25"/>
      <c r="AC521" s="25"/>
    </row>
    <row r="522">
      <c r="A522" s="24" t="str">
        <f>'DE ( Tarik barang retur )'!AC499</f>
        <v>AWBR-11005-2026-6-10-01</v>
      </c>
      <c r="B522" s="24" t="str">
        <f>'DE ( Tarik barang retur )'!F499</f>
        <v>Apotek Enggal Sehat Bedahan Sawangan</v>
      </c>
      <c r="C522" s="35">
        <f>'DE ( Tarik barang retur )'!G499</f>
        <v>6.28232E+17</v>
      </c>
      <c r="D522" s="24" t="str">
        <f>'DE ( Tarik barang retur )'!H499</f>
        <v>Jalan H. Sulaiman RT 04, RW 02, Desa/Kelurahan Bedahan, Kec. Sawangan, Kota Depok 16519</v>
      </c>
      <c r="E522" s="24" t="str">
        <f>'DE ( Tarik barang retur )'!D499</f>
        <v>26060111213926g3BVxvL9N</v>
      </c>
      <c r="F522" s="24" t="str">
        <f>'DE ( Tarik barang retur )'!R499</f>
        <v>TMP-INV-2026/06/02/ 2809133 VELACOM PLUS 2/500 Novell KAPLET DUS, 3 STRIP @ 10 KAPLET SALUT SELAPUT Kirim Susulan</v>
      </c>
      <c r="G522" s="36">
        <f>'DE ( Tarik barang retur )'!AF499</f>
        <v>46183</v>
      </c>
      <c r="H522" s="22">
        <v>46183.0</v>
      </c>
      <c r="I522" s="22">
        <v>46184.0</v>
      </c>
      <c r="J522" s="21" t="s">
        <v>5294</v>
      </c>
      <c r="K522" s="24"/>
      <c r="L522" s="24">
        <f t="shared" si="2"/>
        <v>1</v>
      </c>
      <c r="M522" s="24"/>
      <c r="N522" s="24"/>
      <c r="O522" s="24"/>
      <c r="P522" s="25"/>
      <c r="Q522" s="25"/>
      <c r="R522" s="25"/>
      <c r="S522" s="25"/>
      <c r="T522" s="25"/>
      <c r="U522" s="25"/>
      <c r="V522" s="25"/>
      <c r="W522" s="25"/>
      <c r="X522" s="25"/>
      <c r="Y522" s="25"/>
      <c r="Z522" s="25"/>
      <c r="AA522" s="25"/>
      <c r="AB522" s="25"/>
      <c r="AC522" s="25"/>
    </row>
    <row r="523">
      <c r="A523" s="24" t="str">
        <f>'DE ( Tarik barang retur )'!AC500</f>
        <v>AWBR-10778-2026-6-10-01</v>
      </c>
      <c r="B523" s="24" t="str">
        <f>'DE ( Tarik barang retur )'!F500</f>
        <v>Apotek Rahmat Bojonggenteng Jampangkulon</v>
      </c>
      <c r="C523" s="35">
        <f>'DE ( Tarik barang retur )'!G500</f>
        <v>6.28531E+17</v>
      </c>
      <c r="D523" s="24" t="str">
        <f>'DE ( Tarik barang retur )'!H500</f>
        <v>Jl. Cinagen RT 008 RW 003 Desa Bojonggenteng Kec Jampangkulon Kab. Sukabumi 43170</v>
      </c>
      <c r="E523" s="24" t="str">
        <f>'DE ( Tarik barang retur )'!D500</f>
        <v>26052604574580tpDK18uUEz</v>
      </c>
      <c r="F523" s="24" t="str">
        <f>'DE ( Tarik barang retur )'!R500</f>
        <v>TMP-INV-2026/05/27/ 2789811 SGM EKSPLOR GAIN OPTIGROW Sarihusada DUS, ALUMUNIUM FOIL @ 400 G Tukar Guling</v>
      </c>
      <c r="G523" s="36">
        <f>'DE ( Tarik barang retur )'!AF500</f>
        <v>46183</v>
      </c>
      <c r="H523" s="22">
        <v>46183.0</v>
      </c>
      <c r="I523" s="22">
        <v>46185.0</v>
      </c>
      <c r="J523" s="21" t="s">
        <v>5294</v>
      </c>
      <c r="K523" s="24"/>
      <c r="L523" s="24">
        <f t="shared" si="2"/>
        <v>1</v>
      </c>
      <c r="M523" s="24"/>
      <c r="N523" s="24"/>
      <c r="O523" s="24"/>
      <c r="P523" s="25"/>
      <c r="Q523" s="25"/>
      <c r="R523" s="25"/>
      <c r="S523" s="25"/>
      <c r="T523" s="25"/>
      <c r="U523" s="25"/>
      <c r="V523" s="25"/>
      <c r="W523" s="25"/>
      <c r="X523" s="25"/>
      <c r="Y523" s="25"/>
      <c r="Z523" s="25"/>
      <c r="AA523" s="25"/>
      <c r="AB523" s="25"/>
      <c r="AC523" s="25"/>
    </row>
    <row r="524">
      <c r="A524" s="24" t="str">
        <f>'DE ( Tarik barang retur )'!AC501</f>
        <v>AWBR-10838-2026-6-10-01</v>
      </c>
      <c r="B524" s="24" t="str">
        <f>'DE ( Tarik barang retur )'!F501</f>
        <v>Apotek SS Pharmacia 5 Kunciran Indah Pinang</v>
      </c>
      <c r="C524" s="35">
        <f>'DE ( Tarik barang retur )'!G501</f>
        <v>6.28531E+17</v>
      </c>
      <c r="D524" s="24" t="str">
        <f>'DE ( Tarik barang retur )'!H501</f>
        <v>Jl. Sultan Ageng Tirtayasa RT 04 RW 09 Kelurahan Kunciran Indah Kecamatan Pinang Kota Tangerang 15144</v>
      </c>
      <c r="E524" s="24" t="str">
        <f>'DE ( Tarik barang retur )'!D501</f>
        <v>26060205465130adp79XjQfZ</v>
      </c>
      <c r="F524" s="24" t="str">
        <f>'DE ( Tarik barang retur )'!R501</f>
        <v>TMP-INV-2026/06/03/ 2812629 LARUTAN PENYEGAR CAP BADAK Sinde BOTOL 200 ML Kirim Susulan</v>
      </c>
      <c r="G524" s="36">
        <f>'DE ( Tarik barang retur )'!AF501</f>
        <v>46183</v>
      </c>
      <c r="H524" s="22">
        <v>46183.0</v>
      </c>
      <c r="I524" s="22">
        <v>46184.0</v>
      </c>
      <c r="J524" s="21" t="s">
        <v>5294</v>
      </c>
      <c r="K524" s="24"/>
      <c r="L524" s="24">
        <f t="shared" si="2"/>
        <v>1</v>
      </c>
      <c r="M524" s="24"/>
      <c r="N524" s="24"/>
      <c r="O524" s="24"/>
      <c r="P524" s="25"/>
      <c r="Q524" s="25"/>
      <c r="R524" s="25"/>
      <c r="S524" s="25"/>
      <c r="T524" s="25"/>
      <c r="U524" s="25"/>
      <c r="V524" s="25"/>
      <c r="W524" s="25"/>
      <c r="X524" s="25"/>
      <c r="Y524" s="25"/>
      <c r="Z524" s="25"/>
      <c r="AA524" s="25"/>
      <c r="AB524" s="25"/>
      <c r="AC524" s="25"/>
    </row>
    <row r="525">
      <c r="A525" s="48" t="str">
        <f>'DE ( Tarik barang retur )'!AC502</f>
        <v>AWBR-3316416289-01</v>
      </c>
      <c r="B525" s="24" t="str">
        <f>'DE ( Tarik barang retur )'!F502</f>
        <v>Apotek 23 Plus</v>
      </c>
      <c r="C525" s="35">
        <f>'DE ( Tarik barang retur )'!G502</f>
        <v>85722700017</v>
      </c>
      <c r="D525" s="24" t="str">
        <f>'DE ( Tarik barang retur )'!H502</f>
        <v>Jalan Kampung Sawah No.93 RT 03/02 Kelurahan Jatimurni Kecamatan Pondok Melati Kota Bekasi 17431</v>
      </c>
      <c r="E525" s="24" t="str">
        <f>'DE ( Tarik barang retur )'!D502</f>
        <v>26060206140918MbTWyGtIh</v>
      </c>
      <c r="F525" s="24" t="str">
        <f>'DE ( Tarik barang retur )'!R502</f>
        <v>MUCOS Mepro SIRUP 15 MG/5 ML
1x MUCOS Mepro TABLET 30 MG</v>
      </c>
      <c r="G525" s="36">
        <f>'DE ( Tarik barang retur )'!AF502</f>
        <v>46183</v>
      </c>
      <c r="H525" s="22">
        <v>46184.0</v>
      </c>
      <c r="I525" s="22">
        <v>46184.0</v>
      </c>
      <c r="J525" s="21" t="s">
        <v>5294</v>
      </c>
      <c r="K525" s="24"/>
      <c r="L525" s="24">
        <f t="shared" si="2"/>
        <v>1</v>
      </c>
      <c r="M525" s="24"/>
      <c r="N525" s="24"/>
      <c r="O525" s="24"/>
      <c r="P525" s="25"/>
      <c r="Q525" s="25"/>
      <c r="R525" s="25"/>
      <c r="S525" s="25"/>
      <c r="T525" s="25"/>
      <c r="U525" s="25"/>
      <c r="V525" s="25"/>
      <c r="W525" s="25"/>
      <c r="X525" s="25"/>
      <c r="Y525" s="25"/>
      <c r="Z525" s="25"/>
      <c r="AA525" s="25"/>
      <c r="AB525" s="25"/>
      <c r="AC525" s="25"/>
    </row>
    <row r="526">
      <c r="A526" s="24" t="str">
        <f>'DE ( Tarik barang retur )'!AC503</f>
        <v>AWBR-3316285509-01</v>
      </c>
      <c r="B526" s="24" t="str">
        <f>'DE ( Tarik barang retur )'!F503</f>
        <v>Apotek Aditya Farma Talagasari Cikupa</v>
      </c>
      <c r="C526" s="35">
        <f>'DE ( Tarik barang retur )'!G503</f>
        <v>6.28131E+17</v>
      </c>
      <c r="D526" s="24" t="str">
        <f>'DE ( Tarik barang retur )'!H503</f>
        <v>Jl. Otonom Cikupa - Pasar Kemis RT. 010 RW. 002 , Desa/Kel. Talagasari, Kec. Cikupa, Kab. Tangerang</v>
      </c>
      <c r="E526" s="24" t="str">
        <f>'DE ( Tarik barang retur )'!D503</f>
        <v>26060407574653WMpP7vbQD</v>
      </c>
      <c r="F526" s="24" t="str">
        <f>'DE ( Tarik barang retur )'!R503</f>
        <v>CATAFLAM D Novartis TABLET DISPERSIBLE</v>
      </c>
      <c r="G526" s="36">
        <f>'DE ( Tarik barang retur )'!AF503</f>
        <v>46183</v>
      </c>
      <c r="H526" s="22">
        <v>46184.0</v>
      </c>
      <c r="I526" s="22">
        <v>46185.0</v>
      </c>
      <c r="J526" s="21" t="s">
        <v>5294</v>
      </c>
      <c r="K526" s="24"/>
      <c r="L526" s="24">
        <f t="shared" si="2"/>
        <v>1</v>
      </c>
      <c r="M526" s="24"/>
      <c r="N526" s="24"/>
      <c r="O526" s="24"/>
      <c r="P526" s="25"/>
      <c r="Q526" s="25"/>
      <c r="R526" s="25"/>
      <c r="S526" s="25"/>
      <c r="T526" s="25"/>
      <c r="U526" s="25"/>
      <c r="V526" s="25"/>
      <c r="W526" s="25"/>
      <c r="X526" s="25"/>
      <c r="Y526" s="25"/>
      <c r="Z526" s="25"/>
      <c r="AA526" s="25"/>
      <c r="AB526" s="25"/>
      <c r="AC526" s="25"/>
    </row>
    <row r="527">
      <c r="A527" s="24" t="str">
        <f>'DE ( Tarik barang retur )'!AC504</f>
        <v>AWBR-3316408665-01</v>
      </c>
      <c r="B527" s="24" t="str">
        <f>'DE ( Tarik barang retur )'!F504</f>
        <v>Apotek Ainun</v>
      </c>
      <c r="C527" s="35">
        <f>'DE ( Tarik barang retur )'!G504</f>
        <v>81314522941</v>
      </c>
      <c r="D527" s="24" t="str">
        <f>'DE ( Tarik barang retur )'!H504</f>
        <v>Jalan Raya Parung Gunung Sindur No. 23 Desa Parung Kecamatan Parung Kabupaten Bogor 16330</v>
      </c>
      <c r="E527" s="24" t="str">
        <f>'DE ( Tarik barang retur )'!D504</f>
        <v>260601111900230MZvbNYUw3</v>
      </c>
      <c r="F527" s="24" t="str">
        <f>'DE ( Tarik barang retur )'!R504</f>
        <v>HANSAPLAST KAIN ELASTIS JUMBO Beiersdorf</v>
      </c>
      <c r="G527" s="36">
        <f>'DE ( Tarik barang retur )'!AF504</f>
        <v>46183</v>
      </c>
      <c r="H527" s="22">
        <v>46183.0</v>
      </c>
      <c r="I527" s="22">
        <v>46184.0</v>
      </c>
      <c r="J527" s="21" t="s">
        <v>5294</v>
      </c>
      <c r="K527" s="24"/>
      <c r="L527" s="24">
        <f t="shared" si="2"/>
        <v>1</v>
      </c>
      <c r="M527" s="24"/>
      <c r="N527" s="24"/>
      <c r="O527" s="24"/>
      <c r="P527" s="25"/>
      <c r="Q527" s="25"/>
      <c r="R527" s="25"/>
      <c r="S527" s="25"/>
      <c r="T527" s="25"/>
      <c r="U527" s="25"/>
      <c r="V527" s="25"/>
      <c r="W527" s="25"/>
      <c r="X527" s="25"/>
      <c r="Y527" s="25"/>
      <c r="Z527" s="25"/>
      <c r="AA527" s="25"/>
      <c r="AB527" s="25"/>
      <c r="AC527" s="25"/>
    </row>
    <row r="528">
      <c r="A528" s="24" t="str">
        <f>'DE ( Tarik barang retur )'!AC505</f>
        <v>AWBR-3315166008-01</v>
      </c>
      <c r="B528" s="24" t="str">
        <f>'DE ( Tarik barang retur )'!F505</f>
        <v>Apotek Alina Farma Munjul Solear</v>
      </c>
      <c r="C528" s="35">
        <f>'DE ( Tarik barang retur )'!G505</f>
        <v>6.28228E+17</v>
      </c>
      <c r="D528" s="24" t="str">
        <f>'DE ( Tarik barang retur )'!H505</f>
        <v>Jl. Raya Munjul RT 003 RW 004 Desa/Kel. Munjul, Kec. Solear, Kab Tangerang 15730</v>
      </c>
      <c r="E528" s="24" t="str">
        <f>'DE ( Tarik barang retur )'!D505</f>
        <v>241021010259310QwNWXE8VG</v>
      </c>
      <c r="F528" s="24" t="str">
        <f>'DE ( Tarik barang retur )'!R505</f>
        <v>TRINORDIOL-28 Sunthi TABLET</v>
      </c>
      <c r="G528" s="36">
        <f>'DE ( Tarik barang retur )'!AF505</f>
        <v>46183</v>
      </c>
      <c r="H528" s="22">
        <v>46184.0</v>
      </c>
      <c r="I528" s="22">
        <v>46186.0</v>
      </c>
      <c r="J528" s="21" t="s">
        <v>5294</v>
      </c>
      <c r="K528" s="24"/>
      <c r="L528" s="24">
        <f t="shared" si="2"/>
        <v>1</v>
      </c>
      <c r="M528" s="24"/>
      <c r="N528" s="24"/>
      <c r="O528" s="24"/>
      <c r="P528" s="25"/>
      <c r="Q528" s="25"/>
      <c r="R528" s="25"/>
      <c r="S528" s="25"/>
      <c r="T528" s="25"/>
      <c r="U528" s="25"/>
      <c r="V528" s="25"/>
      <c r="W528" s="25"/>
      <c r="X528" s="25"/>
      <c r="Y528" s="25"/>
      <c r="Z528" s="25"/>
      <c r="AA528" s="25"/>
      <c r="AB528" s="25"/>
      <c r="AC528" s="25"/>
    </row>
    <row r="529">
      <c r="A529" s="24" t="str">
        <f>'DE ( Tarik barang retur )'!AC506</f>
        <v>AWBR-3316406084-01</v>
      </c>
      <c r="B529" s="24" t="str">
        <f>'DE ( Tarik barang retur )'!F506</f>
        <v>Apotek Bahagia 1040</v>
      </c>
      <c r="C529" s="35">
        <f>'DE ( Tarik barang retur )'!G506</f>
        <v>81291779304</v>
      </c>
      <c r="D529" s="24" t="str">
        <f>'DE ( Tarik barang retur )'!H506</f>
        <v>Perum Pondok Ungu Permai Sektor V Blok E1 No.17A Kelurahan Bahagia Kecamatan Babelan Bekasi 17610</v>
      </c>
      <c r="E529" s="24" t="str">
        <f>'DE ( Tarik barang retur )'!D506</f>
        <v>26041502003050QMTN35Vo</v>
      </c>
      <c r="F529" s="24" t="str">
        <f>'DE ( Tarik barang retur )'!R506</f>
        <v>XENICAL Tunggal Idaman KAPSUL 120 MG
1x NEPHROLIT Kalbe KAPSUL</v>
      </c>
      <c r="G529" s="36">
        <f>'DE ( Tarik barang retur )'!AF506</f>
        <v>46183</v>
      </c>
      <c r="H529" s="22">
        <v>46184.0</v>
      </c>
      <c r="I529" s="22">
        <v>46184.0</v>
      </c>
      <c r="J529" s="21" t="s">
        <v>5294</v>
      </c>
      <c r="K529" s="24"/>
      <c r="L529" s="24">
        <f t="shared" si="2"/>
        <v>1</v>
      </c>
      <c r="M529" s="24"/>
      <c r="N529" s="24"/>
      <c r="O529" s="24"/>
      <c r="P529" s="25"/>
      <c r="Q529" s="25"/>
      <c r="R529" s="25"/>
      <c r="S529" s="25"/>
      <c r="T529" s="25"/>
      <c r="U529" s="25"/>
      <c r="V529" s="25"/>
      <c r="W529" s="25"/>
      <c r="X529" s="25"/>
      <c r="Y529" s="25"/>
      <c r="Z529" s="25"/>
      <c r="AA529" s="25"/>
      <c r="AB529" s="25"/>
      <c r="AC529" s="25"/>
    </row>
    <row r="530">
      <c r="A530" s="24" t="str">
        <f>'DE ( Tarik barang retur )'!AC507</f>
        <v>AWBR-3316390569-01</v>
      </c>
      <c r="B530" s="24" t="str">
        <f>'DE ( Tarik barang retur )'!F507</f>
        <v>Apotek Berlian Farma</v>
      </c>
      <c r="C530" s="35">
        <f>'DE ( Tarik barang retur )'!G507</f>
        <v>85374101944</v>
      </c>
      <c r="D530" s="24" t="str">
        <f>'DE ( Tarik barang retur )'!H507</f>
        <v>Komplek Permata Jasindo Lestari Blok A6/14 RT.007 RW.004 Kelurahan Mekarsari, Kecamatan Cimanggis, Kota Depok 16452</v>
      </c>
      <c r="E530" s="24" t="str">
        <f>'DE ( Tarik barang retur )'!D507</f>
        <v>26033000065870dnircsHoF</v>
      </c>
      <c r="F530" s="24" t="str">
        <f>'DE ( Tarik barang retur )'!R507</f>
        <v>CETAPHIL HYDRATING FOAMING CREAM CLEANSER</v>
      </c>
      <c r="G530" s="36">
        <f>'DE ( Tarik barang retur )'!AF507</f>
        <v>46183</v>
      </c>
      <c r="H530" s="22">
        <v>46183.0</v>
      </c>
      <c r="I530" s="22">
        <v>46184.0</v>
      </c>
      <c r="J530" s="21" t="s">
        <v>5294</v>
      </c>
      <c r="K530" s="24"/>
      <c r="L530" s="24">
        <f t="shared" si="2"/>
        <v>1</v>
      </c>
      <c r="M530" s="24"/>
      <c r="N530" s="24"/>
      <c r="O530" s="24"/>
      <c r="P530" s="25"/>
      <c r="Q530" s="25"/>
      <c r="R530" s="25"/>
      <c r="S530" s="25"/>
      <c r="T530" s="25"/>
      <c r="U530" s="25"/>
      <c r="V530" s="25"/>
      <c r="W530" s="25"/>
      <c r="X530" s="25"/>
      <c r="Y530" s="25"/>
      <c r="Z530" s="25"/>
      <c r="AA530" s="25"/>
      <c r="AB530" s="25"/>
      <c r="AC530" s="25"/>
    </row>
    <row r="531">
      <c r="A531" s="24" t="str">
        <f>'DE ( Tarik barang retur )'!AC508</f>
        <v>AWBR-3315239500-01</v>
      </c>
      <c r="B531" s="24" t="str">
        <f>'DE ( Tarik barang retur )'!F508</f>
        <v>Apotek Bintang Sehat 1 Jayamulya Serang Baru</v>
      </c>
      <c r="C531" s="35">
        <f>'DE ( Tarik barang retur )'!G508</f>
        <v>6.28199E+17</v>
      </c>
      <c r="D531" s="24" t="str">
        <f>'DE ( Tarik barang retur )'!H508</f>
        <v>Perum Grand Vista Blok D1 RT 003 RW 009 Desa Jayamulya Kec. Serang Baru Kab. Bekasi</v>
      </c>
      <c r="E531" s="24" t="str">
        <f>'DE ( Tarik barang retur )'!D508</f>
        <v>26060403054870pFpXhodU74</v>
      </c>
      <c r="F531" s="24" t="str">
        <f>'DE ( Tarik barang retur )'!R508</f>
        <v>HEROCYN Coronet Crown</v>
      </c>
      <c r="G531" s="36">
        <f>'DE ( Tarik barang retur )'!AF508</f>
        <v>46183</v>
      </c>
      <c r="H531" s="22">
        <v>46184.0</v>
      </c>
      <c r="I531" s="22">
        <v>46184.0</v>
      </c>
      <c r="J531" s="21" t="s">
        <v>5294</v>
      </c>
      <c r="K531" s="24"/>
      <c r="L531" s="24">
        <f t="shared" si="2"/>
        <v>1</v>
      </c>
      <c r="M531" s="24"/>
      <c r="N531" s="24"/>
      <c r="O531" s="24"/>
      <c r="P531" s="25"/>
      <c r="Q531" s="25"/>
      <c r="R531" s="25"/>
      <c r="S531" s="25"/>
      <c r="T531" s="25"/>
      <c r="U531" s="25"/>
      <c r="V531" s="25"/>
      <c r="W531" s="25"/>
      <c r="X531" s="25"/>
      <c r="Y531" s="25"/>
      <c r="Z531" s="25"/>
      <c r="AA531" s="25"/>
      <c r="AB531" s="25"/>
      <c r="AC531" s="25"/>
    </row>
    <row r="532">
      <c r="A532" s="24" t="str">
        <f>'DE ( Tarik barang retur )'!AC509</f>
        <v>AWBR-3316416895-01</v>
      </c>
      <c r="B532" s="24" t="str">
        <f>'DE ( Tarik barang retur )'!F509</f>
        <v>Apotek Bintang Semesta Glodok Taman Sari</v>
      </c>
      <c r="C532" s="35">
        <f>'DE ( Tarik barang retur )'!G509</f>
        <v>6.28151E+17</v>
      </c>
      <c r="D532" s="24" t="str">
        <f>'DE ( Tarik barang retur )'!H509</f>
        <v>Jl. Pancoran Raya No. 27, RT 008 RW 002 Kel. Glodok Kec. Taman Sari, Kota Jakarta Barat</v>
      </c>
      <c r="E532" s="24" t="str">
        <f>'DE ( Tarik barang retur )'!D509</f>
        <v>AWBR-3316416895</v>
      </c>
      <c r="F532" s="24" t="str">
        <f>'DE ( Tarik barang retur )'!R509</f>
        <v>REMABREX Kalbe KAPSUL 100 MG</v>
      </c>
      <c r="G532" s="36">
        <f>'DE ( Tarik barang retur )'!AF509</f>
        <v>46183</v>
      </c>
      <c r="H532" s="22">
        <v>46187.0</v>
      </c>
      <c r="I532" s="22">
        <v>46188.0</v>
      </c>
      <c r="J532" s="21" t="s">
        <v>5294</v>
      </c>
      <c r="K532" s="24"/>
      <c r="L532" s="24">
        <f t="shared" si="2"/>
        <v>1</v>
      </c>
      <c r="M532" s="24"/>
      <c r="N532" s="24"/>
      <c r="O532" s="24"/>
      <c r="P532" s="25"/>
      <c r="Q532" s="25"/>
      <c r="R532" s="25"/>
      <c r="S532" s="25"/>
      <c r="T532" s="25"/>
      <c r="U532" s="25"/>
      <c r="V532" s="25"/>
      <c r="W532" s="25"/>
      <c r="X532" s="25"/>
      <c r="Y532" s="25"/>
      <c r="Z532" s="25"/>
      <c r="AA532" s="25"/>
      <c r="AB532" s="25"/>
      <c r="AC532" s="25"/>
    </row>
    <row r="533">
      <c r="A533" s="24" t="str">
        <f>'DE ( Tarik barang retur )'!AC510</f>
        <v>AWBR-3316290801-01</v>
      </c>
      <c r="B533" s="24" t="str">
        <f>'DE ( Tarik barang retur )'!F510</f>
        <v>Apotek Celeste Citaringgul Babakan Madang</v>
      </c>
      <c r="C533" s="35">
        <f>'DE ( Tarik barang retur )'!G510</f>
        <v>6.28139E+17</v>
      </c>
      <c r="D533" s="24" t="str">
        <f>'DE ( Tarik barang retur )'!H510</f>
        <v>Pasar Sentul City Blok J No.16 Desa Citanggul Kecamatan Babakan Madang Kabupaten Bogor 16810</v>
      </c>
      <c r="E533" s="24" t="str">
        <f>'DE ( Tarik barang retur )'!D510</f>
        <v>AWBR-3315163368</v>
      </c>
      <c r="F533" s="24" t="str">
        <f>'DE ( Tarik barang retur )'!R510</f>
        <v>OBESLIM Lapi KAPSUL 120 MG</v>
      </c>
      <c r="G533" s="36">
        <f>'DE ( Tarik barang retur )'!AF510</f>
        <v>46183</v>
      </c>
      <c r="H533" s="22">
        <v>46183.0</v>
      </c>
      <c r="I533" s="22">
        <v>46184.0</v>
      </c>
      <c r="J533" s="21" t="s">
        <v>5294</v>
      </c>
      <c r="K533" s="24"/>
      <c r="L533" s="24">
        <f t="shared" si="2"/>
        <v>1</v>
      </c>
      <c r="M533" s="24"/>
      <c r="N533" s="24"/>
      <c r="O533" s="24"/>
      <c r="P533" s="25"/>
      <c r="Q533" s="25"/>
      <c r="R533" s="25"/>
      <c r="S533" s="25"/>
      <c r="T533" s="25"/>
      <c r="U533" s="25"/>
      <c r="V533" s="25"/>
      <c r="W533" s="25"/>
      <c r="X533" s="25"/>
      <c r="Y533" s="25"/>
      <c r="Z533" s="25"/>
      <c r="AA533" s="25"/>
      <c r="AB533" s="25"/>
      <c r="AC533" s="25"/>
    </row>
    <row r="534">
      <c r="A534" s="24" t="str">
        <f>'DE ( Tarik barang retur )'!AC511</f>
        <v>AWBR-3316404803-01</v>
      </c>
      <c r="B534" s="24" t="str">
        <f>'DE ( Tarik barang retur )'!F511</f>
        <v>Apotek Cemerlang Farma</v>
      </c>
      <c r="C534" s="35">
        <f>'DE ( Tarik barang retur )'!G511</f>
        <v>6.28211E+17</v>
      </c>
      <c r="D534" s="24" t="str">
        <f>'DE ( Tarik barang retur )'!H511</f>
        <v>Jl. Buwek Raya No. 94 RT 003/RW 022 Desa Sumberjaya, Kec. Tambun Selatan, Kabupaten Bekasi</v>
      </c>
      <c r="E534" s="24" t="str">
        <f>'DE ( Tarik barang retur )'!D511</f>
        <v>AWBR-3315239321</v>
      </c>
      <c r="F534" s="24" t="str">
        <f>'DE ( Tarik barang retur )'!R511</f>
        <v>DETTOL ANTISEPTIK CAIR</v>
      </c>
      <c r="G534" s="36">
        <f>'DE ( Tarik barang retur )'!AF511</f>
        <v>46183</v>
      </c>
      <c r="H534" s="22">
        <v>46184.0</v>
      </c>
      <c r="I534" s="22">
        <v>46184.0</v>
      </c>
      <c r="J534" s="21" t="s">
        <v>5294</v>
      </c>
      <c r="K534" s="24"/>
      <c r="L534" s="24">
        <f t="shared" si="2"/>
        <v>1</v>
      </c>
      <c r="M534" s="24"/>
      <c r="N534" s="24"/>
      <c r="O534" s="24"/>
      <c r="P534" s="25"/>
      <c r="Q534" s="25"/>
      <c r="R534" s="25"/>
      <c r="S534" s="25"/>
      <c r="T534" s="25"/>
      <c r="U534" s="25"/>
      <c r="V534" s="25"/>
      <c r="W534" s="25"/>
      <c r="X534" s="25"/>
      <c r="Y534" s="25"/>
      <c r="Z534" s="25"/>
      <c r="AA534" s="25"/>
      <c r="AB534" s="25"/>
      <c r="AC534" s="25"/>
    </row>
    <row r="535">
      <c r="A535" s="24" t="str">
        <f>'DE ( Tarik barang retur )'!AC512</f>
        <v>AWBR-3314529280-01</v>
      </c>
      <c r="B535" s="24" t="str">
        <f>'DE ( Tarik barang retur )'!F512</f>
        <v>Apotek D71</v>
      </c>
      <c r="C535" s="35">
        <f>'DE ( Tarik barang retur )'!G512</f>
        <v>81367211701</v>
      </c>
      <c r="D535" s="24" t="str">
        <f>'DE ( Tarik barang retur )'!H512</f>
        <v>Jalan Kelapa Dua RT 03 RW 08 Kelurahan Pedurenan Kecamatan Mustikajaya Kota Bekasi 17156</v>
      </c>
      <c r="E535" s="24" t="str">
        <f>'DE ( Tarik barang retur )'!D512</f>
        <v>AWBR-3314540623</v>
      </c>
      <c r="F535" s="24" t="str">
        <f>'DE ( Tarik barang retur )'!R512</f>
        <v>HOLISTICARE SUPER ESTER C Indocare TABLET</v>
      </c>
      <c r="G535" s="36">
        <f>'DE ( Tarik barang retur )'!AF512</f>
        <v>46183</v>
      </c>
      <c r="H535" s="22">
        <v>46183.0</v>
      </c>
      <c r="I535" s="22">
        <v>46184.0</v>
      </c>
      <c r="J535" s="21" t="s">
        <v>5294</v>
      </c>
      <c r="K535" s="24"/>
      <c r="L535" s="24">
        <f t="shared" si="2"/>
        <v>1</v>
      </c>
      <c r="M535" s="24"/>
      <c r="N535" s="24"/>
      <c r="O535" s="24"/>
      <c r="P535" s="25"/>
      <c r="Q535" s="25"/>
      <c r="R535" s="25"/>
      <c r="S535" s="25"/>
      <c r="T535" s="25"/>
      <c r="U535" s="25"/>
      <c r="V535" s="25"/>
      <c r="W535" s="25"/>
      <c r="X535" s="25"/>
      <c r="Y535" s="25"/>
      <c r="Z535" s="25"/>
      <c r="AA535" s="25"/>
      <c r="AB535" s="25"/>
      <c r="AC535" s="25"/>
    </row>
    <row r="536">
      <c r="A536" s="24" t="str">
        <f>'DE ( Tarik barang retur )'!AC513</f>
        <v>AWBR-3316413340-01</v>
      </c>
      <c r="B536" s="24" t="str">
        <f>'DE ( Tarik barang retur )'!F513</f>
        <v>Apotek Danez Farma Jatibening</v>
      </c>
      <c r="C536" s="35">
        <f>'DE ( Tarik barang retur )'!G513</f>
        <v>81317054040</v>
      </c>
      <c r="D536" s="24" t="str">
        <f>'DE ( Tarik barang retur )'!H513</f>
        <v>Jalan Jatibening Estate Kav.2 Kelurahan Jatibening Kecamatan Pondok Gede Kota Bekasi 17412</v>
      </c>
      <c r="E536" s="24" t="str">
        <f>'DE ( Tarik barang retur )'!D513</f>
        <v>AWBR-3315212273</v>
      </c>
      <c r="F536" s="24" t="str">
        <f>'DE ( Tarik barang retur )'!R513</f>
        <v>IMBOOST FORCE FCT+ Soho KAPLET</v>
      </c>
      <c r="G536" s="36">
        <f>'DE ( Tarik barang retur )'!AF513</f>
        <v>46183</v>
      </c>
      <c r="H536" s="22">
        <v>46187.0</v>
      </c>
      <c r="I536" s="22">
        <v>46188.0</v>
      </c>
      <c r="J536" s="21" t="s">
        <v>5294</v>
      </c>
      <c r="K536" s="24"/>
      <c r="L536" s="24">
        <f t="shared" si="2"/>
        <v>1</v>
      </c>
      <c r="M536" s="24"/>
      <c r="N536" s="24"/>
      <c r="O536" s="24"/>
      <c r="P536" s="25"/>
      <c r="Q536" s="25"/>
      <c r="R536" s="25"/>
      <c r="S536" s="25"/>
      <c r="T536" s="25"/>
      <c r="U536" s="25"/>
      <c r="V536" s="25"/>
      <c r="W536" s="25"/>
      <c r="X536" s="25"/>
      <c r="Y536" s="25"/>
      <c r="Z536" s="25"/>
      <c r="AA536" s="25"/>
      <c r="AB536" s="25"/>
      <c r="AC536" s="25"/>
    </row>
    <row r="537">
      <c r="A537" s="24" t="str">
        <f>'DE ( Tarik barang retur )'!AC514</f>
        <v>AWBR-3316404936-01</v>
      </c>
      <c r="B537" s="24" t="str">
        <f>'DE ( Tarik barang retur )'!F514</f>
        <v>Apotek Dheva Farma Jatiasih Jatiasih</v>
      </c>
      <c r="C537" s="35">
        <f>'DE ( Tarik barang retur )'!G514</f>
        <v>6.28211E+17</v>
      </c>
      <c r="D537" s="24" t="str">
        <f>'DE ( Tarik barang retur )'!H514</f>
        <v>Jl. Raya Jatiasih No.51, RT.004/RW.005, Jatiasih, Kec. Jatiasih, Kota Bekasi, Jawa Barat 17423</v>
      </c>
      <c r="E537" s="24" t="str">
        <f>'DE ( Tarik barang retur )'!D514</f>
        <v>AWBR-3315222074</v>
      </c>
      <c r="F537" s="24" t="str">
        <f>'DE ( Tarik barang retur )'!R514</f>
        <v>DICLOFENAC POTASSIUM Hexpharm TABLET 50 MG</v>
      </c>
      <c r="G537" s="36">
        <f>'DE ( Tarik barang retur )'!AF514</f>
        <v>46183</v>
      </c>
      <c r="H537" s="22">
        <v>46184.0</v>
      </c>
      <c r="I537" s="22">
        <v>46184.0</v>
      </c>
      <c r="J537" s="21" t="s">
        <v>5294</v>
      </c>
      <c r="K537" s="24"/>
      <c r="L537" s="24">
        <f t="shared" si="2"/>
        <v>1</v>
      </c>
      <c r="M537" s="24"/>
      <c r="N537" s="24"/>
      <c r="O537" s="24"/>
      <c r="P537" s="25"/>
      <c r="Q537" s="25"/>
      <c r="R537" s="25"/>
      <c r="S537" s="25"/>
      <c r="T537" s="25"/>
      <c r="U537" s="25"/>
      <c r="V537" s="25"/>
      <c r="W537" s="25"/>
      <c r="X537" s="25"/>
      <c r="Y537" s="25"/>
      <c r="Z537" s="25"/>
      <c r="AA537" s="25"/>
      <c r="AB537" s="25"/>
      <c r="AC537" s="25"/>
    </row>
    <row r="538">
      <c r="A538" s="24" t="str">
        <f>'DE ( Tarik barang retur )'!AC515</f>
        <v>AWBR-3316411414-01</v>
      </c>
      <c r="B538" s="24" t="str">
        <f>'DE ( Tarik barang retur )'!F515</f>
        <v>Apotek Djamat Farma</v>
      </c>
      <c r="C538" s="35">
        <f>'DE ( Tarik barang retur )'!G515</f>
        <v>85777889275</v>
      </c>
      <c r="D538" s="24" t="str">
        <f>'DE ( Tarik barang retur )'!H515</f>
        <v>Jalan Otonom Cikupa Pasar kemis Kp. Pasir gadung RT 003 RW 001 Kelurahan Sukaharja Kecamatan Sindang Jaya Kabupaten Tangerang 15560</v>
      </c>
      <c r="E538" s="24" t="str">
        <f>'DE ( Tarik barang retur )'!D515</f>
        <v>AWBR-3315242809</v>
      </c>
      <c r="F538" s="24" t="str">
        <f>'DE ( Tarik barang retur )'!R515</f>
        <v>ERDOBAT Interbat KAPSUL 300 MG
2x SERETIDE 125 Gsk INHALER 25/125 MCG</v>
      </c>
      <c r="G538" s="36">
        <f>'DE ( Tarik barang retur )'!AF515</f>
        <v>46183</v>
      </c>
      <c r="H538" s="22">
        <v>46184.0</v>
      </c>
      <c r="I538" s="22">
        <v>46186.0</v>
      </c>
      <c r="J538" s="21" t="s">
        <v>5294</v>
      </c>
      <c r="K538" s="24"/>
      <c r="L538" s="24">
        <f t="shared" si="2"/>
        <v>1</v>
      </c>
      <c r="M538" s="24"/>
      <c r="N538" s="24"/>
      <c r="O538" s="24"/>
      <c r="P538" s="25"/>
      <c r="Q538" s="25"/>
      <c r="R538" s="25"/>
      <c r="S538" s="25"/>
      <c r="T538" s="25"/>
      <c r="U538" s="25"/>
      <c r="V538" s="25"/>
      <c r="W538" s="25"/>
      <c r="X538" s="25"/>
      <c r="Y538" s="25"/>
      <c r="Z538" s="25"/>
      <c r="AA538" s="25"/>
      <c r="AB538" s="25"/>
      <c r="AC538" s="25"/>
    </row>
    <row r="539">
      <c r="A539" s="24" t="str">
        <f>'DE ( Tarik barang retur )'!AC516</f>
        <v>AWBR-3316401899-01</v>
      </c>
      <c r="B539" s="24" t="str">
        <f>'DE ( Tarik barang retur )'!F516</f>
        <v>Apotek Doa Ibu Cihuni Pagedangan</v>
      </c>
      <c r="C539" s="35">
        <f>'DE ( Tarik barang retur )'!G516</f>
        <v>6.28571E+17</v>
      </c>
      <c r="D539" s="24" t="str">
        <f>'DE ( Tarik barang retur )'!H516</f>
        <v>Maggiore Square, Lausanne Boulevard D/07, Kel. Cihuni, Kec. Pagedangan, Kab. Tangerang, Banten 15332</v>
      </c>
      <c r="E539" s="24" t="str">
        <f>'DE ( Tarik barang retur )'!D516</f>
        <v>26053008524978DXOdpGb3dg</v>
      </c>
      <c r="F539" s="24" t="str">
        <f>'DE ( Tarik barang retur )'!R516</f>
        <v>RYVEL Novell SIRUP 5 MG / 5ML
2x BAYCUTEN-N Bayer KRIM
3x SANJIN WATERMELON FROST LOZENGES Saras subur</v>
      </c>
      <c r="G539" s="36">
        <f>'DE ( Tarik barang retur )'!AF516</f>
        <v>46183</v>
      </c>
      <c r="H539" s="22">
        <v>46184.0</v>
      </c>
      <c r="I539" s="22">
        <v>46186.0</v>
      </c>
      <c r="J539" s="21" t="s">
        <v>5294</v>
      </c>
      <c r="K539" s="24"/>
      <c r="L539" s="24">
        <f t="shared" si="2"/>
        <v>1</v>
      </c>
      <c r="M539" s="24"/>
      <c r="N539" s="24"/>
      <c r="O539" s="24"/>
      <c r="P539" s="25"/>
      <c r="Q539" s="25"/>
      <c r="R539" s="25"/>
      <c r="S539" s="25"/>
      <c r="T539" s="25"/>
      <c r="U539" s="25"/>
      <c r="V539" s="25"/>
      <c r="W539" s="25"/>
      <c r="X539" s="25"/>
      <c r="Y539" s="25"/>
      <c r="Z539" s="25"/>
      <c r="AA539" s="25"/>
      <c r="AB539" s="25"/>
      <c r="AC539" s="25"/>
    </row>
    <row r="540">
      <c r="A540" s="24" t="str">
        <f>'DE ( Tarik barang retur )'!AC517</f>
        <v>AWBR-3315399349-01</v>
      </c>
      <c r="B540" s="24" t="str">
        <f>'DE ( Tarik barang retur )'!F517</f>
        <v>Apotek Dunia Sehat</v>
      </c>
      <c r="C540" s="35">
        <f>'DE ( Tarik barang retur )'!G517</f>
        <v>82111234473</v>
      </c>
      <c r="D540" s="24" t="str">
        <f>'DE ( Tarik barang retur )'!H517</f>
        <v>Jalan Muara Karang Raya no 4 Kota Jakarta Utara</v>
      </c>
      <c r="E540" s="24" t="str">
        <f>'DE ( Tarik barang retur )'!D517</f>
        <v>26060503402081rMXLLdVfjA</v>
      </c>
      <c r="F540" s="24" t="str">
        <f>'DE ( Tarik barang retur )'!R517</f>
        <v>FAMOCID 20 Sanbe TABLET 20 MG</v>
      </c>
      <c r="G540" s="36">
        <f>'DE ( Tarik barang retur )'!AF517</f>
        <v>46183</v>
      </c>
      <c r="H540" s="22">
        <v>46184.0</v>
      </c>
      <c r="I540" s="22">
        <v>46186.0</v>
      </c>
      <c r="J540" s="21" t="s">
        <v>5294</v>
      </c>
      <c r="K540" s="24"/>
      <c r="L540" s="24">
        <f t="shared" si="2"/>
        <v>1</v>
      </c>
      <c r="M540" s="24"/>
      <c r="N540" s="24"/>
      <c r="O540" s="24"/>
      <c r="P540" s="25"/>
      <c r="Q540" s="25"/>
      <c r="R540" s="25"/>
      <c r="S540" s="25"/>
      <c r="T540" s="25"/>
      <c r="U540" s="25"/>
      <c r="V540" s="25"/>
      <c r="W540" s="25"/>
      <c r="X540" s="25"/>
      <c r="Y540" s="25"/>
      <c r="Z540" s="25"/>
      <c r="AA540" s="25"/>
      <c r="AB540" s="25"/>
      <c r="AC540" s="25"/>
    </row>
    <row r="541">
      <c r="A541" s="24" t="str">
        <f>'DE ( Tarik barang retur )'!AC518</f>
        <v>AWBR-3315407870-01</v>
      </c>
      <c r="B541" s="24" t="str">
        <f>'DE ( Tarik barang retur )'!F518</f>
        <v>Apotek Dunia Sehat</v>
      </c>
      <c r="C541" s="35">
        <f>'DE ( Tarik barang retur )'!G518</f>
        <v>82111234473</v>
      </c>
      <c r="D541" s="24" t="str">
        <f>'DE ( Tarik barang retur )'!H518</f>
        <v>Jalan Muara Karang Raya no 4 Kota Jakarta Utara</v>
      </c>
      <c r="E541" s="24" t="str">
        <f>'DE ( Tarik barang retur )'!D518</f>
        <v>26060222204627QnUqfuywGc</v>
      </c>
      <c r="F541" s="24" t="str">
        <f>'DE ( Tarik barang retur )'!R518</f>
        <v>BETADINE ANTISEPTIC GEL CLEAR Mbf
6x BETADINE ANTISEPTIC SPRAY CLEAR Mbf
1x COMTUSI FORTE Combiphar KAPSUL
23x DEGIROL Darya-Varia TABLET HISAP 0.25 MG
5x SUMAGESIC Medifarma TABLET 600 MG
3x THROMBO ASPILETS Darya-Varia TABLET 100 MG
3x ZOVIRAX Gsk KRIM 5 %</v>
      </c>
      <c r="G541" s="36">
        <f>'DE ( Tarik barang retur )'!AF518</f>
        <v>46183</v>
      </c>
      <c r="H541" s="22">
        <v>46184.0</v>
      </c>
      <c r="I541" s="22">
        <v>46185.0</v>
      </c>
      <c r="J541" s="21" t="s">
        <v>5294</v>
      </c>
      <c r="K541" s="24"/>
      <c r="L541" s="24">
        <f t="shared" si="2"/>
        <v>1</v>
      </c>
      <c r="M541" s="24"/>
      <c r="N541" s="24"/>
      <c r="O541" s="24"/>
      <c r="P541" s="25"/>
      <c r="Q541" s="25"/>
      <c r="R541" s="25"/>
      <c r="S541" s="25"/>
      <c r="T541" s="25"/>
      <c r="U541" s="25"/>
      <c r="V541" s="25"/>
      <c r="W541" s="25"/>
      <c r="X541" s="25"/>
      <c r="Y541" s="25"/>
      <c r="Z541" s="25"/>
      <c r="AA541" s="25"/>
      <c r="AB541" s="25"/>
      <c r="AC541" s="25"/>
    </row>
    <row r="542">
      <c r="A542" s="24" t="str">
        <f>'DE ( Tarik barang retur )'!AC519</f>
        <v>AWBR-3316404318-01</v>
      </c>
      <c r="B542" s="24" t="str">
        <f>'DE ( Tarik barang retur )'!F519</f>
        <v>Apotek Eka Mitra Sehat</v>
      </c>
      <c r="C542" s="35">
        <f>'DE ( Tarik barang retur )'!G519</f>
        <v>81315668881</v>
      </c>
      <c r="D542" s="24" t="str">
        <f>'DE ( Tarik barang retur )'!H519</f>
        <v>Jalan Srengseng Sawah No. 23 RT 010 RW 00, Kelurahan Srengseng Sawah, Kecamatan Jagakarsa, Jakarta Selatan, DKI Jakarta 12640</v>
      </c>
      <c r="E542" s="24" t="str">
        <f>'DE ( Tarik barang retur )'!D519</f>
        <v>26060404524185rTpkSm7niU</v>
      </c>
      <c r="F542" s="24" t="str">
        <f>'DE ( Tarik barang retur )'!R519</f>
        <v>IMBOOST FORCE ES Soho KAPLET</v>
      </c>
      <c r="G542" s="36">
        <f>'DE ( Tarik barang retur )'!AF519</f>
        <v>46183</v>
      </c>
      <c r="H542" s="22">
        <v>46183.0</v>
      </c>
      <c r="I542" s="22">
        <v>46185.0</v>
      </c>
      <c r="J542" s="21" t="s">
        <v>5294</v>
      </c>
      <c r="K542" s="24"/>
      <c r="L542" s="24">
        <f t="shared" si="2"/>
        <v>1</v>
      </c>
      <c r="M542" s="24"/>
      <c r="N542" s="24"/>
      <c r="O542" s="24"/>
      <c r="P542" s="25"/>
      <c r="Q542" s="25"/>
      <c r="R542" s="25"/>
      <c r="S542" s="25"/>
      <c r="T542" s="25"/>
      <c r="U542" s="25"/>
      <c r="V542" s="25"/>
      <c r="W542" s="25"/>
      <c r="X542" s="25"/>
      <c r="Y542" s="25"/>
      <c r="Z542" s="25"/>
      <c r="AA542" s="25"/>
      <c r="AB542" s="25"/>
      <c r="AC542" s="25"/>
    </row>
    <row r="543">
      <c r="A543" s="24" t="str">
        <f>'DE ( Tarik barang retur )'!AC520</f>
        <v>AWBR-3312621638-01</v>
      </c>
      <c r="B543" s="24" t="str">
        <f>'DE ( Tarik barang retur )'!F520</f>
        <v>Apotek EL Madani Kmp Melayu Tim Teluknaga</v>
      </c>
      <c r="C543" s="35">
        <f>'DE ( Tarik barang retur )'!G520</f>
        <v>6.28221E+17</v>
      </c>
      <c r="D543" s="24" t="str">
        <f>'DE ( Tarik barang retur )'!H520</f>
        <v>Jalan Raya Kampung Melayu, Desa/Kel. Kmp Melayu Tim, Kec. Teluknaga, Kab. Tangerang</v>
      </c>
      <c r="E543" s="24" t="str">
        <f>'DE ( Tarik barang retur )'!D520</f>
        <v>26060213551778JyeSJqmI0Q</v>
      </c>
      <c r="F543" s="24" t="str">
        <f>'DE ( Tarik barang retur )'!R520</f>
        <v>COOL-VITA DHA GUMMY RASA APEL, MANGGA dan JERUK</v>
      </c>
      <c r="G543" s="36">
        <f>'DE ( Tarik barang retur )'!AF520</f>
        <v>46183</v>
      </c>
      <c r="H543" s="22">
        <v>46184.0</v>
      </c>
      <c r="I543" s="22">
        <v>46185.0</v>
      </c>
      <c r="J543" s="21" t="s">
        <v>5294</v>
      </c>
      <c r="K543" s="24"/>
      <c r="L543" s="24">
        <f t="shared" si="2"/>
        <v>1</v>
      </c>
      <c r="M543" s="24"/>
      <c r="N543" s="24"/>
      <c r="O543" s="24"/>
      <c r="P543" s="25"/>
      <c r="Q543" s="25"/>
      <c r="R543" s="25"/>
      <c r="S543" s="25"/>
      <c r="T543" s="25"/>
      <c r="U543" s="25"/>
      <c r="V543" s="25"/>
      <c r="W543" s="25"/>
      <c r="X543" s="25"/>
      <c r="Y543" s="25"/>
      <c r="Z543" s="25"/>
      <c r="AA543" s="25"/>
      <c r="AB543" s="25"/>
      <c r="AC543" s="25"/>
    </row>
    <row r="544">
      <c r="A544" s="24" t="str">
        <f>'DE ( Tarik barang retur )'!AC521</f>
        <v>AWBR-3315240449-01</v>
      </c>
      <c r="B544" s="24" t="str">
        <f>'DE ( Tarik barang retur )'!F521</f>
        <v>Apotek EL Madani Kmp Melayu Tim Teluknaga</v>
      </c>
      <c r="C544" s="35">
        <f>'DE ( Tarik barang retur )'!G521</f>
        <v>6.28221E+17</v>
      </c>
      <c r="D544" s="24" t="str">
        <f>'DE ( Tarik barang retur )'!H521</f>
        <v>Jalan Raya Kampung Melayu, Desa/Kel. Kmp Melayu Tim, Kec. Teluknaga, Kab. Tangerang</v>
      </c>
      <c r="E544" s="24" t="str">
        <f>'DE ( Tarik barang retur )'!D521</f>
        <v>26060322441705LUUOrhJtI</v>
      </c>
      <c r="F544" s="24" t="str">
        <f>'DE ( Tarik barang retur )'!R521</f>
        <v>STERIMAR NOSE HYGIENE AND COMFORT Hyphens</v>
      </c>
      <c r="G544" s="36">
        <f>'DE ( Tarik barang retur )'!AF521</f>
        <v>46183</v>
      </c>
      <c r="H544" s="22">
        <v>46184.0</v>
      </c>
      <c r="I544" s="22">
        <v>46185.0</v>
      </c>
      <c r="J544" s="21" t="s">
        <v>5294</v>
      </c>
      <c r="K544" s="24"/>
      <c r="L544" s="24">
        <f t="shared" si="2"/>
        <v>1</v>
      </c>
      <c r="M544" s="24"/>
      <c r="N544" s="24"/>
      <c r="O544" s="24"/>
      <c r="P544" s="25"/>
      <c r="Q544" s="25"/>
      <c r="R544" s="25"/>
      <c r="S544" s="25"/>
      <c r="T544" s="25"/>
      <c r="U544" s="25"/>
      <c r="V544" s="25"/>
      <c r="W544" s="25"/>
      <c r="X544" s="25"/>
      <c r="Y544" s="25"/>
      <c r="Z544" s="25"/>
      <c r="AA544" s="25"/>
      <c r="AB544" s="25"/>
      <c r="AC544" s="25"/>
    </row>
    <row r="545">
      <c r="A545" s="24" t="str">
        <f>'DE ( Tarik barang retur )'!AC522</f>
        <v>AWBR-3315241203-01</v>
      </c>
      <c r="B545" s="24" t="str">
        <f>'DE ( Tarik barang retur )'!F522</f>
        <v>Apotek EL Madani Kmp Melayu Tim Teluknaga</v>
      </c>
      <c r="C545" s="35">
        <f>'DE ( Tarik barang retur )'!G522</f>
        <v>6.28221E+17</v>
      </c>
      <c r="D545" s="24" t="str">
        <f>'DE ( Tarik barang retur )'!H522</f>
        <v>Jalan Raya Kampung Melayu, Desa/Kel. Kmp Melayu Tim, Kec. Teluknaga, Kab. Tangerang</v>
      </c>
      <c r="E545" s="24" t="str">
        <f>'DE ( Tarik barang retur )'!D522</f>
        <v>26060208560705MDfrCFy01H</v>
      </c>
      <c r="F545" s="24" t="str">
        <f>'DE ( Tarik barang retur )'!R522</f>
        <v>CONCOR AM Merck TABLET 5/10 MG</v>
      </c>
      <c r="G545" s="36">
        <f>'DE ( Tarik barang retur )'!AF522</f>
        <v>46183</v>
      </c>
      <c r="H545" s="22">
        <v>46184.0</v>
      </c>
      <c r="I545" s="22">
        <v>46185.0</v>
      </c>
      <c r="J545" s="21" t="s">
        <v>5294</v>
      </c>
      <c r="K545" s="24"/>
      <c r="L545" s="24">
        <f t="shared" si="2"/>
        <v>1</v>
      </c>
      <c r="M545" s="24"/>
      <c r="N545" s="24"/>
      <c r="O545" s="24"/>
      <c r="P545" s="25"/>
      <c r="Q545" s="25"/>
      <c r="R545" s="25"/>
      <c r="S545" s="25"/>
      <c r="T545" s="25"/>
      <c r="U545" s="25"/>
      <c r="V545" s="25"/>
      <c r="W545" s="25"/>
      <c r="X545" s="25"/>
      <c r="Y545" s="25"/>
      <c r="Z545" s="25"/>
      <c r="AA545" s="25"/>
      <c r="AB545" s="25"/>
      <c r="AC545" s="25"/>
    </row>
    <row r="546">
      <c r="A546" s="24" t="str">
        <f>'DE ( Tarik barang retur )'!AC523</f>
        <v>AWBR-3315218266-01</v>
      </c>
      <c r="B546" s="24" t="str">
        <f>'DE ( Tarik barang retur )'!F523</f>
        <v>Apotek Farhanah</v>
      </c>
      <c r="C546" s="35">
        <f>'DE ( Tarik barang retur )'!G523</f>
        <v>81315800751</v>
      </c>
      <c r="D546" s="24" t="str">
        <f>'DE ( Tarik barang retur )'!H523</f>
        <v>Jl. Kalisari Raya No. 61 RT. 009 RW.003 Kelurahan Kalisari, Kecamatan Pasar Rebo, Kota Administrasi Jakarta Timur 13790</v>
      </c>
      <c r="E546" s="24" t="str">
        <f>'DE ( Tarik barang retur )'!D523</f>
        <v>26042803170257oUpb9iOLk</v>
      </c>
      <c r="F546" s="24" t="str">
        <f>'DE ( Tarik barang retur )'!R523</f>
        <v>HANSAPLAST KAIN ELASTIS
1x HANSAPLAST KAIN ELASTIS JUMBO Beiersdorf
6x HANSAPLAST KAIN ELASTIS JUMBO Beiersdorf
24x ONEMED KASA STERIL Jayamas Medica</v>
      </c>
      <c r="G546" s="36">
        <f>'DE ( Tarik barang retur )'!AF523</f>
        <v>46183</v>
      </c>
      <c r="H546" s="22">
        <v>46183.0</v>
      </c>
      <c r="I546" s="22">
        <v>46184.0</v>
      </c>
      <c r="J546" s="21" t="s">
        <v>5294</v>
      </c>
      <c r="K546" s="24"/>
      <c r="L546" s="24">
        <f t="shared" si="2"/>
        <v>1</v>
      </c>
      <c r="M546" s="24"/>
      <c r="N546" s="24"/>
      <c r="O546" s="24"/>
      <c r="P546" s="25"/>
      <c r="Q546" s="25"/>
      <c r="R546" s="25"/>
      <c r="S546" s="25"/>
      <c r="T546" s="25"/>
      <c r="U546" s="25"/>
      <c r="V546" s="25"/>
      <c r="W546" s="25"/>
      <c r="X546" s="25"/>
      <c r="Y546" s="25"/>
      <c r="Z546" s="25"/>
      <c r="AA546" s="25"/>
      <c r="AB546" s="25"/>
      <c r="AC546" s="25"/>
    </row>
    <row r="547">
      <c r="A547" s="24" t="str">
        <f>'DE ( Tarik barang retur )'!AC524</f>
        <v>AWBR-3316404226-01</v>
      </c>
      <c r="B547" s="24" t="str">
        <f>'DE ( Tarik barang retur )'!F524</f>
        <v>Apotek Fatih Jatibening Baru Pondok Gede</v>
      </c>
      <c r="C547" s="35">
        <f>'DE ( Tarik barang retur )'!G524</f>
        <v>6.28121E+17</v>
      </c>
      <c r="D547" s="24" t="str">
        <f>'DE ( Tarik barang retur )'!H524</f>
        <v>Jl. Lampiri Raya No.108 B Desa/Kelurahan Jatibening Baru,Kecamatan Pondok Gede, Kota Bekasi, Jawa Barat, 17412</v>
      </c>
      <c r="E547" s="24" t="str">
        <f>'DE ( Tarik barang retur )'!D524</f>
        <v>26052604000422MPJ9ffTQ6n</v>
      </c>
      <c r="F547" s="24" t="str">
        <f>'DE ( Tarik barang retur )'!R524</f>
        <v>BECOM C Sanbe KAPLET</v>
      </c>
      <c r="G547" s="36">
        <f>'DE ( Tarik barang retur )'!AF524</f>
        <v>46183</v>
      </c>
      <c r="H547" s="22">
        <v>46184.0</v>
      </c>
      <c r="I547" s="22">
        <v>46184.0</v>
      </c>
      <c r="J547" s="21" t="s">
        <v>5294</v>
      </c>
      <c r="K547" s="24"/>
      <c r="L547" s="24">
        <f t="shared" si="2"/>
        <v>1</v>
      </c>
      <c r="M547" s="24"/>
      <c r="N547" s="24"/>
      <c r="O547" s="24"/>
      <c r="P547" s="25"/>
      <c r="Q547" s="25"/>
      <c r="R547" s="25"/>
      <c r="S547" s="25"/>
      <c r="T547" s="25"/>
      <c r="U547" s="25"/>
      <c r="V547" s="25"/>
      <c r="W547" s="25"/>
      <c r="X547" s="25"/>
      <c r="Y547" s="25"/>
      <c r="Z547" s="25"/>
      <c r="AA547" s="25"/>
      <c r="AB547" s="25"/>
      <c r="AC547" s="25"/>
    </row>
    <row r="548">
      <c r="A548" s="24" t="str">
        <f>'DE ( Tarik barang retur )'!AC525</f>
        <v>AWBR-3316182891-01</v>
      </c>
      <c r="B548" s="24" t="str">
        <f>'DE ( Tarik barang retur )'!F525</f>
        <v>Apotek Fostina Rambutan Ciracas</v>
      </c>
      <c r="C548" s="35">
        <f>'DE ( Tarik barang retur )'!G525</f>
        <v>6.28132E+17</v>
      </c>
      <c r="D548" s="24" t="str">
        <f>'DE ( Tarik barang retur )'!H525</f>
        <v>Jl Tanah Merdeka No 1 RT 16 RW 03 Kel. Rambutan Kec. Ciracas Kota Jakarta Timur</v>
      </c>
      <c r="E548" s="24" t="str">
        <f>'DE ( Tarik barang retur )'!D525</f>
        <v>2606060244339635St4EQLW</v>
      </c>
      <c r="F548" s="24" t="str">
        <f>'DE ( Tarik barang retur )'!R525</f>
        <v>REBAMID Lapi TABLET 100 MG</v>
      </c>
      <c r="G548" s="36">
        <f>'DE ( Tarik barang retur )'!AF525</f>
        <v>46183</v>
      </c>
      <c r="H548" s="22">
        <v>46183.0</v>
      </c>
      <c r="I548" s="22">
        <v>46184.0</v>
      </c>
      <c r="J548" s="21" t="s">
        <v>5294</v>
      </c>
      <c r="K548" s="24"/>
      <c r="L548" s="24">
        <f t="shared" si="2"/>
        <v>1</v>
      </c>
      <c r="M548" s="24"/>
      <c r="N548" s="24"/>
      <c r="O548" s="24"/>
      <c r="P548" s="25"/>
      <c r="Q548" s="25"/>
      <c r="R548" s="25"/>
      <c r="S548" s="25"/>
      <c r="T548" s="25"/>
      <c r="U548" s="25"/>
      <c r="V548" s="25"/>
      <c r="W548" s="25"/>
      <c r="X548" s="25"/>
      <c r="Y548" s="25"/>
      <c r="Z548" s="25"/>
      <c r="AA548" s="25"/>
      <c r="AB548" s="25"/>
      <c r="AC548" s="25"/>
    </row>
    <row r="549">
      <c r="A549" s="24" t="str">
        <f>'DE ( Tarik barang retur )'!AC526</f>
        <v>AWBR-3316402904-01</v>
      </c>
      <c r="B549" s="24" t="str">
        <f>'DE ( Tarik barang retur )'!F526</f>
        <v>Apotek Gebang Farma Sangiang Jaya Periuk</v>
      </c>
      <c r="C549" s="35">
        <f>'DE ( Tarik barang retur )'!G526</f>
        <v>6.28521E+17</v>
      </c>
      <c r="D549" s="24" t="str">
        <f>'DE ( Tarik barang retur )'!H526</f>
        <v>Jln. Prabu Kian Santang, Kp. Sangiang No.36 RT.001 RW.005 Kel. Gebang Raya Kec. Periuk Kota Tangerang</v>
      </c>
      <c r="E549" s="24" t="str">
        <f>'DE ( Tarik barang retur )'!D526</f>
        <v>25110708365486iTaVMami1</v>
      </c>
      <c r="F549" s="24" t="str">
        <f>'DE ( Tarik barang retur )'!R526</f>
        <v>ANDALAN LAKTASI Sydna Farma TABLET 0.5 MG</v>
      </c>
      <c r="G549" s="36">
        <f>'DE ( Tarik barang retur )'!AF526</f>
        <v>46183</v>
      </c>
      <c r="H549" s="22">
        <v>46184.0</v>
      </c>
      <c r="I549" s="22">
        <v>46185.0</v>
      </c>
      <c r="J549" s="21" t="s">
        <v>5294</v>
      </c>
      <c r="K549" s="24"/>
      <c r="L549" s="24">
        <f t="shared" si="2"/>
        <v>1</v>
      </c>
      <c r="M549" s="24"/>
      <c r="N549" s="24"/>
      <c r="O549" s="24"/>
      <c r="P549" s="25"/>
      <c r="Q549" s="25"/>
      <c r="R549" s="25"/>
      <c r="S549" s="25"/>
      <c r="T549" s="25"/>
      <c r="U549" s="25"/>
      <c r="V549" s="25"/>
      <c r="W549" s="25"/>
      <c r="X549" s="25"/>
      <c r="Y549" s="25"/>
      <c r="Z549" s="25"/>
      <c r="AA549" s="25"/>
      <c r="AB549" s="25"/>
      <c r="AC549" s="25"/>
    </row>
    <row r="550">
      <c r="A550" s="24" t="str">
        <f>'DE ( Tarik barang retur )'!AC527</f>
        <v>AWBR-3315230367-01</v>
      </c>
      <c r="B550" s="24" t="str">
        <f>'DE ( Tarik barang retur )'!F527</f>
        <v>Apotek Gerbang Sentul</v>
      </c>
      <c r="C550" s="35">
        <f>'DE ( Tarik barang retur )'!G527</f>
        <v>8161819742</v>
      </c>
      <c r="D550" s="24" t="str">
        <f>'DE ( Tarik barang retur )'!H527</f>
        <v>Jalan Raya Sirkuit Sentul Blok R9 Gerbang Sentul Estate Desa Sentul Kecamatan Babakan Madang Kabupaten Bogor 16810</v>
      </c>
      <c r="E550" s="24" t="str">
        <f>'DE ( Tarik barang retur )'!D527</f>
        <v>251030034929560oivZ1VJw</v>
      </c>
      <c r="F550" s="24" t="str">
        <f>'DE ( Tarik barang retur )'!R527</f>
        <v>MASKER BEDAH KARET EARLOOP BIRU</v>
      </c>
      <c r="G550" s="36">
        <f>'DE ( Tarik barang retur )'!AF527</f>
        <v>46183</v>
      </c>
      <c r="H550" s="22">
        <v>46183.0</v>
      </c>
      <c r="I550" s="22">
        <v>46184.0</v>
      </c>
      <c r="J550" s="21" t="s">
        <v>5294</v>
      </c>
      <c r="K550" s="24"/>
      <c r="L550" s="24">
        <f t="shared" si="2"/>
        <v>1</v>
      </c>
      <c r="M550" s="24"/>
      <c r="N550" s="24"/>
      <c r="O550" s="24"/>
      <c r="P550" s="25"/>
      <c r="Q550" s="25"/>
      <c r="R550" s="25"/>
      <c r="S550" s="25"/>
      <c r="T550" s="25"/>
      <c r="U550" s="25"/>
      <c r="V550" s="25"/>
      <c r="W550" s="25"/>
      <c r="X550" s="25"/>
      <c r="Y550" s="25"/>
      <c r="Z550" s="25"/>
      <c r="AA550" s="25"/>
      <c r="AB550" s="25"/>
      <c r="AC550" s="25"/>
    </row>
    <row r="551">
      <c r="A551" s="24" t="str">
        <f>'DE ( Tarik barang retur )'!AC528</f>
        <v>AWBR-3316410269-01</v>
      </c>
      <c r="B551" s="24" t="str">
        <f>'DE ( Tarik barang retur )'!F528</f>
        <v>Apotek Habiby Muktiwari Cibitung</v>
      </c>
      <c r="C551" s="35">
        <f>'DE ( Tarik barang retur )'!G528</f>
        <v>6.28584E+17</v>
      </c>
      <c r="D551" s="24" t="str">
        <f>'DE ( Tarik barang retur )'!H528</f>
        <v>Perumahan Permata Muktiwari Residence Blok A1 No. 05 Desa/Kelurahan Muktiwari, Kecamatan Cibitung, Kabupaten Bekasi, Jawa Barat 17519</v>
      </c>
      <c r="E551" s="24" t="str">
        <f>'DE ( Tarik barang retur )'!D528</f>
        <v>260531035414988sPkHj9yK</v>
      </c>
      <c r="F551" s="24" t="str">
        <f>'DE ( Tarik barang retur )'!R528</f>
        <v>VOLTAREN Gsk EMULGEL 1 %</v>
      </c>
      <c r="G551" s="36">
        <f>'DE ( Tarik barang retur )'!AF528</f>
        <v>46183</v>
      </c>
      <c r="H551" s="22">
        <v>46184.0</v>
      </c>
      <c r="I551" s="22">
        <v>46184.0</v>
      </c>
      <c r="J551" s="21" t="s">
        <v>5294</v>
      </c>
      <c r="K551" s="24"/>
      <c r="L551" s="24">
        <f t="shared" si="2"/>
        <v>1</v>
      </c>
      <c r="M551" s="24"/>
      <c r="N551" s="24"/>
      <c r="O551" s="24"/>
      <c r="P551" s="25"/>
      <c r="Q551" s="25"/>
      <c r="R551" s="25"/>
      <c r="S551" s="25"/>
      <c r="T551" s="25"/>
      <c r="U551" s="25"/>
      <c r="V551" s="25"/>
      <c r="W551" s="25"/>
      <c r="X551" s="25"/>
      <c r="Y551" s="25"/>
      <c r="Z551" s="25"/>
      <c r="AA551" s="25"/>
      <c r="AB551" s="25"/>
      <c r="AC551" s="25"/>
    </row>
    <row r="552">
      <c r="A552" s="24" t="str">
        <f>'DE ( Tarik barang retur )'!AC529</f>
        <v>AWBR-3315234351-01</v>
      </c>
      <c r="B552" s="24" t="str">
        <f>'DE ( Tarik barang retur )'!F529</f>
        <v>Apotek Haka Farma</v>
      </c>
      <c r="C552" s="35">
        <f>'DE ( Tarik barang retur )'!G529</f>
        <v>81287123733</v>
      </c>
      <c r="D552" s="24" t="str">
        <f>'DE ( Tarik barang retur )'!H529</f>
        <v>Jl. Telaga asih No. 08 RT 01 RW 01 Desa Telaga Asih, Kec. Cikarang Barat Kab. Bekasi 17520</v>
      </c>
      <c r="E552" s="24" t="str">
        <f>'DE ( Tarik barang retur )'!D529</f>
        <v>26060303104348DZV9jdinQ</v>
      </c>
      <c r="F552" s="24" t="str">
        <f>'DE ( Tarik barang retur )'!R529</f>
        <v>FUFANG E JIAO ORAL SOLUTION</v>
      </c>
      <c r="G552" s="36">
        <f>'DE ( Tarik barang retur )'!AF529</f>
        <v>46183</v>
      </c>
      <c r="H552" s="22">
        <v>46184.0</v>
      </c>
      <c r="I552" s="22">
        <v>46184.0</v>
      </c>
      <c r="J552" s="21" t="s">
        <v>5294</v>
      </c>
      <c r="K552" s="24"/>
      <c r="L552" s="24">
        <f t="shared" si="2"/>
        <v>1</v>
      </c>
      <c r="M552" s="24"/>
      <c r="N552" s="24"/>
      <c r="O552" s="24"/>
      <c r="P552" s="25"/>
      <c r="Q552" s="25"/>
      <c r="R552" s="25"/>
      <c r="S552" s="25"/>
      <c r="T552" s="25"/>
      <c r="U552" s="25"/>
      <c r="V552" s="25"/>
      <c r="W552" s="25"/>
      <c r="X552" s="25"/>
      <c r="Y552" s="25"/>
      <c r="Z552" s="25"/>
      <c r="AA552" s="25"/>
      <c r="AB552" s="25"/>
      <c r="AC552" s="25"/>
    </row>
    <row r="553">
      <c r="A553" s="24" t="str">
        <f>'DE ( Tarik barang retur )'!AC530</f>
        <v>AWBR-3316185965-01</v>
      </c>
      <c r="B553" s="24" t="str">
        <f>'DE ( Tarik barang retur )'!F530</f>
        <v>Apotek Harrison Jonggol</v>
      </c>
      <c r="C553" s="35">
        <f>'DE ( Tarik barang retur )'!G530</f>
        <v>81350752017</v>
      </c>
      <c r="D553" s="24" t="str">
        <f>'DE ( Tarik barang retur )'!H530</f>
        <v>Jalan Raya Letkol Murlin Kp Menan RT 001 RW 004 Desa Sukamaju Kecamatan Jonggol Kab Bogor 16830</v>
      </c>
      <c r="E553" s="24" t="str">
        <f>'DE ( Tarik barang retur )'!D530</f>
        <v>2606051149081931Kt8hE1Ew</v>
      </c>
      <c r="F553" s="24" t="str">
        <f>'DE ( Tarik barang retur )'!R530</f>
        <v>CATAFLAM D Novartis TABLET DISPERSIBLE</v>
      </c>
      <c r="G553" s="36">
        <f>'DE ( Tarik barang retur )'!AF530</f>
        <v>46183</v>
      </c>
      <c r="H553" s="22">
        <v>46184.0</v>
      </c>
      <c r="I553" s="22">
        <v>46186.0</v>
      </c>
      <c r="J553" s="21" t="s">
        <v>5294</v>
      </c>
      <c r="K553" s="24"/>
      <c r="L553" s="24">
        <f t="shared" si="2"/>
        <v>1</v>
      </c>
      <c r="M553" s="24"/>
      <c r="N553" s="24"/>
      <c r="O553" s="24"/>
      <c r="P553" s="25"/>
      <c r="Q553" s="25"/>
      <c r="R553" s="25"/>
      <c r="S553" s="25"/>
      <c r="T553" s="25"/>
      <c r="U553" s="25"/>
      <c r="V553" s="25"/>
      <c r="W553" s="25"/>
      <c r="X553" s="25"/>
      <c r="Y553" s="25"/>
      <c r="Z553" s="25"/>
      <c r="AA553" s="25"/>
      <c r="AB553" s="25"/>
      <c r="AC553" s="25"/>
    </row>
    <row r="554">
      <c r="A554" s="24" t="str">
        <f>'DE ( Tarik barang retur )'!AC531</f>
        <v>AWBR-3316401301-01</v>
      </c>
      <c r="B554" s="24" t="str">
        <f>'DE ( Tarik barang retur )'!F531</f>
        <v>Apotek Hiyuna Sindangsari Pasar Kemis</v>
      </c>
      <c r="C554" s="35">
        <f>'DE ( Tarik barang retur )'!G531</f>
        <v>6.28226E+17</v>
      </c>
      <c r="D554" s="24" t="str">
        <f>'DE ( Tarik barang retur )'!H531</f>
        <v>Grand Batavia Ruko Arcade Blok D2 No. 15, Desa/Kelurahan Sindangsari, Kec. Pasar Kemis, Kab. Tangerang</v>
      </c>
      <c r="E554" s="24" t="str">
        <f>'DE ( Tarik barang retur )'!D531</f>
        <v>26052402322379bnQdTNbA54</v>
      </c>
      <c r="F554" s="24" t="str">
        <f>'DE ( Tarik barang retur )'!R531</f>
        <v>MEXTRIL Saka Farma TABLET</v>
      </c>
      <c r="G554" s="36">
        <f>'DE ( Tarik barang retur )'!AF531</f>
        <v>46183</v>
      </c>
      <c r="H554" s="22">
        <v>46184.0</v>
      </c>
      <c r="I554" s="22">
        <v>46186.0</v>
      </c>
      <c r="J554" s="21" t="s">
        <v>5294</v>
      </c>
      <c r="K554" s="24"/>
      <c r="L554" s="24">
        <f t="shared" si="2"/>
        <v>1</v>
      </c>
      <c r="M554" s="24"/>
      <c r="N554" s="24"/>
      <c r="O554" s="24"/>
      <c r="P554" s="25"/>
      <c r="Q554" s="25"/>
      <c r="R554" s="25"/>
      <c r="S554" s="25"/>
      <c r="T554" s="25"/>
      <c r="U554" s="25"/>
      <c r="V554" s="25"/>
      <c r="W554" s="25"/>
      <c r="X554" s="25"/>
      <c r="Y554" s="25"/>
      <c r="Z554" s="25"/>
      <c r="AA554" s="25"/>
      <c r="AB554" s="25"/>
      <c r="AC554" s="25"/>
    </row>
    <row r="555">
      <c r="A555" s="24" t="str">
        <f>'DE ( Tarik barang retur )'!AC532</f>
        <v>AWBR-3315912601-01</v>
      </c>
      <c r="B555" s="24" t="str">
        <f>'DE ( Tarik barang retur )'!F532</f>
        <v>Apotek Ilham Karangsatria Tambun Utara</v>
      </c>
      <c r="C555" s="35">
        <f>'DE ( Tarik barang retur )'!G532</f>
        <v>85888674498</v>
      </c>
      <c r="D555" s="24" t="str">
        <f>'DE ( Tarik barang retur )'!H532</f>
        <v>Villa Mutiara Gading 2, Kav D10 No. 03A Desa Karang Satria Kec. Tambun Utara Kab. Bekasi 17510</v>
      </c>
      <c r="E555" s="24" t="str">
        <f>'DE ( Tarik barang retur )'!D532</f>
        <v>26060310502282rrorDcp5h</v>
      </c>
      <c r="F555" s="24" t="str">
        <f>'DE ( Tarik barang retur )'!R532</f>
        <v>SELSUN GOLD Rohto SHAMPOO</v>
      </c>
      <c r="G555" s="36">
        <f>'DE ( Tarik barang retur )'!AF532</f>
        <v>46183</v>
      </c>
      <c r="H555" s="22">
        <v>46184.0</v>
      </c>
      <c r="I555" s="22">
        <v>46184.0</v>
      </c>
      <c r="J555" s="21" t="s">
        <v>5294</v>
      </c>
      <c r="K555" s="24"/>
      <c r="L555" s="24">
        <f t="shared" si="2"/>
        <v>1</v>
      </c>
      <c r="M555" s="24"/>
      <c r="N555" s="24"/>
      <c r="O555" s="24"/>
      <c r="P555" s="25"/>
      <c r="Q555" s="25"/>
      <c r="R555" s="25"/>
      <c r="S555" s="25"/>
      <c r="T555" s="25"/>
      <c r="U555" s="25"/>
      <c r="V555" s="25"/>
      <c r="W555" s="25"/>
      <c r="X555" s="25"/>
      <c r="Y555" s="25"/>
      <c r="Z555" s="25"/>
      <c r="AA555" s="25"/>
      <c r="AB555" s="25"/>
      <c r="AC555" s="25"/>
    </row>
    <row r="556">
      <c r="A556" s="24" t="str">
        <f>'DE ( Tarik barang retur )'!AC533</f>
        <v>AWBR-3315915405-01</v>
      </c>
      <c r="B556" s="24" t="str">
        <f>'DE ( Tarik barang retur )'!F533</f>
        <v>Apotek Inofarma Syahdan</v>
      </c>
      <c r="C556" s="35">
        <f>'DE ( Tarik barang retur )'!G533</f>
        <v>6.28789E+17</v>
      </c>
      <c r="D556" s="24" t="str">
        <f>'DE ( Tarik barang retur )'!H533</f>
        <v>Jl. K.H. Syahdan No. 02 RT 003 RW 011, Kel. Palmerah, Kec. Pal Merah, Kota Jakarta Barat</v>
      </c>
      <c r="E556" s="24" t="str">
        <f>'DE ( Tarik barang retur )'!D533</f>
        <v>26060602214046fbUWZJl9a</v>
      </c>
      <c r="F556" s="24" t="str">
        <f>'DE ( Tarik barang retur )'!R533</f>
        <v>SELSUN GOLD Rohto SHAMPOO</v>
      </c>
      <c r="G556" s="36">
        <f>'DE ( Tarik barang retur )'!AF533</f>
        <v>46183</v>
      </c>
      <c r="H556" s="22">
        <v>46184.0</v>
      </c>
      <c r="I556" s="22">
        <v>46185.0</v>
      </c>
      <c r="J556" s="21" t="s">
        <v>5294</v>
      </c>
      <c r="K556" s="24"/>
      <c r="L556" s="24">
        <f t="shared" si="2"/>
        <v>1</v>
      </c>
      <c r="M556" s="24"/>
      <c r="N556" s="24"/>
      <c r="O556" s="24"/>
      <c r="P556" s="25"/>
      <c r="Q556" s="25"/>
      <c r="R556" s="25"/>
      <c r="S556" s="25"/>
      <c r="T556" s="25"/>
      <c r="U556" s="25"/>
      <c r="V556" s="25"/>
      <c r="W556" s="25"/>
      <c r="X556" s="25"/>
      <c r="Y556" s="25"/>
      <c r="Z556" s="25"/>
      <c r="AA556" s="25"/>
      <c r="AB556" s="25"/>
      <c r="AC556" s="25"/>
    </row>
    <row r="557">
      <c r="A557" s="24" t="str">
        <f>'DE ( Tarik barang retur )'!AC534</f>
        <v>AWBR-3316404710-01</v>
      </c>
      <c r="B557" s="24" t="str">
        <f>'DE ( Tarik barang retur )'!F534</f>
        <v>Apotek Ishaura Sejahtera Medika Sukakarya Warudoyong</v>
      </c>
      <c r="C557" s="35">
        <f>'DE ( Tarik barang retur )'!G534</f>
        <v>85703465396</v>
      </c>
      <c r="D557" s="24" t="str">
        <f>'DE ( Tarik barang retur )'!H534</f>
        <v>Jalan KH. Ahmad Sanusi RT 001 RW 002 Desa Sukakarya Kec. Warudoyong Kota Sukabumi 43135</v>
      </c>
      <c r="E557" s="24" t="str">
        <f>'DE ( Tarik barang retur )'!D534</f>
        <v>26041315220171wI6ixqa73</v>
      </c>
      <c r="F557" s="24" t="str">
        <f>'DE ( Tarik barang retur )'!R534</f>
        <v>OBAT SAKIT GIGI CAP BURUNG KAKAK TUA Samco Farma</v>
      </c>
      <c r="G557" s="36">
        <f>'DE ( Tarik barang retur )'!AF534</f>
        <v>46183</v>
      </c>
      <c r="H557" s="22">
        <v>46183.0</v>
      </c>
      <c r="I557" s="22">
        <v>46185.0</v>
      </c>
      <c r="J557" s="21" t="s">
        <v>5294</v>
      </c>
      <c r="K557" s="24"/>
      <c r="L557" s="24">
        <f t="shared" si="2"/>
        <v>1</v>
      </c>
      <c r="M557" s="24"/>
      <c r="N557" s="24"/>
      <c r="O557" s="24"/>
      <c r="P557" s="25"/>
      <c r="Q557" s="25"/>
      <c r="R557" s="25"/>
      <c r="S557" s="25"/>
      <c r="T557" s="25"/>
      <c r="U557" s="25"/>
      <c r="V557" s="25"/>
      <c r="W557" s="25"/>
      <c r="X557" s="25"/>
      <c r="Y557" s="25"/>
      <c r="Z557" s="25"/>
      <c r="AA557" s="25"/>
      <c r="AB557" s="25"/>
      <c r="AC557" s="25"/>
    </row>
    <row r="558">
      <c r="A558" s="24" t="str">
        <f>'DE ( Tarik barang retur )'!AC535</f>
        <v>AWBR-3316413399-01</v>
      </c>
      <c r="B558" s="24" t="str">
        <f>'DE ( Tarik barang retur )'!F535</f>
        <v>Apotek Jivaka Kalijaya Cikarang Barat</v>
      </c>
      <c r="C558" s="35">
        <f>'DE ( Tarik barang retur )'!G535</f>
        <v>6.28211E+17</v>
      </c>
      <c r="D558" s="24" t="str">
        <f>'DE ( Tarik barang retur )'!H535</f>
        <v>Kp. Cikarang Poncol RT 03 RW 05 Desa/Kel. Kalijaya, Kec. Cikarang Barat, Kab. Bekasi, 17530</v>
      </c>
      <c r="E558" s="24" t="str">
        <f>'DE ( Tarik barang retur )'!D535</f>
        <v>26060123364373toXxYrx6S5</v>
      </c>
      <c r="F558" s="24" t="str">
        <f>'DE ( Tarik barang retur )'!R535</f>
        <v>VENTOLIN INHALER CFC FREE Gsk 200 Doses</v>
      </c>
      <c r="G558" s="36">
        <f>'DE ( Tarik barang retur )'!AF535</f>
        <v>46183</v>
      </c>
      <c r="H558" s="22">
        <v>46184.0</v>
      </c>
      <c r="I558" s="22">
        <v>46184.0</v>
      </c>
      <c r="J558" s="21" t="s">
        <v>5294</v>
      </c>
      <c r="K558" s="24"/>
      <c r="L558" s="24">
        <f t="shared" si="2"/>
        <v>1</v>
      </c>
      <c r="M558" s="24"/>
      <c r="N558" s="24"/>
      <c r="O558" s="24"/>
      <c r="P558" s="25"/>
      <c r="Q558" s="25"/>
      <c r="R558" s="25"/>
      <c r="S558" s="25"/>
      <c r="T558" s="25"/>
      <c r="U558" s="25"/>
      <c r="V558" s="25"/>
      <c r="W558" s="25"/>
      <c r="X558" s="25"/>
      <c r="Y558" s="25"/>
      <c r="Z558" s="25"/>
      <c r="AA558" s="25"/>
      <c r="AB558" s="25"/>
      <c r="AC558" s="25"/>
    </row>
    <row r="559">
      <c r="A559" s="24" t="str">
        <f>'DE ( Tarik barang retur )'!AC536</f>
        <v>AWBR-3316401834-01</v>
      </c>
      <c r="B559" s="24" t="str">
        <f>'DE ( Tarik barang retur )'!F536</f>
        <v>Apotek K24 Buaran Klender Duren Sawit</v>
      </c>
      <c r="C559" s="35">
        <f>'DE ( Tarik barang retur )'!G536</f>
        <v>6.28594E+17</v>
      </c>
      <c r="D559" s="24" t="str">
        <f>'DE ( Tarik barang retur )'!H536</f>
        <v>Ruko Arlin Blok L No. 10 Jl. Buaran Raya, Desa/Kelurahan Duren Sawit, Kec. Duren Sawit, Kota Jakarta Timur</v>
      </c>
      <c r="E559" s="24" t="str">
        <f>'DE ( Tarik barang retur )'!D536</f>
        <v>26052303172603HcjAENO8X0</v>
      </c>
      <c r="F559" s="24" t="str">
        <f>'DE ( Tarik barang retur )'!R536</f>
        <v>D-VIT FT Gracia TABLET</v>
      </c>
      <c r="G559" s="36">
        <f>'DE ( Tarik barang retur )'!AF536</f>
        <v>46183</v>
      </c>
      <c r="H559" s="22">
        <v>46184.0</v>
      </c>
      <c r="I559" s="22">
        <v>46184.0</v>
      </c>
      <c r="J559" s="21" t="s">
        <v>5294</v>
      </c>
      <c r="K559" s="24"/>
      <c r="L559" s="24">
        <f t="shared" si="2"/>
        <v>1</v>
      </c>
      <c r="M559" s="24"/>
      <c r="N559" s="24"/>
      <c r="O559" s="24"/>
      <c r="P559" s="25"/>
      <c r="Q559" s="25"/>
      <c r="R559" s="25"/>
      <c r="S559" s="25"/>
      <c r="T559" s="25"/>
      <c r="U559" s="25"/>
      <c r="V559" s="25"/>
      <c r="W559" s="25"/>
      <c r="X559" s="25"/>
      <c r="Y559" s="25"/>
      <c r="Z559" s="25"/>
      <c r="AA559" s="25"/>
      <c r="AB559" s="25"/>
      <c r="AC559" s="25"/>
    </row>
    <row r="560">
      <c r="A560" s="24" t="str">
        <f>'DE ( Tarik barang retur )'!AC537</f>
        <v>AWBR-3315218016-01</v>
      </c>
      <c r="B560" s="24" t="str">
        <f>'DE ( Tarik barang retur )'!F537</f>
        <v>Apotek K24 Bumi Indah City Sukamantri Pasar Kemis</v>
      </c>
      <c r="C560" s="35">
        <f>'DE ( Tarik barang retur )'!G537</f>
        <v>6.28131E+17</v>
      </c>
      <c r="D560" s="24" t="str">
        <f>'DE ( Tarik barang retur )'!H537</f>
        <v>Ruko RMR 08 Bumi Indah City, Desa/Kel Sukamantri Kec. Pasar Kemis Kab. Tangerang</v>
      </c>
      <c r="E560" s="24" t="str">
        <f>'DE ( Tarik barang retur )'!D537</f>
        <v>26060400375470ia9nPpk3D</v>
      </c>
      <c r="F560" s="24" t="str">
        <f>'DE ( Tarik barang retur )'!R537</f>
        <v>PEPTISOL Sanghiang Perkasa FRENCH VANILLA</v>
      </c>
      <c r="G560" s="36">
        <f>'DE ( Tarik barang retur )'!AF537</f>
        <v>46183</v>
      </c>
      <c r="H560" s="22">
        <v>46184.0</v>
      </c>
      <c r="I560" s="22">
        <v>46186.0</v>
      </c>
      <c r="J560" s="21" t="s">
        <v>5294</v>
      </c>
      <c r="K560" s="24"/>
      <c r="L560" s="24">
        <f t="shared" si="2"/>
        <v>1</v>
      </c>
      <c r="M560" s="24"/>
      <c r="N560" s="24"/>
      <c r="O560" s="24"/>
      <c r="P560" s="25"/>
      <c r="Q560" s="25"/>
      <c r="R560" s="25"/>
      <c r="S560" s="25"/>
      <c r="T560" s="25"/>
      <c r="U560" s="25"/>
      <c r="V560" s="25"/>
      <c r="W560" s="25"/>
      <c r="X560" s="25"/>
      <c r="Y560" s="25"/>
      <c r="Z560" s="25"/>
      <c r="AA560" s="25"/>
      <c r="AB560" s="25"/>
      <c r="AC560" s="25"/>
    </row>
    <row r="561">
      <c r="A561" s="24" t="str">
        <f>'DE ( Tarik barang retur )'!AC538</f>
        <v>AWBR-3316180729-01</v>
      </c>
      <c r="B561" s="24" t="str">
        <f>'DE ( Tarik barang retur )'!F538</f>
        <v>Apotek K24 Ciledug Jatiseeng Ciledug</v>
      </c>
      <c r="C561" s="35">
        <f>'DE ( Tarik barang retur )'!G538</f>
        <v>6.2823E+16</v>
      </c>
      <c r="D561" s="24" t="str">
        <f>'DE ( Tarik barang retur )'!H538</f>
        <v>Jl. Merdeka Barat PS-D 33-166 RT. 004 RW. 003 , Desa/Kel. Jatiseeng, Kec. Ciledug, Kab. Cirebon</v>
      </c>
      <c r="E561" s="24" t="str">
        <f>'DE ( Tarik barang retur )'!D538</f>
        <v>26060602482120tqvFUu6N6</v>
      </c>
      <c r="F561" s="24" t="str">
        <f>'DE ( Tarik barang retur )'!R538</f>
        <v>MINYAK ANGIN CAP KAPAK Yahi Utama</v>
      </c>
      <c r="G561" s="36">
        <f>'DE ( Tarik barang retur )'!AF538</f>
        <v>46183</v>
      </c>
      <c r="H561" s="22">
        <v>46183.0</v>
      </c>
      <c r="I561" s="22">
        <v>46186.0</v>
      </c>
      <c r="J561" s="21" t="s">
        <v>5294</v>
      </c>
      <c r="K561" s="24"/>
      <c r="L561" s="24">
        <f t="shared" si="2"/>
        <v>1</v>
      </c>
      <c r="M561" s="24"/>
      <c r="N561" s="24"/>
      <c r="O561" s="24"/>
      <c r="P561" s="25"/>
      <c r="Q561" s="25"/>
      <c r="R561" s="25"/>
      <c r="S561" s="25"/>
      <c r="T561" s="25"/>
      <c r="U561" s="25"/>
      <c r="V561" s="25"/>
      <c r="W561" s="25"/>
      <c r="X561" s="25"/>
      <c r="Y561" s="25"/>
      <c r="Z561" s="25"/>
      <c r="AA561" s="25"/>
      <c r="AB561" s="25"/>
      <c r="AC561" s="25"/>
    </row>
    <row r="562">
      <c r="A562" s="24" t="str">
        <f>'DE ( Tarik barang retur )'!AC539</f>
        <v>AWBR-3315233883-01</v>
      </c>
      <c r="B562" s="24" t="str">
        <f>'DE ( Tarik barang retur )'!F539</f>
        <v>Apotek K24 Ciracas Ciracas Ciracas</v>
      </c>
      <c r="C562" s="35">
        <f>'DE ( Tarik barang retur )'!G539</f>
        <v>6.28139E+17</v>
      </c>
      <c r="D562" s="24" t="str">
        <f>'DE ( Tarik barang retur )'!H539</f>
        <v>Jl. Raya Ciracas No.66 Rt.003 Rw.05, Desa/Kelurahan Ciracas, Kec. Ciracas, Kota Adm. Jakarta Timur 13740</v>
      </c>
      <c r="E562" s="24" t="str">
        <f>'DE ( Tarik barang retur )'!D539</f>
        <v>26060214400064U1bi5RCXo</v>
      </c>
      <c r="F562" s="24" t="str">
        <f>'DE ( Tarik barang retur )'!R539</f>
        <v>BIO-OIL Radiant Body Lotion</v>
      </c>
      <c r="G562" s="36">
        <f>'DE ( Tarik barang retur )'!AF539</f>
        <v>46183</v>
      </c>
      <c r="H562" s="22">
        <v>46183.0</v>
      </c>
      <c r="I562" s="22">
        <v>46184.0</v>
      </c>
      <c r="J562" s="21" t="s">
        <v>5294</v>
      </c>
      <c r="K562" s="24"/>
      <c r="L562" s="24">
        <f t="shared" si="2"/>
        <v>1</v>
      </c>
      <c r="M562" s="24"/>
      <c r="N562" s="24"/>
      <c r="O562" s="24"/>
      <c r="P562" s="25"/>
      <c r="Q562" s="25"/>
      <c r="R562" s="25"/>
      <c r="S562" s="25"/>
      <c r="T562" s="25"/>
      <c r="U562" s="25"/>
      <c r="V562" s="25"/>
      <c r="W562" s="25"/>
      <c r="X562" s="25"/>
      <c r="Y562" s="25"/>
      <c r="Z562" s="25"/>
      <c r="AA562" s="25"/>
      <c r="AB562" s="25"/>
      <c r="AC562" s="25"/>
    </row>
    <row r="563">
      <c r="A563" s="24" t="str">
        <f>'DE ( Tarik barang retur )'!AC540</f>
        <v>AWBR-3316410208-01</v>
      </c>
      <c r="B563" s="24" t="str">
        <f>'DE ( Tarik barang retur )'!F540</f>
        <v>Apotek K24 Citra Indah 2 Sukamaju Jonggol</v>
      </c>
      <c r="C563" s="35">
        <f>'DE ( Tarik barang retur )'!G540</f>
        <v>6.28139E+17</v>
      </c>
      <c r="D563" s="24" t="str">
        <f>'DE ( Tarik barang retur )'!H540</f>
        <v>Ruko Citra Indah Jonggol Blok SS 05 No. 3, Perum Citra Indah Desa/Kelurahan Sukamaju, Kecamatan Jonggol, Kabupaten Bogor, Jawa Barat 16830</v>
      </c>
      <c r="E563" s="24" t="str">
        <f>'DE ( Tarik barang retur )'!D540</f>
        <v>25031202525677MxlO1sNq</v>
      </c>
      <c r="F563" s="24" t="str">
        <f>'DE ( Tarik barang retur )'!R540</f>
        <v>ALPENTIN Actavis KAPSUL 100 MG
1x TRINORDIOL-28 Sunthi TABLET</v>
      </c>
      <c r="G563" s="36">
        <f>'DE ( Tarik barang retur )'!AF540</f>
        <v>46183</v>
      </c>
      <c r="H563" s="22">
        <v>46183.0</v>
      </c>
      <c r="I563" s="22">
        <v>46184.0</v>
      </c>
      <c r="J563" s="21" t="s">
        <v>5294</v>
      </c>
      <c r="K563" s="24"/>
      <c r="L563" s="24">
        <f t="shared" si="2"/>
        <v>1</v>
      </c>
      <c r="M563" s="24"/>
      <c r="N563" s="24"/>
      <c r="O563" s="24"/>
      <c r="P563" s="25"/>
      <c r="Q563" s="25"/>
      <c r="R563" s="25"/>
      <c r="S563" s="25"/>
      <c r="T563" s="25"/>
      <c r="U563" s="25"/>
      <c r="V563" s="25"/>
      <c r="W563" s="25"/>
      <c r="X563" s="25"/>
      <c r="Y563" s="25"/>
      <c r="Z563" s="25"/>
      <c r="AA563" s="25"/>
      <c r="AB563" s="25"/>
      <c r="AC563" s="25"/>
    </row>
    <row r="564">
      <c r="A564" s="24" t="str">
        <f>'DE ( Tarik barang retur )'!AC541</f>
        <v>AWBR-3315163368-01</v>
      </c>
      <c r="B564" s="24" t="str">
        <f>'DE ( Tarik barang retur )'!F541</f>
        <v>Apotek K24 Grand Permata City</v>
      </c>
      <c r="C564" s="35">
        <f>'DE ( Tarik barang retur )'!G541</f>
        <v>85294437759</v>
      </c>
      <c r="D564" s="24" t="str">
        <f>'DE ( Tarik barang retur )'!H541</f>
        <v>Ruko Grand Permata City Kav B1 No.10 Jalan Pilar Sukatani Kelurahan Karang Setia Kecamatan Karang Bahagia Cikarang Bekasi 17530</v>
      </c>
      <c r="E564" s="24" t="str">
        <f>'DE ( Tarik barang retur )'!D541</f>
        <v>AWBR-3315163368</v>
      </c>
      <c r="F564" s="24" t="str">
        <f>'DE ( Tarik barang retur )'!R541</f>
        <v>PANTOZOL Takeda TABLET 40 MG</v>
      </c>
      <c r="G564" s="36">
        <f>'DE ( Tarik barang retur )'!AF541</f>
        <v>46183</v>
      </c>
      <c r="H564" s="22">
        <v>46184.0</v>
      </c>
      <c r="I564" s="22">
        <v>46184.0</v>
      </c>
      <c r="J564" s="21" t="s">
        <v>5294</v>
      </c>
      <c r="K564" s="24"/>
      <c r="L564" s="24">
        <f t="shared" si="2"/>
        <v>1</v>
      </c>
      <c r="M564" s="24"/>
      <c r="N564" s="24"/>
      <c r="O564" s="24"/>
      <c r="P564" s="25"/>
      <c r="Q564" s="25"/>
      <c r="R564" s="25"/>
      <c r="S564" s="25"/>
      <c r="T564" s="25"/>
      <c r="U564" s="25"/>
      <c r="V564" s="25"/>
      <c r="W564" s="25"/>
      <c r="X564" s="25"/>
      <c r="Y564" s="25"/>
      <c r="Z564" s="25"/>
      <c r="AA564" s="25"/>
      <c r="AB564" s="25"/>
      <c r="AC564" s="25"/>
    </row>
    <row r="565">
      <c r="A565" s="24" t="str">
        <f>'DE ( Tarik barang retur )'!AC542</f>
        <v>AWBR-3315173190-01</v>
      </c>
      <c r="B565" s="24" t="str">
        <f>'DE ( Tarik barang retur )'!F542</f>
        <v>Apotek K24 Pilar Karangasih Cikarang Utara</v>
      </c>
      <c r="C565" s="35">
        <f>'DE ( Tarik barang retur )'!G542</f>
        <v>6.28127E+17</v>
      </c>
      <c r="D565" s="24" t="str">
        <f>'DE ( Tarik barang retur )'!H542</f>
        <v>Jl. Ki Hajar Dewantara Kp. Pilar Barat No. 129, Desa/Kelurahan Karangasih, Kec. Cikarang Utara, Kab. Bekasi</v>
      </c>
      <c r="E565" s="24" t="str">
        <f>'DE ( Tarik barang retur )'!D542</f>
        <v>26040401425304kPK4ItymUi</v>
      </c>
      <c r="F565" s="24" t="str">
        <f>'DE ( Tarik barang retur )'!R542</f>
        <v>SALONPAS JET SPRAY Hisamitsu</v>
      </c>
      <c r="G565" s="36">
        <f>'DE ( Tarik barang retur )'!AF542</f>
        <v>46183</v>
      </c>
      <c r="H565" s="22">
        <v>46184.0</v>
      </c>
      <c r="I565" s="22">
        <v>46184.0</v>
      </c>
      <c r="J565" s="21" t="s">
        <v>5294</v>
      </c>
      <c r="K565" s="24"/>
      <c r="L565" s="24">
        <f t="shared" si="2"/>
        <v>1</v>
      </c>
      <c r="M565" s="24"/>
      <c r="N565" s="24"/>
      <c r="O565" s="24"/>
      <c r="P565" s="25"/>
      <c r="Q565" s="25"/>
      <c r="R565" s="25"/>
      <c r="S565" s="25"/>
      <c r="T565" s="25"/>
      <c r="U565" s="25"/>
      <c r="V565" s="25"/>
      <c r="W565" s="25"/>
      <c r="X565" s="25"/>
      <c r="Y565" s="25"/>
      <c r="Z565" s="25"/>
      <c r="AA565" s="25"/>
      <c r="AB565" s="25"/>
      <c r="AC565" s="25"/>
    </row>
    <row r="566">
      <c r="A566" s="24" t="str">
        <f>'DE ( Tarik barang retur )'!AC543</f>
        <v>AWBR-3316405629-01</v>
      </c>
      <c r="B566" s="24" t="str">
        <f>'DE ( Tarik barang retur )'!F543</f>
        <v>Apotek K24 Pilar Karangasih Cikarang Utara</v>
      </c>
      <c r="C566" s="35">
        <f>'DE ( Tarik barang retur )'!G543</f>
        <v>6.28127E+17</v>
      </c>
      <c r="D566" s="24" t="str">
        <f>'DE ( Tarik barang retur )'!H543</f>
        <v>Jl. Ki Hajar Dewantara Kp. Pilar Barat No. 129, Desa/Kelurahan Karangasih, Kec. Cikarang Utara, Kab. Bekasi</v>
      </c>
      <c r="E566" s="24" t="str">
        <f>'DE ( Tarik barang retur )'!D543</f>
        <v>24102102014744LEQe9fJo</v>
      </c>
      <c r="F566" s="24" t="str">
        <f>'DE ( Tarik barang retur )'!R543</f>
        <v>MEFINAL Sanbe KAPSUL 250 MG</v>
      </c>
      <c r="G566" s="36">
        <f>'DE ( Tarik barang retur )'!AF543</f>
        <v>46183</v>
      </c>
      <c r="H566" s="22">
        <v>46184.0</v>
      </c>
      <c r="I566" s="22">
        <v>46184.0</v>
      </c>
      <c r="J566" s="21" t="s">
        <v>5294</v>
      </c>
      <c r="K566" s="24"/>
      <c r="L566" s="24">
        <f t="shared" si="2"/>
        <v>1</v>
      </c>
      <c r="M566" s="24"/>
      <c r="N566" s="24"/>
      <c r="O566" s="24"/>
      <c r="P566" s="25"/>
      <c r="Q566" s="25"/>
      <c r="R566" s="25"/>
      <c r="S566" s="25"/>
      <c r="T566" s="25"/>
      <c r="U566" s="25"/>
      <c r="V566" s="25"/>
      <c r="W566" s="25"/>
      <c r="X566" s="25"/>
      <c r="Y566" s="25"/>
      <c r="Z566" s="25"/>
      <c r="AA566" s="25"/>
      <c r="AB566" s="25"/>
      <c r="AC566" s="25"/>
    </row>
    <row r="567">
      <c r="A567" s="24" t="str">
        <f>'DE ( Tarik barang retur )'!AC544</f>
        <v>AWBR-3316257963-01</v>
      </c>
      <c r="B567" s="24" t="str">
        <f>'DE ( Tarik barang retur )'!F544</f>
        <v>Apotek K24 Pondok Kelapa 1184</v>
      </c>
      <c r="C567" s="35">
        <f>'DE ( Tarik barang retur )'!G544</f>
        <v>81210468236</v>
      </c>
      <c r="D567" s="24" t="str">
        <f>'DE ( Tarik barang retur )'!H544</f>
        <v>Jalan Pondok Kelapa Blok E 10 No.2 RT 007 RW 011 Kelurahan Pondok Kelapa Kecamatan Duren Sawit Jakarta Timur 13450</v>
      </c>
      <c r="E567" s="24" t="str">
        <f>'DE ( Tarik barang retur )'!D544</f>
        <v>26060505214136sAvP6ccI9H</v>
      </c>
      <c r="F567" s="24" t="str">
        <f>'DE ( Tarik barang retur )'!R544</f>
        <v>ANTIMO ANAK (RASA JERUK) Phapros SIRUP
4x ANTIMO ANAK (RASA STRAWBERRY) Phapros SIRUP
1x DEXTAMINE Phapros SIRUP
1x HIALID Meiji TETES MATA
1x MARCKS Kimia Farma BEDAK BEAUTY POWDER CREME
1x MARCKS Kimia Farma BEDAK BEAUTY POWDER PUTIH
2x MUCOVY Lapi SIRUP</v>
      </c>
      <c r="G567" s="36">
        <f>'DE ( Tarik barang retur )'!AF544</f>
        <v>46183</v>
      </c>
      <c r="H567" s="22">
        <v>46184.0</v>
      </c>
      <c r="I567" s="22">
        <v>46184.0</v>
      </c>
      <c r="J567" s="21" t="s">
        <v>5294</v>
      </c>
      <c r="K567" s="24"/>
      <c r="L567" s="24">
        <f t="shared" si="2"/>
        <v>1</v>
      </c>
      <c r="M567" s="24"/>
      <c r="N567" s="24"/>
      <c r="O567" s="24"/>
      <c r="P567" s="25"/>
      <c r="Q567" s="25"/>
      <c r="R567" s="25"/>
      <c r="S567" s="25"/>
      <c r="T567" s="25"/>
      <c r="U567" s="25"/>
      <c r="V567" s="25"/>
      <c r="W567" s="25"/>
      <c r="X567" s="25"/>
      <c r="Y567" s="25"/>
      <c r="Z567" s="25"/>
      <c r="AA567" s="25"/>
      <c r="AB567" s="25"/>
      <c r="AC567" s="25"/>
    </row>
    <row r="568">
      <c r="A568" s="24" t="str">
        <f>'DE ( Tarik barang retur )'!AC545</f>
        <v>AWBR-3316404172-01</v>
      </c>
      <c r="B568" s="24" t="str">
        <f>'DE ( Tarik barang retur )'!F545</f>
        <v>Apotek Karomah 4174</v>
      </c>
      <c r="C568" s="35">
        <f>'DE ( Tarik barang retur )'!G545</f>
        <v>8130964542</v>
      </c>
      <c r="D568" s="24" t="str">
        <f>'DE ( Tarik barang retur )'!H545</f>
        <v>Kp. Kedung Gede RT 013 RW 005 Desa/Kelurahan Kedung Waringin Kecamatan Kedung Waringin Kabupaten Bekasi 17540</v>
      </c>
      <c r="E568" s="24" t="str">
        <f>'DE ( Tarik barang retur )'!D545</f>
        <v>260531004734358vfPNEXzm</v>
      </c>
      <c r="F568" s="24" t="str">
        <f>'DE ( Tarik barang retur )'!R545</f>
        <v>MINYAK ANGIN CAP KAPAK Yahi Utama</v>
      </c>
      <c r="G568" s="36">
        <f>'DE ( Tarik barang retur )'!AF545</f>
        <v>46183</v>
      </c>
      <c r="H568" s="22">
        <v>46184.0</v>
      </c>
      <c r="I568" s="22">
        <v>46184.0</v>
      </c>
      <c r="J568" s="21" t="s">
        <v>5294</v>
      </c>
      <c r="K568" s="24"/>
      <c r="L568" s="24">
        <f t="shared" si="2"/>
        <v>1</v>
      </c>
      <c r="M568" s="24"/>
      <c r="N568" s="24"/>
      <c r="O568" s="24"/>
      <c r="P568" s="25"/>
      <c r="Q568" s="25"/>
      <c r="R568" s="25"/>
      <c r="S568" s="25"/>
      <c r="T568" s="25"/>
      <c r="U568" s="25"/>
      <c r="V568" s="25"/>
      <c r="W568" s="25"/>
      <c r="X568" s="25"/>
      <c r="Y568" s="25"/>
      <c r="Z568" s="25"/>
      <c r="AA568" s="25"/>
      <c r="AB568" s="25"/>
      <c r="AC568" s="25"/>
    </row>
    <row r="569">
      <c r="A569" s="24" t="str">
        <f>'DE ( Tarik barang retur )'!AC546</f>
        <v>AWBR-3316312789-01</v>
      </c>
      <c r="B569" s="24" t="str">
        <f>'DE ( Tarik barang retur )'!F546</f>
        <v>Apotek Kinanti</v>
      </c>
      <c r="C569" s="35">
        <f>'DE ( Tarik barang retur )'!G546</f>
        <v>6.28213E+17</v>
      </c>
      <c r="D569" s="24" t="str">
        <f>'DE ( Tarik barang retur )'!H546</f>
        <v>Jl. Pasar Impres No.90 RT - RW - Kel/Desa Pamanukan Kec. Pamanukan Kabupaten Subang 41264</v>
      </c>
      <c r="E569" s="24" t="str">
        <f>'DE ( Tarik barang retur )'!D546</f>
        <v>25051502255198DGhX9ooVN</v>
      </c>
      <c r="F569" s="24" t="str">
        <f>'DE ( Tarik barang retur )'!R546</f>
        <v>BLACKMORES BIO C 1000 Kalbe TABLET</v>
      </c>
      <c r="G569" s="36">
        <f>'DE ( Tarik barang retur )'!AF546</f>
        <v>46183</v>
      </c>
      <c r="H569" s="22">
        <v>46183.0</v>
      </c>
      <c r="I569" s="22">
        <v>46186.0</v>
      </c>
      <c r="J569" s="21" t="s">
        <v>5294</v>
      </c>
      <c r="K569" s="24"/>
      <c r="L569" s="24">
        <f t="shared" si="2"/>
        <v>1</v>
      </c>
      <c r="M569" s="24"/>
      <c r="N569" s="24"/>
      <c r="O569" s="24"/>
      <c r="P569" s="25"/>
      <c r="Q569" s="25"/>
      <c r="R569" s="25"/>
      <c r="S569" s="25"/>
      <c r="T569" s="25"/>
      <c r="U569" s="25"/>
      <c r="V569" s="25"/>
      <c r="W569" s="25"/>
      <c r="X569" s="25"/>
      <c r="Y569" s="25"/>
      <c r="Z569" s="25"/>
      <c r="AA569" s="25"/>
      <c r="AB569" s="25"/>
      <c r="AC569" s="25"/>
    </row>
    <row r="570">
      <c r="A570" s="24" t="str">
        <f>'DE ( Tarik barang retur )'!AC547</f>
        <v>AWBR-3316412716-01</v>
      </c>
      <c r="B570" s="24" t="str">
        <f>'DE ( Tarik barang retur )'!F547</f>
        <v>Apotek Kombi Pondok Kelapa</v>
      </c>
      <c r="C570" s="35">
        <f>'DE ( Tarik barang retur )'!G547</f>
        <v>818790038</v>
      </c>
      <c r="D570" s="24" t="str">
        <f>'DE ( Tarik barang retur )'!H547</f>
        <v>Jalan Raya Pondok Kelapa PTB Blok A8 No.2 RT 002 RW 004 Kelurahan Pondok Kelapa Keca,atan Duren Sawit Jakarta Timur 13450</v>
      </c>
      <c r="E570" s="24" t="str">
        <f>'DE ( Tarik barang retur )'!D547</f>
        <v>26060111165813PnxflbvXK</v>
      </c>
      <c r="F570" s="24" t="str">
        <f>'DE ( Tarik barang retur )'!R547</f>
        <v>ANDALAN LAKTASI Sydna Farma TABLET 0.5 MG</v>
      </c>
      <c r="G570" s="36">
        <f>'DE ( Tarik barang retur )'!AF547</f>
        <v>46183</v>
      </c>
      <c r="H570" s="22">
        <v>46184.0</v>
      </c>
      <c r="I570" s="22">
        <v>46184.0</v>
      </c>
      <c r="J570" s="21" t="s">
        <v>5294</v>
      </c>
      <c r="K570" s="24"/>
      <c r="L570" s="24">
        <f t="shared" si="2"/>
        <v>1</v>
      </c>
      <c r="M570" s="24"/>
      <c r="N570" s="24"/>
      <c r="O570" s="24"/>
      <c r="P570" s="25"/>
      <c r="Q570" s="25"/>
      <c r="R570" s="25"/>
      <c r="S570" s="25"/>
      <c r="T570" s="25"/>
      <c r="U570" s="25"/>
      <c r="V570" s="25"/>
      <c r="W570" s="25"/>
      <c r="X570" s="25"/>
      <c r="Y570" s="25"/>
      <c r="Z570" s="25"/>
      <c r="AA570" s="25"/>
      <c r="AB570" s="25"/>
      <c r="AC570" s="25"/>
    </row>
    <row r="571">
      <c r="A571" s="24" t="str">
        <f>'DE ( Tarik barang retur )'!AC548</f>
        <v>AWBR-3316405329-01</v>
      </c>
      <c r="B571" s="24" t="str">
        <f>'DE ( Tarik barang retur )'!F548</f>
        <v>Apotek Kurnia Jaya</v>
      </c>
      <c r="C571" s="35">
        <f>'DE ( Tarik barang retur )'!G548</f>
        <v>82389858226</v>
      </c>
      <c r="D571" s="24" t="str">
        <f>'DE ( Tarik barang retur )'!H548</f>
        <v>Jalan Lingkungan III RT 005 RW 003, Kelurahan Tegal Alur, Kecamatan Kali Deres Kota Administrasi, Jakarta Barat, DKI Jakarta 11820</v>
      </c>
      <c r="E571" s="24" t="str">
        <f>'DE ( Tarik barang retur )'!D548</f>
        <v>260526014144117RDu6JYBw</v>
      </c>
      <c r="F571" s="24" t="str">
        <f>'DE ( Tarik barang retur )'!R548</f>
        <v>ALOCLAIR PLUS MOUTHWASH Enseval OBAT KUMUR</v>
      </c>
      <c r="G571" s="36">
        <f>'DE ( Tarik barang retur )'!AF548</f>
        <v>46183</v>
      </c>
      <c r="H571" s="22">
        <v>46186.0</v>
      </c>
      <c r="I571" s="22">
        <v>46187.0</v>
      </c>
      <c r="J571" s="21" t="s">
        <v>5294</v>
      </c>
      <c r="K571" s="24"/>
      <c r="L571" s="24">
        <f t="shared" si="2"/>
        <v>1</v>
      </c>
      <c r="M571" s="24"/>
      <c r="N571" s="24"/>
      <c r="O571" s="24"/>
      <c r="P571" s="25"/>
      <c r="Q571" s="25"/>
      <c r="R571" s="25"/>
      <c r="S571" s="25"/>
      <c r="T571" s="25"/>
      <c r="U571" s="25"/>
      <c r="V571" s="25"/>
      <c r="W571" s="25"/>
      <c r="X571" s="25"/>
      <c r="Y571" s="25"/>
      <c r="Z571" s="25"/>
      <c r="AA571" s="25"/>
      <c r="AB571" s="25"/>
      <c r="AC571" s="25"/>
    </row>
    <row r="572">
      <c r="A572" s="24" t="str">
        <f>'DE ( Tarik barang retur )'!AC549</f>
        <v>AWBR-3316395510-01</v>
      </c>
      <c r="B572" s="24" t="str">
        <f>'DE ( Tarik barang retur )'!F549</f>
        <v>Apotek Madani Junti Jawilan</v>
      </c>
      <c r="C572" s="35">
        <f>'DE ( Tarik barang retur )'!G549</f>
        <v>6.28521E+17</v>
      </c>
      <c r="D572" s="24" t="str">
        <f>'DE ( Tarik barang retur )'!H549</f>
        <v>Kp. Wanasari Jalan RT003 RW001 Desa/Kel Junti Kec. Jawilan Kab. Serang</v>
      </c>
      <c r="E572" s="24" t="str">
        <f>'DE ( Tarik barang retur )'!D549</f>
        <v>25050115351363PU4XujtvB</v>
      </c>
      <c r="F572" s="24" t="str">
        <f>'DE ( Tarik barang retur )'!R549</f>
        <v>CATAFLAM D Novartis TABLET DISPERSIBLE</v>
      </c>
      <c r="G572" s="36">
        <f>'DE ( Tarik barang retur )'!AF549</f>
        <v>46183</v>
      </c>
      <c r="H572" s="22">
        <v>46183.0</v>
      </c>
      <c r="I572" s="22">
        <v>46184.0</v>
      </c>
      <c r="J572" s="21" t="s">
        <v>5294</v>
      </c>
      <c r="K572" s="24"/>
      <c r="L572" s="24">
        <f t="shared" si="2"/>
        <v>1</v>
      </c>
      <c r="M572" s="24"/>
      <c r="N572" s="24"/>
      <c r="O572" s="24"/>
      <c r="P572" s="25"/>
      <c r="Q572" s="25"/>
      <c r="R572" s="25"/>
      <c r="S572" s="25"/>
      <c r="T572" s="25"/>
      <c r="U572" s="25"/>
      <c r="V572" s="25"/>
      <c r="W572" s="25"/>
      <c r="X572" s="25"/>
      <c r="Y572" s="25"/>
      <c r="Z572" s="25"/>
      <c r="AA572" s="25"/>
      <c r="AB572" s="25"/>
      <c r="AC572" s="25"/>
    </row>
    <row r="573">
      <c r="A573" s="24" t="str">
        <f>'DE ( Tarik barang retur )'!AC550</f>
        <v>AWBR-3316435618-01</v>
      </c>
      <c r="B573" s="24" t="str">
        <f>'DE ( Tarik barang retur )'!F550</f>
        <v>Apotek Mandiri Farma Sampora Cisauk</v>
      </c>
      <c r="C573" s="35">
        <f>'DE ( Tarik barang retur )'!G550</f>
        <v>6.28159E+16</v>
      </c>
      <c r="D573" s="24" t="str">
        <f>'DE ( Tarik barang retur )'!H550</f>
        <v>Ruko Campton Blok A Nomor 6, BSD City, Desa/Kelurahan Sampora, Kec. Cisauk, Kab. Tangerang</v>
      </c>
      <c r="E573" s="24" t="str">
        <f>'DE ( Tarik barang retur )'!D550</f>
        <v>26012704215080rx30ANZod</v>
      </c>
      <c r="F573" s="24" t="str">
        <f>'DE ( Tarik barang retur )'!R550</f>
        <v>AMOXSAN FORTE Capri SIRUP KERING
9x EPEXOL Sanbe SIRUP 15 MG/5 ML</v>
      </c>
      <c r="G573" s="36">
        <f>'DE ( Tarik barang retur )'!AF550</f>
        <v>46183</v>
      </c>
      <c r="H573" s="24"/>
      <c r="I573" s="24"/>
      <c r="J573" s="21" t="s">
        <v>5307</v>
      </c>
      <c r="K573" s="24"/>
      <c r="L573" s="24">
        <f t="shared" si="2"/>
        <v>1</v>
      </c>
      <c r="M573" s="24"/>
      <c r="N573" s="24"/>
      <c r="O573" s="24"/>
      <c r="P573" s="25"/>
      <c r="Q573" s="25"/>
      <c r="R573" s="25"/>
      <c r="S573" s="25"/>
      <c r="T573" s="25"/>
      <c r="U573" s="25"/>
      <c r="V573" s="25"/>
      <c r="W573" s="25"/>
      <c r="X573" s="25"/>
      <c r="Y573" s="25"/>
      <c r="Z573" s="25"/>
      <c r="AA573" s="25"/>
      <c r="AB573" s="25"/>
      <c r="AC573" s="25"/>
    </row>
    <row r="574">
      <c r="A574" s="24" t="str">
        <f>'DE ( Tarik barang retur )'!AC551</f>
        <v>AWBR-3312600584-01</v>
      </c>
      <c r="B574" s="24" t="str">
        <f>'DE ( Tarik barang retur )'!F551</f>
        <v>Apotek Manggala Sehat</v>
      </c>
      <c r="C574" s="35">
        <f>'DE ( Tarik barang retur )'!G551</f>
        <v>81212689468</v>
      </c>
      <c r="D574" s="24" t="str">
        <f>'DE ( Tarik barang retur )'!H551</f>
        <v>Ruko Daan Mogot Arcadia Blok H4 No.6 Kelurahan Batuceper, Kecamatan Batuceper, Kota Tangerang 15122</v>
      </c>
      <c r="E574" s="24" t="str">
        <f>'DE ( Tarik barang retur )'!D551</f>
        <v>26060202341280C2FmRaE9F</v>
      </c>
      <c r="F574" s="24" t="str">
        <f>'DE ( Tarik barang retur )'!R551</f>
        <v>MASKER BEDAH KARET HIJAB BIRU</v>
      </c>
      <c r="G574" s="36">
        <f>'DE ( Tarik barang retur )'!AF551</f>
        <v>46183</v>
      </c>
      <c r="H574" s="22">
        <v>46184.0</v>
      </c>
      <c r="I574" s="22">
        <v>46185.0</v>
      </c>
      <c r="J574" s="21" t="s">
        <v>5294</v>
      </c>
      <c r="K574" s="24"/>
      <c r="L574" s="24">
        <f t="shared" si="2"/>
        <v>1</v>
      </c>
      <c r="M574" s="24"/>
      <c r="N574" s="24"/>
      <c r="O574" s="24"/>
      <c r="P574" s="25"/>
      <c r="Q574" s="25"/>
      <c r="R574" s="25"/>
      <c r="S574" s="25"/>
      <c r="T574" s="25"/>
      <c r="U574" s="25"/>
      <c r="V574" s="25"/>
      <c r="W574" s="25"/>
      <c r="X574" s="25"/>
      <c r="Y574" s="25"/>
      <c r="Z574" s="25"/>
      <c r="AA574" s="25"/>
      <c r="AB574" s="25"/>
      <c r="AC574" s="25"/>
    </row>
    <row r="575">
      <c r="A575" s="24" t="str">
        <f>'DE ( Tarik barang retur )'!AC552</f>
        <v>AWBR-3314646388-01</v>
      </c>
      <c r="B575" s="24" t="str">
        <f>'DE ( Tarik barang retur )'!F552</f>
        <v>Apotek Mangun Jaya Mustikasari Mustika Jaya</v>
      </c>
      <c r="C575" s="35">
        <f>'DE ( Tarik barang retur )'!G552</f>
        <v>6.28521E+17</v>
      </c>
      <c r="D575" s="24" t="str">
        <f>'DE ( Tarik barang retur )'!H552</f>
        <v>Jalan Mandor Demong Kawasan Perumahan Familia Urban Ruko Blok DD 9-10, Desa/Kel. Mustikasari, Kec. Mustikajaya, Kota Bekasi 17157</v>
      </c>
      <c r="E575" s="24" t="str">
        <f>'DE ( Tarik barang retur )'!D552</f>
        <v>26060323422472XkxcUxfvU</v>
      </c>
      <c r="F575" s="24" t="str">
        <f>'DE ( Tarik barang retur )'!R552</f>
        <v>HANSAPLAST AQUA PROTECT STERIL Beiersdorf 4XL</v>
      </c>
      <c r="G575" s="36">
        <f>'DE ( Tarik barang retur )'!AF552</f>
        <v>46183</v>
      </c>
      <c r="H575" s="22">
        <v>46183.0</v>
      </c>
      <c r="I575" s="22">
        <v>46184.0</v>
      </c>
      <c r="J575" s="21" t="s">
        <v>5294</v>
      </c>
      <c r="K575" s="24"/>
      <c r="L575" s="24">
        <f t="shared" si="2"/>
        <v>1</v>
      </c>
      <c r="M575" s="24"/>
      <c r="N575" s="24"/>
      <c r="O575" s="24"/>
      <c r="P575" s="25"/>
      <c r="Q575" s="25"/>
      <c r="R575" s="25"/>
      <c r="S575" s="25"/>
      <c r="T575" s="25"/>
      <c r="U575" s="25"/>
      <c r="V575" s="25"/>
      <c r="W575" s="25"/>
      <c r="X575" s="25"/>
      <c r="Y575" s="25"/>
      <c r="Z575" s="25"/>
      <c r="AA575" s="25"/>
      <c r="AB575" s="25"/>
      <c r="AC575" s="25"/>
    </row>
    <row r="576">
      <c r="A576" s="24" t="str">
        <f>'DE ( Tarik barang retur )'!AC553</f>
        <v>AWBR-3316403542-01</v>
      </c>
      <c r="B576" s="24" t="str">
        <f>'DE ( Tarik barang retur )'!F553</f>
        <v>Apotek Maryam Farma</v>
      </c>
      <c r="C576" s="35">
        <f>'DE ( Tarik barang retur )'!G553</f>
        <v>6.28578E+17</v>
      </c>
      <c r="D576" s="24" t="str">
        <f>'DE ( Tarik barang retur )'!H553</f>
        <v>Jl. Karang Satria No. 123 RT. 005 RW. 007, Kel.Durenjaya, Kec.Bekasi Timur, Bekasi, Jawa Barat 17111</v>
      </c>
      <c r="E576" s="24" t="str">
        <f>'DE ( Tarik barang retur )'!D553</f>
        <v>260530075343899rC9lYpImW</v>
      </c>
      <c r="F576" s="24" t="str">
        <f>'DE ( Tarik barang retur )'!R553</f>
        <v>PARACETAMOL Holi KAPLET 500 MG</v>
      </c>
      <c r="G576" s="36">
        <f>'DE ( Tarik barang retur )'!AF553</f>
        <v>46183</v>
      </c>
      <c r="H576" s="22">
        <v>46184.0</v>
      </c>
      <c r="I576" s="22">
        <v>46184.0</v>
      </c>
      <c r="J576" s="21" t="s">
        <v>5294</v>
      </c>
      <c r="K576" s="24"/>
      <c r="L576" s="24">
        <f t="shared" si="2"/>
        <v>1</v>
      </c>
      <c r="M576" s="24"/>
      <c r="N576" s="24"/>
      <c r="O576" s="24"/>
      <c r="P576" s="25"/>
      <c r="Q576" s="25"/>
      <c r="R576" s="25"/>
      <c r="S576" s="25"/>
      <c r="T576" s="25"/>
      <c r="U576" s="25"/>
      <c r="V576" s="25"/>
      <c r="W576" s="25"/>
      <c r="X576" s="25"/>
      <c r="Y576" s="25"/>
      <c r="Z576" s="25"/>
      <c r="AA576" s="25"/>
      <c r="AB576" s="25"/>
      <c r="AC576" s="25"/>
    </row>
    <row r="577">
      <c r="A577" s="24" t="str">
        <f>'DE ( Tarik barang retur )'!AC554</f>
        <v>AWBR-3316291437-01</v>
      </c>
      <c r="B577" s="24" t="str">
        <f>'DE ( Tarik barang retur )'!F554</f>
        <v>Apotek Masagus Regol Wetan Sumedang Selatan</v>
      </c>
      <c r="C577" s="35">
        <f>'DE ( Tarik barang retur )'!G554</f>
        <v>6.28966E+17</v>
      </c>
      <c r="D577" s="24" t="str">
        <f>'DE ( Tarik barang retur )'!H554</f>
        <v>Jalan Pangeran Geusan Ulun, Desa/Kelurahan Regolwetan, Kec.Sumedang Selatan, Kab. Sumedang</v>
      </c>
      <c r="E577" s="24" t="str">
        <f>'DE ( Tarik barang retur )'!D554</f>
        <v>260316224124080hYVnb0v7</v>
      </c>
      <c r="F577" s="24" t="str">
        <f>'DE ( Tarik barang retur )'!R554</f>
        <v>NOURISH SKIN ULTIMATE Pharos TABLET</v>
      </c>
      <c r="G577" s="36">
        <f>'DE ( Tarik barang retur )'!AF554</f>
        <v>46183</v>
      </c>
      <c r="H577" s="22">
        <v>46183.0</v>
      </c>
      <c r="I577" s="22">
        <v>46184.0</v>
      </c>
      <c r="J577" s="21" t="s">
        <v>5294</v>
      </c>
      <c r="K577" s="24"/>
      <c r="L577" s="24">
        <f t="shared" si="2"/>
        <v>1</v>
      </c>
      <c r="M577" s="24"/>
      <c r="N577" s="24"/>
      <c r="O577" s="24"/>
      <c r="P577" s="25"/>
      <c r="Q577" s="25"/>
      <c r="R577" s="25"/>
      <c r="S577" s="25"/>
      <c r="T577" s="25"/>
      <c r="U577" s="25"/>
      <c r="V577" s="25"/>
      <c r="W577" s="25"/>
      <c r="X577" s="25"/>
      <c r="Y577" s="25"/>
      <c r="Z577" s="25"/>
      <c r="AA577" s="25"/>
      <c r="AB577" s="25"/>
      <c r="AC577" s="25"/>
    </row>
    <row r="578">
      <c r="A578" s="24" t="str">
        <f>'DE ( Tarik barang retur )'!AC555</f>
        <v>AWBR-3315224029-01</v>
      </c>
      <c r="B578" s="24" t="str">
        <f>'DE ( Tarik barang retur )'!F555</f>
        <v>Apotek Medika Prima Tambora</v>
      </c>
      <c r="C578" s="35">
        <f>'DE ( Tarik barang retur )'!G555</f>
        <v>81291075997</v>
      </c>
      <c r="D578" s="24" t="str">
        <f>'DE ( Tarik barang retur )'!H555</f>
        <v>Jalan KH. Moh. Mansyur No.150 B, RT.03 RW.03 Kode Pos 11270 Kelurahan. Duri Utara, Kecaatan Tambora, Kota Jakarta Barat, DKI Jakarta 11270</v>
      </c>
      <c r="E578" s="24" t="str">
        <f>'DE ( Tarik barang retur )'!D555</f>
        <v>26060401171832U10IJNhFI8</v>
      </c>
      <c r="F578" s="24" t="str">
        <f>'DE ( Tarik barang retur )'!R555</f>
        <v>HOTIN CREAM Ultrasakti KRIM
3x MINYAK ANGIN CAP KAPAK Yahi Utama
1x VENOSMIL Dankos GEL
24x YOU C 1000 LEMON
24x YOU C 1000 ORANGE</v>
      </c>
      <c r="G578" s="36">
        <f>'DE ( Tarik barang retur )'!AF555</f>
        <v>46183</v>
      </c>
      <c r="H578" s="22">
        <v>46184.0</v>
      </c>
      <c r="I578" s="22">
        <v>46185.0</v>
      </c>
      <c r="J578" s="21" t="s">
        <v>5294</v>
      </c>
      <c r="K578" s="24"/>
      <c r="L578" s="24">
        <f t="shared" si="2"/>
        <v>1</v>
      </c>
      <c r="M578" s="24"/>
      <c r="N578" s="24"/>
      <c r="O578" s="24"/>
      <c r="P578" s="25"/>
      <c r="Q578" s="25"/>
      <c r="R578" s="25"/>
      <c r="S578" s="25"/>
      <c r="T578" s="25"/>
      <c r="U578" s="25"/>
      <c r="V578" s="25"/>
      <c r="W578" s="25"/>
      <c r="X578" s="25"/>
      <c r="Y578" s="25"/>
      <c r="Z578" s="25"/>
      <c r="AA578" s="25"/>
      <c r="AB578" s="25"/>
      <c r="AC578" s="25"/>
    </row>
    <row r="579">
      <c r="A579" s="24" t="str">
        <f>'DE ( Tarik barang retur )'!AC556</f>
        <v>AWBR-3316404458-01</v>
      </c>
      <c r="B579" s="24" t="str">
        <f>'DE ( Tarik barang retur )'!F556</f>
        <v>Apotek Medpharm</v>
      </c>
      <c r="C579" s="35">
        <f>'DE ( Tarik barang retur )'!G556</f>
        <v>6.2813E+16</v>
      </c>
      <c r="D579" s="24" t="str">
        <f>'DE ( Tarik barang retur )'!H556</f>
        <v>Jl. Kemang Raya No. 60 Desa Cilodong Kecamatan Cilodong Kota Depok kode pos 16413</v>
      </c>
      <c r="E579" s="24" t="str">
        <f>'DE ( Tarik barang retur )'!D556</f>
        <v>260525035818257eG1xBQbs</v>
      </c>
      <c r="F579" s="24" t="str">
        <f>'DE ( Tarik barang retur )'!R556</f>
        <v>CITICOLINE Bernofarm TABLET 500 MG</v>
      </c>
      <c r="G579" s="36">
        <f>'DE ( Tarik barang retur )'!AF556</f>
        <v>46183</v>
      </c>
      <c r="H579" s="22">
        <v>46183.0</v>
      </c>
      <c r="I579" s="22">
        <v>46184.0</v>
      </c>
      <c r="J579" s="21" t="s">
        <v>5294</v>
      </c>
      <c r="K579" s="24"/>
      <c r="L579" s="24">
        <f t="shared" si="2"/>
        <v>1</v>
      </c>
      <c r="M579" s="24"/>
      <c r="N579" s="24"/>
      <c r="O579" s="24"/>
      <c r="P579" s="25"/>
      <c r="Q579" s="25"/>
      <c r="R579" s="25"/>
      <c r="S579" s="25"/>
      <c r="T579" s="25"/>
      <c r="U579" s="25"/>
      <c r="V579" s="25"/>
      <c r="W579" s="25"/>
      <c r="X579" s="25"/>
      <c r="Y579" s="25"/>
      <c r="Z579" s="25"/>
      <c r="AA579" s="25"/>
      <c r="AB579" s="25"/>
      <c r="AC579" s="25"/>
    </row>
    <row r="580">
      <c r="A580" s="24" t="str">
        <f>'DE ( Tarik barang retur )'!AC557</f>
        <v>AWBR-3314601391-01</v>
      </c>
      <c r="B580" s="24" t="str">
        <f>'DE ( Tarik barang retur )'!F557</f>
        <v>Apotek Medpharm GDC Tirtajaya Sukmajaya</v>
      </c>
      <c r="C580" s="35">
        <f>'DE ( Tarik barang retur )'!G557</f>
        <v>6.28138E+17</v>
      </c>
      <c r="D580" s="24" t="str">
        <f>'DE ( Tarik barang retur )'!H557</f>
        <v>Ruko Gardenia, Grand Depok City, Grand Depok City, Jalan KSU Parung Serab, Kelurahan Tirtajaya, Kecamatan Sukmajaya, Kota Depok, Jawa Barat 16412</v>
      </c>
      <c r="E580" s="24" t="str">
        <f>'DE ( Tarik barang retur )'!D557</f>
        <v>260604015808475eT3xJ2Bl</v>
      </c>
      <c r="F580" s="24" t="str">
        <f>'DE ( Tarik barang retur )'!R557</f>
        <v>LAXING Soho KAPSUL</v>
      </c>
      <c r="G580" s="36">
        <f>'DE ( Tarik barang retur )'!AF557</f>
        <v>46183</v>
      </c>
      <c r="H580" s="22">
        <v>46183.0</v>
      </c>
      <c r="I580" s="22">
        <v>46184.0</v>
      </c>
      <c r="J580" s="21" t="s">
        <v>5294</v>
      </c>
      <c r="K580" s="24"/>
      <c r="L580" s="24">
        <f t="shared" si="2"/>
        <v>1</v>
      </c>
      <c r="M580" s="24"/>
      <c r="N580" s="24"/>
      <c r="O580" s="24"/>
      <c r="P580" s="25"/>
      <c r="Q580" s="25"/>
      <c r="R580" s="25"/>
      <c r="S580" s="25"/>
      <c r="T580" s="25"/>
      <c r="U580" s="25"/>
      <c r="V580" s="25"/>
      <c r="W580" s="25"/>
      <c r="X580" s="25"/>
      <c r="Y580" s="25"/>
      <c r="Z580" s="25"/>
      <c r="AA580" s="25"/>
      <c r="AB580" s="25"/>
      <c r="AC580" s="25"/>
    </row>
    <row r="581">
      <c r="A581" s="24" t="str">
        <f>'DE ( Tarik barang retur )'!AC558</f>
        <v>AWBR-3314506719-01</v>
      </c>
      <c r="B581" s="24" t="str">
        <f>'DE ( Tarik barang retur )'!F558</f>
        <v>Apotek Meds</v>
      </c>
      <c r="C581" s="35">
        <f>'DE ( Tarik barang retur )'!G558</f>
        <v>87880007042</v>
      </c>
      <c r="D581" s="24" t="str">
        <f>'DE ( Tarik barang retur )'!H558</f>
        <v>Jalan Percetakan Negara II Blok J/14, No 15, Kelurahan Johar Baru Kecamatan Johar Baru Jakarta Pusat 10560</v>
      </c>
      <c r="E581" s="24" t="str">
        <f>'DE ( Tarik barang retur )'!D558</f>
        <v>260603025404280k1CmT0bn</v>
      </c>
      <c r="F581" s="24" t="str">
        <f>'DE ( Tarik barang retur )'!R558</f>
        <v>ASTHIN B-OND 6 Soho KAPSUL</v>
      </c>
      <c r="G581" s="36">
        <f>'DE ( Tarik barang retur )'!AF558</f>
        <v>46183</v>
      </c>
      <c r="H581" s="22">
        <v>46183.0</v>
      </c>
      <c r="I581" s="22">
        <v>46184.0</v>
      </c>
      <c r="J581" s="21" t="s">
        <v>5294</v>
      </c>
      <c r="K581" s="24"/>
      <c r="L581" s="24">
        <f t="shared" si="2"/>
        <v>1</v>
      </c>
      <c r="M581" s="24"/>
      <c r="N581" s="24"/>
      <c r="O581" s="24"/>
      <c r="P581" s="25"/>
      <c r="Q581" s="25"/>
      <c r="R581" s="25"/>
      <c r="S581" s="25"/>
      <c r="T581" s="25"/>
      <c r="U581" s="25"/>
      <c r="V581" s="25"/>
      <c r="W581" s="25"/>
      <c r="X581" s="25"/>
      <c r="Y581" s="25"/>
      <c r="Z581" s="25"/>
      <c r="AA581" s="25"/>
      <c r="AB581" s="25"/>
      <c r="AC581" s="25"/>
    </row>
    <row r="582">
      <c r="A582" s="24" t="str">
        <f>'DE ( Tarik barang retur )'!AC559</f>
        <v>AWBR-3316409957-01</v>
      </c>
      <c r="B582" s="24" t="str">
        <f>'DE ( Tarik barang retur )'!F559</f>
        <v>Apotek Merapi</v>
      </c>
      <c r="C582" s="35">
        <f>'DE ( Tarik barang retur )'!G559</f>
        <v>2177833109</v>
      </c>
      <c r="D582" s="24" t="str">
        <f>'DE ( Tarik barang retur )'!H559</f>
        <v>Jalan Kejayaan Blok X No. 9 RT 006/ RW 012 Kelurahan Abadijaya, Kecamatan Sukmajaya Kota Depok 16417</v>
      </c>
      <c r="E582" s="24" t="str">
        <f>'DE ( Tarik barang retur )'!D559</f>
        <v>26052702214464oKb83VYb</v>
      </c>
      <c r="F582" s="24" t="str">
        <f>'DE ( Tarik barang retur )'!R559</f>
        <v>HUFAGRIPP DEMAM Hufa KAPLET 500 MG
1x NASONEX Organon SEMPROT HIDUNG 50 MCG/DOSIS</v>
      </c>
      <c r="G582" s="36">
        <f>'DE ( Tarik barang retur )'!AF559</f>
        <v>46183</v>
      </c>
      <c r="H582" s="22">
        <v>46183.0</v>
      </c>
      <c r="I582" s="22">
        <v>46185.0</v>
      </c>
      <c r="J582" s="21" t="s">
        <v>5294</v>
      </c>
      <c r="K582" s="24"/>
      <c r="L582" s="24">
        <f t="shared" si="2"/>
        <v>1</v>
      </c>
      <c r="M582" s="24"/>
      <c r="N582" s="24"/>
      <c r="O582" s="24"/>
      <c r="P582" s="25"/>
      <c r="Q582" s="25"/>
      <c r="R582" s="25"/>
      <c r="S582" s="25"/>
      <c r="T582" s="25"/>
      <c r="U582" s="25"/>
      <c r="V582" s="25"/>
      <c r="W582" s="25"/>
      <c r="X582" s="25"/>
      <c r="Y582" s="25"/>
      <c r="Z582" s="25"/>
      <c r="AA582" s="25"/>
      <c r="AB582" s="25"/>
      <c r="AC582" s="25"/>
    </row>
    <row r="583">
      <c r="A583" s="24" t="str">
        <f>'DE ( Tarik barang retur )'!AC560</f>
        <v>AWBR-3316410309-01</v>
      </c>
      <c r="B583" s="24" t="str">
        <f>'DE ( Tarik barang retur )'!F560</f>
        <v>Apotek Merapi</v>
      </c>
      <c r="C583" s="35">
        <f>'DE ( Tarik barang retur )'!G560</f>
        <v>2177833109</v>
      </c>
      <c r="D583" s="24" t="str">
        <f>'DE ( Tarik barang retur )'!H560</f>
        <v>Jalan Kejayaan Blok X No. 9 RT 006/ RW 012 Kelurahan Abadijaya, Kecamatan Sukmajaya Kota Depok 16417</v>
      </c>
      <c r="E583" s="24" t="str">
        <f>'DE ( Tarik barang retur )'!D560</f>
        <v>260531035414988sPkHj9yK</v>
      </c>
      <c r="F583" s="24" t="str">
        <f>'DE ( Tarik barang retur )'!R560</f>
        <v>ASTHIN FORCE 12 Soho KAPSUL
1x ASTHIN FORCE 6 Soho KAPSUL
3x CAL-95 Lapi KAPLET
3x L-VIT D3 5000 Lapi TABLET</v>
      </c>
      <c r="G583" s="36">
        <f>'DE ( Tarik barang retur )'!AF560</f>
        <v>46183</v>
      </c>
      <c r="H583" s="22">
        <v>46183.0</v>
      </c>
      <c r="I583" s="22">
        <v>46185.0</v>
      </c>
      <c r="J583" s="21" t="s">
        <v>5294</v>
      </c>
      <c r="K583" s="24"/>
      <c r="L583" s="24">
        <f t="shared" si="2"/>
        <v>1</v>
      </c>
      <c r="M583" s="24"/>
      <c r="N583" s="24"/>
      <c r="O583" s="24"/>
      <c r="P583" s="25"/>
      <c r="Q583" s="25"/>
      <c r="R583" s="25"/>
      <c r="S583" s="25"/>
      <c r="T583" s="25"/>
      <c r="U583" s="25"/>
      <c r="V583" s="25"/>
      <c r="W583" s="25"/>
      <c r="X583" s="25"/>
      <c r="Y583" s="25"/>
      <c r="Z583" s="25"/>
      <c r="AA583" s="25"/>
      <c r="AB583" s="25"/>
      <c r="AC583" s="25"/>
    </row>
    <row r="584">
      <c r="A584" s="24" t="str">
        <f>'DE ( Tarik barang retur )'!AC561</f>
        <v>AWBR-3316410556-01</v>
      </c>
      <c r="B584" s="24" t="str">
        <f>'DE ( Tarik barang retur )'!F561</f>
        <v>Apotek Merapi</v>
      </c>
      <c r="C584" s="35">
        <f>'DE ( Tarik barang retur )'!G561</f>
        <v>2177833109</v>
      </c>
      <c r="D584" s="24" t="str">
        <f>'DE ( Tarik barang retur )'!H561</f>
        <v>Jalan Kejayaan Blok X No. 9 RT 006/ RW 012 Kelurahan Abadijaya, Kecamatan Sukmajaya Kota Depok 16417</v>
      </c>
      <c r="E584" s="24" t="str">
        <f>'DE ( Tarik barang retur )'!D561</f>
        <v>26060104384503AvAsZwn6r</v>
      </c>
      <c r="F584" s="24" t="str">
        <f>'DE ( Tarik barang retur )'!R561</f>
        <v>ASTHIN FORCE 12 Soho KAPSUL
2x ASTHIN FORCE 6 Soho KAPSUL
0x CAL-95 Lapi KAPLET
0x L-VIT D3 5000 Lapi TABLET</v>
      </c>
      <c r="G584" s="36">
        <f>'DE ( Tarik barang retur )'!AF561</f>
        <v>46183</v>
      </c>
      <c r="H584" s="22">
        <v>46183.0</v>
      </c>
      <c r="I584" s="22">
        <v>46185.0</v>
      </c>
      <c r="J584" s="21" t="s">
        <v>5294</v>
      </c>
      <c r="K584" s="24"/>
      <c r="L584" s="24">
        <f t="shared" si="2"/>
        <v>1</v>
      </c>
      <c r="M584" s="24"/>
      <c r="N584" s="24"/>
      <c r="O584" s="24"/>
      <c r="P584" s="25"/>
      <c r="Q584" s="25"/>
      <c r="R584" s="25"/>
      <c r="S584" s="25"/>
      <c r="T584" s="25"/>
      <c r="U584" s="25"/>
      <c r="V584" s="25"/>
      <c r="W584" s="25"/>
      <c r="X584" s="25"/>
      <c r="Y584" s="25"/>
      <c r="Z584" s="25"/>
      <c r="AA584" s="25"/>
      <c r="AB584" s="25"/>
      <c r="AC584" s="25"/>
    </row>
    <row r="585">
      <c r="A585" s="24" t="str">
        <f>'DE ( Tarik barang retur )'!AC562</f>
        <v>AWBR-3315239321-01</v>
      </c>
      <c r="B585" s="24" t="str">
        <f>'DE ( Tarik barang retur )'!F562</f>
        <v>Apotek Miracle</v>
      </c>
      <c r="C585" s="35">
        <f>'DE ( Tarik barang retur )'!G562</f>
        <v>6.28126E+17</v>
      </c>
      <c r="D585" s="24" t="str">
        <f>'DE ( Tarik barang retur )'!H562</f>
        <v>Ruko Tematic Pasar Modern Paramount Serpong Blok R19 Lt. 1 Jalan Raya Pasar Serpong Desa/Kelurahan Curug Sangereng Kecamatan Kelapa Dua Tangerang 15810</v>
      </c>
      <c r="E585" s="24" t="str">
        <f>'DE ( Tarik barang retur )'!D562</f>
        <v>AWBR-3315239321</v>
      </c>
      <c r="F585" s="24" t="str">
        <f>'DE ( Tarik barang retur )'!R562</f>
        <v>CALIBERI Abbott 20 MG</v>
      </c>
      <c r="G585" s="36">
        <f>'DE ( Tarik barang retur )'!AF562</f>
        <v>46183</v>
      </c>
      <c r="H585" s="22">
        <v>46184.0</v>
      </c>
      <c r="I585" s="22">
        <v>46186.0</v>
      </c>
      <c r="J585" s="21" t="s">
        <v>5294</v>
      </c>
      <c r="K585" s="24"/>
      <c r="L585" s="24">
        <f t="shared" si="2"/>
        <v>1</v>
      </c>
      <c r="M585" s="24"/>
      <c r="N585" s="24"/>
      <c r="O585" s="24"/>
      <c r="P585" s="25"/>
      <c r="Q585" s="25"/>
      <c r="R585" s="25"/>
      <c r="S585" s="25"/>
      <c r="T585" s="25"/>
      <c r="U585" s="25"/>
      <c r="V585" s="25"/>
      <c r="W585" s="25"/>
      <c r="X585" s="25"/>
      <c r="Y585" s="25"/>
      <c r="Z585" s="25"/>
      <c r="AA585" s="25"/>
      <c r="AB585" s="25"/>
      <c r="AC585" s="25"/>
    </row>
    <row r="586">
      <c r="A586" s="24" t="str">
        <f>'DE ( Tarik barang retur )'!AC563</f>
        <v>AWBR-3312477530-01</v>
      </c>
      <c r="B586" s="24" t="str">
        <f>'DE ( Tarik barang retur )'!F563</f>
        <v>Apotek Mulana Farma Jatirasa Jatiasih</v>
      </c>
      <c r="C586" s="35">
        <f>'DE ( Tarik barang retur )'!G563</f>
        <v>6.28131E+17</v>
      </c>
      <c r="D586" s="24" t="str">
        <f>'DE ( Tarik barang retur )'!H563</f>
        <v>Jl. Swatantra 5 No. 8 RT. 008 RW. 003 Kel. Jatirasa Kec. Jatiasih, Kota Bekasi</v>
      </c>
      <c r="E586" s="24" t="str">
        <f>'DE ( Tarik barang retur )'!D563</f>
        <v>240317001443419nctnfg2A</v>
      </c>
      <c r="F586" s="24" t="str">
        <f>'DE ( Tarik barang retur )'!R563</f>
        <v>ATORVASTATIN CALCIUM Hexpharm TABLET 20 MG
2x SUCRALFATE Combiphar TABLET 500 MG</v>
      </c>
      <c r="G586" s="36">
        <f>'DE ( Tarik barang retur )'!AF563</f>
        <v>46183</v>
      </c>
      <c r="H586" s="22">
        <v>46183.0</v>
      </c>
      <c r="I586" s="22">
        <v>46184.0</v>
      </c>
      <c r="J586" s="21" t="s">
        <v>5294</v>
      </c>
      <c r="K586" s="24"/>
      <c r="L586" s="24">
        <f t="shared" si="2"/>
        <v>1</v>
      </c>
      <c r="M586" s="24"/>
      <c r="N586" s="24"/>
      <c r="O586" s="24"/>
      <c r="P586" s="25"/>
      <c r="Q586" s="25"/>
      <c r="R586" s="25"/>
      <c r="S586" s="25"/>
      <c r="T586" s="25"/>
      <c r="U586" s="25"/>
      <c r="V586" s="25"/>
      <c r="W586" s="25"/>
      <c r="X586" s="25"/>
      <c r="Y586" s="25"/>
      <c r="Z586" s="25"/>
      <c r="AA586" s="25"/>
      <c r="AB586" s="25"/>
      <c r="AC586" s="25"/>
    </row>
    <row r="587">
      <c r="A587" s="24" t="str">
        <f>'DE ( Tarik barang retur )'!AC564</f>
        <v>AWBR-3316412758-01</v>
      </c>
      <c r="B587" s="24" t="str">
        <f>'DE ( Tarik barang retur )'!F564</f>
        <v>Apotek Murni Health Kelapa Indah Tangerang</v>
      </c>
      <c r="C587" s="35">
        <f>'DE ( Tarik barang retur )'!G564</f>
        <v>6.282E+15</v>
      </c>
      <c r="D587" s="24" t="str">
        <f>'DE ( Tarik barang retur )'!H564</f>
        <v>Ruko SRB 20, Jln. Hartono Raya Kota Modern The Modern Golf Apartement, Tower Merah Kel. Kelapa Indah Kec. Tangerang Kota Tangerang</v>
      </c>
      <c r="E587" s="24" t="str">
        <f>'DE ( Tarik barang retur )'!D564</f>
        <v>26060303482815zjFC4LsUm5</v>
      </c>
      <c r="F587" s="24" t="str">
        <f>'DE ( Tarik barang retur )'!R564</f>
        <v>TRAPASIN Combiphar TABLET</v>
      </c>
      <c r="G587" s="36">
        <f>'DE ( Tarik barang retur )'!AF564</f>
        <v>46183</v>
      </c>
      <c r="H587" s="22">
        <v>46184.0</v>
      </c>
      <c r="I587" s="22">
        <v>46186.0</v>
      </c>
      <c r="J587" s="21" t="s">
        <v>5294</v>
      </c>
      <c r="K587" s="24"/>
      <c r="L587" s="24">
        <f t="shared" si="2"/>
        <v>1</v>
      </c>
      <c r="M587" s="24"/>
      <c r="N587" s="24"/>
      <c r="O587" s="24"/>
      <c r="P587" s="25"/>
      <c r="Q587" s="25"/>
      <c r="R587" s="25"/>
      <c r="S587" s="25"/>
      <c r="T587" s="25"/>
      <c r="U587" s="25"/>
      <c r="V587" s="25"/>
      <c r="W587" s="25"/>
      <c r="X587" s="25"/>
      <c r="Y587" s="25"/>
      <c r="Z587" s="25"/>
      <c r="AA587" s="25"/>
      <c r="AB587" s="25"/>
      <c r="AC587" s="25"/>
    </row>
    <row r="588">
      <c r="A588" s="24" t="str">
        <f>'DE ( Tarik barang retur )'!AC565</f>
        <v>AWBR-3314504370-01</v>
      </c>
      <c r="B588" s="24" t="str">
        <f>'DE ( Tarik barang retur )'!F565</f>
        <v>Apotek Mutiara Farma 1370</v>
      </c>
      <c r="C588" s="35">
        <f>'DE ( Tarik barang retur )'!G565</f>
        <v>817764000</v>
      </c>
      <c r="D588" s="24" t="str">
        <f>'DE ( Tarik barang retur )'!H565</f>
        <v>Ruko Bukit Cimanggu City Blok B1 No. 2a RT.007 RW.009 Kel. Cibadak, Kecamatan Tanah Sareal, Kota Bogor</v>
      </c>
      <c r="E588" s="24" t="str">
        <f>'DE ( Tarik barang retur )'!D565</f>
        <v>26060403513552HS2Nq0TFT</v>
      </c>
      <c r="F588" s="24" t="str">
        <f>'DE ( Tarik barang retur )'!R565</f>
        <v>CLOPIDOGREL BISULFATE Beta Pharmacon TABLET 75 MG
2x OBH Surya Itrasal SIRUP</v>
      </c>
      <c r="G588" s="36">
        <f>'DE ( Tarik barang retur )'!AF565</f>
        <v>46183</v>
      </c>
      <c r="H588" s="22">
        <v>46183.0</v>
      </c>
      <c r="I588" s="22">
        <v>46184.0</v>
      </c>
      <c r="J588" s="21" t="s">
        <v>5294</v>
      </c>
      <c r="K588" s="24"/>
      <c r="L588" s="24">
        <f t="shared" si="2"/>
        <v>1</v>
      </c>
      <c r="M588" s="24"/>
      <c r="N588" s="24"/>
      <c r="O588" s="24"/>
      <c r="P588" s="25"/>
      <c r="Q588" s="25"/>
      <c r="R588" s="25"/>
      <c r="S588" s="25"/>
      <c r="T588" s="25"/>
      <c r="U588" s="25"/>
      <c r="V588" s="25"/>
      <c r="W588" s="25"/>
      <c r="X588" s="25"/>
      <c r="Y588" s="25"/>
      <c r="Z588" s="25"/>
      <c r="AA588" s="25"/>
      <c r="AB588" s="25"/>
      <c r="AC588" s="25"/>
    </row>
    <row r="589">
      <c r="A589" s="24" t="str">
        <f>'DE ( Tarik barang retur )'!AC566</f>
        <v>AWBR-3314540623-01</v>
      </c>
      <c r="B589" s="24" t="str">
        <f>'DE ( Tarik barang retur )'!F566</f>
        <v>Apotek MY</v>
      </c>
      <c r="C589" s="35">
        <f>'DE ( Tarik barang retur )'!G566</f>
        <v>6.2851E+16</v>
      </c>
      <c r="D589" s="24" t="str">
        <f>'DE ( Tarik barang retur )'!H566</f>
        <v>Jalan RayaTembus Bambu Kuning- Pemda Desa Bojong Baru Kecamatan Bojonggede Kabupaten Bogor 16920</v>
      </c>
      <c r="E589" s="24" t="str">
        <f>'DE ( Tarik barang retur )'!D566</f>
        <v>AWBR-3314540623</v>
      </c>
      <c r="F589" s="24" t="str">
        <f>'DE ( Tarik barang retur )'!R566</f>
        <v>ILIADIN Merck TETES HIDUNG ANAK 0.025%</v>
      </c>
      <c r="G589" s="36">
        <f>'DE ( Tarik barang retur )'!AF566</f>
        <v>46183</v>
      </c>
      <c r="H589" s="22">
        <v>46183.0</v>
      </c>
      <c r="I589" s="22">
        <v>46184.0</v>
      </c>
      <c r="J589" s="21" t="s">
        <v>5294</v>
      </c>
      <c r="K589" s="24"/>
      <c r="L589" s="24">
        <f t="shared" si="2"/>
        <v>1</v>
      </c>
      <c r="M589" s="24"/>
      <c r="N589" s="24"/>
      <c r="O589" s="24"/>
      <c r="P589" s="25"/>
      <c r="Q589" s="25"/>
      <c r="R589" s="25"/>
      <c r="S589" s="25"/>
      <c r="T589" s="25"/>
      <c r="U589" s="25"/>
      <c r="V589" s="25"/>
      <c r="W589" s="25"/>
      <c r="X589" s="25"/>
      <c r="Y589" s="25"/>
      <c r="Z589" s="25"/>
      <c r="AA589" s="25"/>
      <c r="AB589" s="25"/>
      <c r="AC589" s="25"/>
    </row>
    <row r="590">
      <c r="A590" s="24" t="str">
        <f>'DE ( Tarik barang retur )'!AC567</f>
        <v>AWBR-3316181927-01</v>
      </c>
      <c r="B590" s="24" t="str">
        <f>'DE ( Tarik barang retur )'!F567</f>
        <v>Apotek Natan</v>
      </c>
      <c r="C590" s="35">
        <f>'DE ( Tarik barang retur )'!G567</f>
        <v>8128141418</v>
      </c>
      <c r="D590" s="24" t="str">
        <f>'DE ( Tarik barang retur )'!H567</f>
        <v>Jalan Angkasa Dalam I No.50 AB RT.013 RW.003 Kelurahan Gunung Sahari Selatan, Kecamatan Kemayoran, Kota Jakarta Pusat 10610</v>
      </c>
      <c r="E590" s="24" t="str">
        <f>'DE ( Tarik barang retur )'!D567</f>
        <v>26060504421256Sgye1zwi5</v>
      </c>
      <c r="F590" s="24" t="str">
        <f>'DE ( Tarik barang retur )'!R567</f>
        <v>FARMACROL FORTE Pratapa Nirmala SUSPENSI</v>
      </c>
      <c r="G590" s="36">
        <f>'DE ( Tarik barang retur )'!AF567</f>
        <v>46183</v>
      </c>
      <c r="H590" s="22">
        <v>46184.0</v>
      </c>
      <c r="I590" s="22">
        <v>46184.0</v>
      </c>
      <c r="J590" s="21" t="s">
        <v>5294</v>
      </c>
      <c r="K590" s="24"/>
      <c r="L590" s="24">
        <f t="shared" si="2"/>
        <v>1</v>
      </c>
      <c r="M590" s="24"/>
      <c r="N590" s="24"/>
      <c r="O590" s="24"/>
      <c r="P590" s="25"/>
      <c r="Q590" s="25"/>
      <c r="R590" s="25"/>
      <c r="S590" s="25"/>
      <c r="T590" s="25"/>
      <c r="U590" s="25"/>
      <c r="V590" s="25"/>
      <c r="W590" s="25"/>
      <c r="X590" s="25"/>
      <c r="Y590" s="25"/>
      <c r="Z590" s="25"/>
      <c r="AA590" s="25"/>
      <c r="AB590" s="25"/>
      <c r="AC590" s="25"/>
    </row>
    <row r="591">
      <c r="A591" s="24" t="str">
        <f>'DE ( Tarik barang retur )'!AC568</f>
        <v>AWBR-3316189585-01</v>
      </c>
      <c r="B591" s="24" t="str">
        <f>'DE ( Tarik barang retur )'!F568</f>
        <v>Apotek Pakuan Farma</v>
      </c>
      <c r="C591" s="35">
        <f>'DE ( Tarik barang retur )'!G568</f>
        <v>85814651110</v>
      </c>
      <c r="D591" s="24" t="str">
        <f>'DE ( Tarik barang retur )'!H568</f>
        <v>Jalan Pandawa Raya Blok A1 No. 14 RT. 07 RW. 15 Kelurahan Bantarjati Kecamatan Bogor Utara Kota Bogor 16153</v>
      </c>
      <c r="E591" s="24" t="str">
        <f>'DE ( Tarik barang retur )'!D568</f>
        <v>250922174524843YkdDQv1kg</v>
      </c>
      <c r="F591" s="24" t="str">
        <f>'DE ( Tarik barang retur )'!R568</f>
        <v>ASTRIA Pertiwi Agung KAPSUL 4 MG</v>
      </c>
      <c r="G591" s="36">
        <f>'DE ( Tarik barang retur )'!AF568</f>
        <v>46183</v>
      </c>
      <c r="H591" s="22">
        <v>46183.0</v>
      </c>
      <c r="I591" s="22">
        <v>46184.0</v>
      </c>
      <c r="J591" s="21" t="s">
        <v>5294</v>
      </c>
      <c r="K591" s="24"/>
      <c r="L591" s="24">
        <f t="shared" si="2"/>
        <v>1</v>
      </c>
      <c r="M591" s="24"/>
      <c r="N591" s="24"/>
      <c r="O591" s="24"/>
      <c r="P591" s="25"/>
      <c r="Q591" s="25"/>
      <c r="R591" s="25"/>
      <c r="S591" s="25"/>
      <c r="T591" s="25"/>
      <c r="U591" s="25"/>
      <c r="V591" s="25"/>
      <c r="W591" s="25"/>
      <c r="X591" s="25"/>
      <c r="Y591" s="25"/>
      <c r="Z591" s="25"/>
      <c r="AA591" s="25"/>
      <c r="AB591" s="25"/>
      <c r="AC591" s="25"/>
    </row>
    <row r="592">
      <c r="A592" s="24" t="str">
        <f>'DE ( Tarik barang retur )'!AC569</f>
        <v>AWBR-3314636351-01</v>
      </c>
      <c r="B592" s="24" t="str">
        <f>'DE ( Tarik barang retur )'!F569</f>
        <v>Apotek Pekapuran</v>
      </c>
      <c r="C592" s="35">
        <f>'DE ( Tarik barang retur )'!G569</f>
        <v>89679099392</v>
      </c>
      <c r="D592" s="24" t="str">
        <f>'DE ( Tarik barang retur )'!H569</f>
        <v>Jalan Raya Pekapuran No. 106 RT 001 RW 022, Kelurahan Sukatani, Kecamatan Tapos Kota Depok 16454</v>
      </c>
      <c r="E592" s="24" t="str">
        <f>'DE ( Tarik barang retur )'!D569</f>
        <v>26032823554026w0jYB9PDti</v>
      </c>
      <c r="F592" s="24" t="str">
        <f>'DE ( Tarik barang retur )'!R569</f>
        <v>TRINORDIOL-28 Sunthi TABLET</v>
      </c>
      <c r="G592" s="36">
        <f>'DE ( Tarik barang retur )'!AF569</f>
        <v>46183</v>
      </c>
      <c r="H592" s="22">
        <v>46183.0</v>
      </c>
      <c r="I592" s="22">
        <v>46185.0</v>
      </c>
      <c r="J592" s="21" t="s">
        <v>5294</v>
      </c>
      <c r="K592" s="24"/>
      <c r="L592" s="24">
        <f t="shared" si="2"/>
        <v>1</v>
      </c>
      <c r="M592" s="24"/>
      <c r="N592" s="24"/>
      <c r="O592" s="24"/>
      <c r="P592" s="25"/>
      <c r="Q592" s="25"/>
      <c r="R592" s="25"/>
      <c r="S592" s="25"/>
      <c r="T592" s="25"/>
      <c r="U592" s="25"/>
      <c r="V592" s="25"/>
      <c r="W592" s="25"/>
      <c r="X592" s="25"/>
      <c r="Y592" s="25"/>
      <c r="Z592" s="25"/>
      <c r="AA592" s="25"/>
      <c r="AB592" s="25"/>
      <c r="AC592" s="25"/>
    </row>
    <row r="593">
      <c r="A593" s="24" t="str">
        <f>'DE ( Tarik barang retur )'!AC570</f>
        <v>AWBR-3314526617-01</v>
      </c>
      <c r="B593" s="24" t="str">
        <f>'DE ( Tarik barang retur )'!F570</f>
        <v>Apotek Permata 668</v>
      </c>
      <c r="C593" s="35">
        <f>'DE ( Tarik barang retur )'!G570</f>
        <v>89628594757</v>
      </c>
      <c r="D593" s="24" t="str">
        <f>'DE ( Tarik barang retur )'!H570</f>
        <v>Jl. Regency II Blok DC-2 No. 53 Kelurahan: Gelam Jaya Kecamatan: Pasar Kemis Kab/Kota: Kab. Tangerang</v>
      </c>
      <c r="E593" s="24" t="str">
        <f>'DE ( Tarik barang retur )'!D570</f>
        <v>26060202414537nFuoe46A3</v>
      </c>
      <c r="F593" s="24" t="str">
        <f>'DE ( Tarik barang retur )'!R570</f>
        <v>ALOCLAIR PLUS Enseval GEL</v>
      </c>
      <c r="G593" s="36">
        <f>'DE ( Tarik barang retur )'!AF570</f>
        <v>46183</v>
      </c>
      <c r="H593" s="22">
        <v>46184.0</v>
      </c>
      <c r="I593" s="22">
        <v>46186.0</v>
      </c>
      <c r="J593" s="21" t="s">
        <v>5294</v>
      </c>
      <c r="K593" s="24"/>
      <c r="L593" s="24">
        <f t="shared" si="2"/>
        <v>1</v>
      </c>
      <c r="M593" s="24"/>
      <c r="N593" s="24"/>
      <c r="O593" s="24"/>
      <c r="P593" s="25"/>
      <c r="Q593" s="25"/>
      <c r="R593" s="25"/>
      <c r="S593" s="25"/>
      <c r="T593" s="25"/>
      <c r="U593" s="25"/>
      <c r="V593" s="25"/>
      <c r="W593" s="25"/>
      <c r="X593" s="25"/>
      <c r="Y593" s="25"/>
      <c r="Z593" s="25"/>
      <c r="AA593" s="25"/>
      <c r="AB593" s="25"/>
      <c r="AC593" s="25"/>
    </row>
    <row r="594">
      <c r="A594" s="24" t="str">
        <f>'DE ( Tarik barang retur )'!AC571</f>
        <v>AWBR-3316407018-01</v>
      </c>
      <c r="B594" s="24" t="str">
        <f>'DE ( Tarik barang retur )'!F571</f>
        <v>Apotek Pharmart Bendungan Hilir Tanah Abang</v>
      </c>
      <c r="C594" s="35">
        <f>'DE ( Tarik barang retur )'!G571</f>
        <v>6.28212E+17</v>
      </c>
      <c r="D594" s="24" t="str">
        <f>'DE ( Tarik barang retur )'!H571</f>
        <v>Jalan Danau Poso No. 156, RT/RW 008/004, Kel. Bendungan Hilir, Kec. Tanah Abang, Jakarta Pusat, 10210</v>
      </c>
      <c r="E594" s="24" t="str">
        <f>'DE ( Tarik barang retur )'!D571</f>
        <v>260602032050786ScbnzoD2</v>
      </c>
      <c r="F594" s="24" t="str">
        <f>'DE ( Tarik barang retur )'!R571</f>
        <v>BLACKMORES FISH OIL MINI CAPS ODOURLESS Kalbe KAPSUL</v>
      </c>
      <c r="G594" s="36">
        <f>'DE ( Tarik barang retur )'!AF571</f>
        <v>46183</v>
      </c>
      <c r="H594" s="22">
        <v>46184.0</v>
      </c>
      <c r="I594" s="22">
        <v>46185.0</v>
      </c>
      <c r="J594" s="21" t="s">
        <v>5294</v>
      </c>
      <c r="K594" s="24"/>
      <c r="L594" s="24">
        <f t="shared" si="2"/>
        <v>1</v>
      </c>
      <c r="M594" s="24"/>
      <c r="N594" s="24"/>
      <c r="O594" s="24"/>
      <c r="P594" s="25"/>
      <c r="Q594" s="25"/>
      <c r="R594" s="25"/>
      <c r="S594" s="25"/>
      <c r="T594" s="25"/>
      <c r="U594" s="25"/>
      <c r="V594" s="25"/>
      <c r="W594" s="25"/>
      <c r="X594" s="25"/>
      <c r="Y594" s="25"/>
      <c r="Z594" s="25"/>
      <c r="AA594" s="25"/>
      <c r="AB594" s="25"/>
      <c r="AC594" s="25"/>
    </row>
    <row r="595">
      <c r="A595" s="24" t="str">
        <f>'DE ( Tarik barang retur )'!AC572</f>
        <v>AWBR-3316290055-01</v>
      </c>
      <c r="B595" s="24" t="str">
        <f>'DE ( Tarik barang retur )'!F572</f>
        <v>Apotek Sabi Pharma Bakti Jaya Setu</v>
      </c>
      <c r="C595" s="35">
        <f>'DE ( Tarik barang retur )'!G572</f>
        <v>6.28572E+17</v>
      </c>
      <c r="D595" s="24" t="str">
        <f>'DE ( Tarik barang retur )'!H572</f>
        <v>Ruko Terrace Park Residence Blok A No. 19, Jl. AMD Babakan Pocis Kel. Bakti Jaya Kec. Setu Kota Tangerang Selatan</v>
      </c>
      <c r="E595" s="24" t="str">
        <f>'DE ( Tarik barang retur )'!D572</f>
        <v>26060700492823tSkNp3ap8I</v>
      </c>
      <c r="F595" s="24" t="str">
        <f>'DE ( Tarik barang retur )'!R572</f>
        <v>NEO RHEUMACYL NEURO Tempo Scan KAPLET</v>
      </c>
      <c r="G595" s="36">
        <f>'DE ( Tarik barang retur )'!AF572</f>
        <v>46183</v>
      </c>
      <c r="H595" s="22">
        <v>46184.0</v>
      </c>
      <c r="I595" s="22">
        <v>46185.0</v>
      </c>
      <c r="J595" s="21" t="s">
        <v>5294</v>
      </c>
      <c r="K595" s="24"/>
      <c r="L595" s="24">
        <f t="shared" si="2"/>
        <v>1</v>
      </c>
      <c r="M595" s="24"/>
      <c r="N595" s="24"/>
      <c r="O595" s="24"/>
      <c r="P595" s="25"/>
      <c r="Q595" s="25"/>
      <c r="R595" s="25"/>
      <c r="S595" s="25"/>
      <c r="T595" s="25"/>
      <c r="U595" s="25"/>
      <c r="V595" s="25"/>
      <c r="W595" s="25"/>
      <c r="X595" s="25"/>
      <c r="Y595" s="25"/>
      <c r="Z595" s="25"/>
      <c r="AA595" s="25"/>
      <c r="AB595" s="25"/>
      <c r="AC595" s="25"/>
    </row>
    <row r="596">
      <c r="A596" s="24" t="str">
        <f>'DE ( Tarik barang retur )'!AC573</f>
        <v>AWBR-3316403854-01</v>
      </c>
      <c r="B596" s="24" t="str">
        <f>'DE ( Tarik barang retur )'!F573</f>
        <v>Apotek Sabi Pharma Bakti Jaya Setu</v>
      </c>
      <c r="C596" s="35">
        <f>'DE ( Tarik barang retur )'!G573</f>
        <v>6.28572E+17</v>
      </c>
      <c r="D596" s="24" t="str">
        <f>'DE ( Tarik barang retur )'!H573</f>
        <v>Ruko Terrace Park Residence Blok A No. 19, Jl. AMD Babakan Pocis Kel. Bakti Jaya Kec. Setu Kota Tangerang Selatan</v>
      </c>
      <c r="E596" s="24" t="str">
        <f>'DE ( Tarik barang retur )'!D573</f>
        <v>26060700461028qYhEdiFVrM</v>
      </c>
      <c r="F596" s="24" t="str">
        <f>'DE ( Tarik barang retur )'!R573</f>
        <v>PEPTISOL Sanghiang Perkasa FRENCH VANILLA</v>
      </c>
      <c r="G596" s="36">
        <f>'DE ( Tarik barang retur )'!AF573</f>
        <v>46183</v>
      </c>
      <c r="H596" s="22">
        <v>46184.0</v>
      </c>
      <c r="I596" s="22">
        <v>46185.0</v>
      </c>
      <c r="J596" s="21" t="s">
        <v>5294</v>
      </c>
      <c r="K596" s="24"/>
      <c r="L596" s="24">
        <f t="shared" si="2"/>
        <v>1</v>
      </c>
      <c r="M596" s="24"/>
      <c r="N596" s="24"/>
      <c r="O596" s="24"/>
      <c r="P596" s="25"/>
      <c r="Q596" s="25"/>
      <c r="R596" s="25"/>
      <c r="S596" s="25"/>
      <c r="T596" s="25"/>
      <c r="U596" s="25"/>
      <c r="V596" s="25"/>
      <c r="W596" s="25"/>
      <c r="X596" s="25"/>
      <c r="Y596" s="25"/>
      <c r="Z596" s="25"/>
      <c r="AA596" s="25"/>
      <c r="AB596" s="25"/>
      <c r="AC596" s="25"/>
    </row>
    <row r="597">
      <c r="A597" s="24" t="str">
        <f>'DE ( Tarik barang retur )'!AC574</f>
        <v>AWBR-3316407979-01</v>
      </c>
      <c r="B597" s="24" t="str">
        <f>'DE ( Tarik barang retur )'!F574</f>
        <v>Apotek Sabi Pharma Cempaka Putih Ciputat Timur</v>
      </c>
      <c r="C597" s="35">
        <f>'DE ( Tarik barang retur )'!G574</f>
        <v>6.2813E+16</v>
      </c>
      <c r="D597" s="24" t="str">
        <f>'DE ( Tarik barang retur )'!H574</f>
        <v>Jl. Raya Kompas No. 34 RT 01 RW 01 Kel. Pondok Ranji Kec. Ciputat Timur Kota Tangerang Selatan</v>
      </c>
      <c r="E597" s="24" t="str">
        <f>'DE ( Tarik barang retur )'!D574</f>
        <v>240413010454708KjH6viGrx</v>
      </c>
      <c r="F597" s="24" t="str">
        <f>'DE ( Tarik barang retur )'!R574</f>
        <v>IMBOOST FORCE FCT+ Soho KAPLET</v>
      </c>
      <c r="G597" s="36">
        <f>'DE ( Tarik barang retur )'!AF574</f>
        <v>46183</v>
      </c>
      <c r="H597" s="22">
        <v>46186.0</v>
      </c>
      <c r="I597" s="22">
        <v>46187.0</v>
      </c>
      <c r="J597" s="21" t="s">
        <v>5294</v>
      </c>
      <c r="K597" s="24"/>
      <c r="L597" s="24">
        <f t="shared" si="2"/>
        <v>1</v>
      </c>
      <c r="M597" s="24"/>
      <c r="N597" s="24"/>
      <c r="O597" s="24"/>
      <c r="P597" s="25"/>
      <c r="Q597" s="25"/>
      <c r="R597" s="25"/>
      <c r="S597" s="25"/>
      <c r="T597" s="25"/>
      <c r="U597" s="25"/>
      <c r="V597" s="25"/>
      <c r="W597" s="25"/>
      <c r="X597" s="25"/>
      <c r="Y597" s="25"/>
      <c r="Z597" s="25"/>
      <c r="AA597" s="25"/>
      <c r="AB597" s="25"/>
      <c r="AC597" s="25"/>
    </row>
    <row r="598">
      <c r="A598" s="24" t="str">
        <f>'DE ( Tarik barang retur )'!AC575</f>
        <v>AWBR-3316402396-01</v>
      </c>
      <c r="B598" s="24" t="str">
        <f>'DE ( Tarik barang retur )'!F575</f>
        <v>Apotek Sabi Pharma Cilangkap Cipayung</v>
      </c>
      <c r="C598" s="35">
        <f>'DE ( Tarik barang retur )'!G575</f>
        <v>6.28121E+17</v>
      </c>
      <c r="D598" s="24" t="str">
        <f>'DE ( Tarik barang retur )'!H575</f>
        <v>Jl. Cilangkap Baru Blok R No. 3 RT 001 RW 001 Kel. Cilangkap Kec. Cipayung Kota Jakarta Timur</v>
      </c>
      <c r="E598" s="24" t="str">
        <f>'DE ( Tarik barang retur )'!D575</f>
        <v>26042408502408T0UxXAX3j</v>
      </c>
      <c r="F598" s="24" t="str">
        <f>'DE ( Tarik barang retur )'!R575</f>
        <v>BEPANTHEN Bayer SALEP BAYI</v>
      </c>
      <c r="G598" s="36">
        <f>'DE ( Tarik barang retur )'!AF575</f>
        <v>46183</v>
      </c>
      <c r="H598" s="22">
        <v>46184.0</v>
      </c>
      <c r="I598" s="22">
        <v>46185.0</v>
      </c>
      <c r="J598" s="21" t="s">
        <v>5294</v>
      </c>
      <c r="K598" s="24"/>
      <c r="L598" s="24">
        <f t="shared" si="2"/>
        <v>1</v>
      </c>
      <c r="M598" s="24"/>
      <c r="N598" s="24"/>
      <c r="O598" s="24"/>
      <c r="P598" s="25"/>
      <c r="Q598" s="25"/>
      <c r="R598" s="25"/>
      <c r="S598" s="25"/>
      <c r="T598" s="25"/>
      <c r="U598" s="25"/>
      <c r="V598" s="25"/>
      <c r="W598" s="25"/>
      <c r="X598" s="25"/>
      <c r="Y598" s="25"/>
      <c r="Z598" s="25"/>
      <c r="AA598" s="25"/>
      <c r="AB598" s="25"/>
      <c r="AC598" s="25"/>
    </row>
    <row r="599">
      <c r="A599" s="24" t="str">
        <f>'DE ( Tarik barang retur )'!AC576</f>
        <v>AWBR-3314635586-01</v>
      </c>
      <c r="B599" s="24" t="str">
        <f>'DE ( Tarik barang retur )'!F576</f>
        <v>Apotek Sadar Sehat</v>
      </c>
      <c r="C599" s="35">
        <f>'DE ( Tarik barang retur )'!G576</f>
        <v>6.28522E+17</v>
      </c>
      <c r="D599" s="24" t="str">
        <f>'DE ( Tarik barang retur )'!H576</f>
        <v>Jalan Sadar Raya No. 33A Blok W-02 RT 002 RW 004 Kelurahan Ciganjur, Kecamatan Jagakarsa, Kota adm Jakarta Selatan, DKI Jakarta 12630</v>
      </c>
      <c r="E599" s="24" t="str">
        <f>'DE ( Tarik barang retur )'!D576</f>
        <v>26060103171250tQ4r6FGC7</v>
      </c>
      <c r="F599" s="24" t="str">
        <f>'DE ( Tarik barang retur )'!R576</f>
        <v>SHEN NONG SHI DIE DA YAO JING Saras subur</v>
      </c>
      <c r="G599" s="36">
        <f>'DE ( Tarik barang retur )'!AF576</f>
        <v>46183</v>
      </c>
      <c r="H599" s="22">
        <v>46183.0</v>
      </c>
      <c r="I599" s="22">
        <v>46185.0</v>
      </c>
      <c r="J599" s="21" t="s">
        <v>5294</v>
      </c>
      <c r="K599" s="24"/>
      <c r="L599" s="24">
        <f t="shared" si="2"/>
        <v>1</v>
      </c>
      <c r="M599" s="24"/>
      <c r="N599" s="24"/>
      <c r="O599" s="24"/>
      <c r="P599" s="25"/>
      <c r="Q599" s="25"/>
      <c r="R599" s="25"/>
      <c r="S599" s="25"/>
      <c r="T599" s="25"/>
      <c r="U599" s="25"/>
      <c r="V599" s="25"/>
      <c r="W599" s="25"/>
      <c r="X599" s="25"/>
      <c r="Y599" s="25"/>
      <c r="Z599" s="25"/>
      <c r="AA599" s="25"/>
      <c r="AB599" s="25"/>
      <c r="AC599" s="25"/>
    </row>
    <row r="600">
      <c r="A600" s="24" t="str">
        <f>'DE ( Tarik barang retur )'!AC577</f>
        <v>AWBR-3316402449-01</v>
      </c>
      <c r="B600" s="24" t="str">
        <f>'DE ( Tarik barang retur )'!F577</f>
        <v>Apotek Salima Farma</v>
      </c>
      <c r="C600" s="35">
        <f>'DE ( Tarik barang retur )'!G577</f>
        <v>81327050527</v>
      </c>
      <c r="D600" s="24" t="str">
        <f>'DE ( Tarik barang retur )'!H577</f>
        <v>Jalan Pondok Ungu Permai Blok AM 1 No.3 RT 012 RW 012 Kelurahan Kaliabang Tengah Kecamatan Bekasi Utara Kota Bekasi 17125</v>
      </c>
      <c r="E600" s="24" t="str">
        <f>'DE ( Tarik barang retur )'!D577</f>
        <v>25050907234012cgyT6rdg</v>
      </c>
      <c r="F600" s="24" t="str">
        <f>'DE ( Tarik barang retur )'!R577</f>
        <v>DISOLF Dexa Medica TABLET 490 MG</v>
      </c>
      <c r="G600" s="36">
        <f>'DE ( Tarik barang retur )'!AF577</f>
        <v>46183</v>
      </c>
      <c r="H600" s="22">
        <v>46183.0</v>
      </c>
      <c r="I600" s="22">
        <v>46184.0</v>
      </c>
      <c r="J600" s="21" t="s">
        <v>5294</v>
      </c>
      <c r="K600" s="24"/>
      <c r="L600" s="24">
        <f t="shared" si="2"/>
        <v>1</v>
      </c>
      <c r="M600" s="24"/>
      <c r="N600" s="24"/>
      <c r="O600" s="24"/>
      <c r="P600" s="25"/>
      <c r="Q600" s="25"/>
      <c r="R600" s="25"/>
      <c r="S600" s="25"/>
      <c r="T600" s="25"/>
      <c r="U600" s="25"/>
      <c r="V600" s="25"/>
      <c r="W600" s="25"/>
      <c r="X600" s="25"/>
      <c r="Y600" s="25"/>
      <c r="Z600" s="25"/>
      <c r="AA600" s="25"/>
      <c r="AB600" s="25"/>
      <c r="AC600" s="25"/>
    </row>
    <row r="601">
      <c r="A601" s="24" t="str">
        <f>'DE ( Tarik barang retur )'!AC578</f>
        <v>AWBR-3316404045-01</v>
      </c>
      <c r="B601" s="24" t="str">
        <f>'DE ( Tarik barang retur )'!F578</f>
        <v>Apotek Shaka Farma Kertamukti Cibitung</v>
      </c>
      <c r="C601" s="35">
        <f>'DE ( Tarik barang retur )'!G578</f>
        <v>6.28217E+17</v>
      </c>
      <c r="D601" s="24" t="str">
        <f>'DE ( Tarik barang retur )'!H578</f>
        <v>Kp. Sasak Bakar, RT/RW : 001/001, Desa/Kelurahan Kertamukti, Kec. Cibitung, Kab. Bekasi</v>
      </c>
      <c r="E601" s="24" t="str">
        <f>'DE ( Tarik barang retur )'!D578</f>
        <v>26052514285751kfMEBSV0nX</v>
      </c>
      <c r="F601" s="24" t="str">
        <f>'DE ( Tarik barang retur )'!R578</f>
        <v>VEGEBLEND Pharos KAPSUL</v>
      </c>
      <c r="G601" s="36">
        <f>'DE ( Tarik barang retur )'!AF578</f>
        <v>46183</v>
      </c>
      <c r="H601" s="22">
        <v>46184.0</v>
      </c>
      <c r="I601" s="22">
        <v>46184.0</v>
      </c>
      <c r="J601" s="21" t="s">
        <v>5294</v>
      </c>
      <c r="K601" s="24"/>
      <c r="L601" s="24">
        <f t="shared" si="2"/>
        <v>1</v>
      </c>
      <c r="M601" s="24"/>
      <c r="N601" s="24"/>
      <c r="O601" s="24"/>
      <c r="P601" s="25"/>
      <c r="Q601" s="25"/>
      <c r="R601" s="25"/>
      <c r="S601" s="25"/>
      <c r="T601" s="25"/>
      <c r="U601" s="25"/>
      <c r="V601" s="25"/>
      <c r="W601" s="25"/>
      <c r="X601" s="25"/>
      <c r="Y601" s="25"/>
      <c r="Z601" s="25"/>
      <c r="AA601" s="25"/>
      <c r="AB601" s="25"/>
      <c r="AC601" s="25"/>
    </row>
    <row r="602">
      <c r="A602" s="24" t="str">
        <f>'DE ( Tarik barang retur )'!AC579</f>
        <v>AWBR-3316252868-01</v>
      </c>
      <c r="B602" s="24" t="str">
        <f>'DE ( Tarik barang retur )'!F579</f>
        <v>Apotek Sinar Terbit Mekarsari Banjar</v>
      </c>
      <c r="C602" s="35">
        <f>'DE ( Tarik barang retur )'!G579</f>
        <v>6.2814E+16</v>
      </c>
      <c r="D602" s="24" t="str">
        <f>'DE ( Tarik barang retur )'!H579</f>
        <v>Jalan Tentara Pelajar Lingk. Cikabuyutan Barat RT.002 RW.010, Desa/Kelurahan Hegarsari, Kec. Pataruman, Kota Banjar</v>
      </c>
      <c r="E602" s="24" t="str">
        <f>'DE ( Tarik barang retur )'!D579</f>
        <v>25120402442995z9iQruJ1d</v>
      </c>
      <c r="F602" s="24" t="str">
        <f>'DE ( Tarik barang retur )'!R579</f>
        <v>VELUTINE Novell CAIRAN INHALASI 2.5 MG
1x NEUROBION Merck TABLET</v>
      </c>
      <c r="G602" s="36">
        <f>'DE ( Tarik barang retur )'!AF579</f>
        <v>46183</v>
      </c>
      <c r="H602" s="22">
        <v>46185.0</v>
      </c>
      <c r="I602" s="22">
        <v>46186.0</v>
      </c>
      <c r="J602" s="21" t="s">
        <v>5294</v>
      </c>
      <c r="K602" s="24"/>
      <c r="L602" s="24">
        <f t="shared" si="2"/>
        <v>1</v>
      </c>
      <c r="M602" s="24"/>
      <c r="N602" s="24"/>
      <c r="O602" s="24"/>
      <c r="P602" s="25"/>
      <c r="Q602" s="25"/>
      <c r="R602" s="25"/>
      <c r="S602" s="25"/>
      <c r="T602" s="25"/>
      <c r="U602" s="25"/>
      <c r="V602" s="25"/>
      <c r="W602" s="25"/>
      <c r="X602" s="25"/>
      <c r="Y602" s="25"/>
      <c r="Z602" s="25"/>
      <c r="AA602" s="25"/>
      <c r="AB602" s="25"/>
      <c r="AC602" s="25"/>
    </row>
    <row r="603">
      <c r="A603" s="24" t="str">
        <f>'DE ( Tarik barang retur )'!AC580</f>
        <v>AWBR-3316403095-01</v>
      </c>
      <c r="B603" s="24" t="str">
        <f>'DE ( Tarik barang retur )'!F580</f>
        <v>Apotek Sola Gracia Dadap Kosambi</v>
      </c>
      <c r="C603" s="35">
        <f>'DE ( Tarik barang retur )'!G580</f>
        <v>6.28199E+17</v>
      </c>
      <c r="D603" s="24" t="str">
        <f>'DE ( Tarik barang retur )'!H580</f>
        <v>Jalan Raya Prancis Villa Taman Bandara N7 Nomor 9 RT. 004 RW. 012 Kelurahan Dadap, Kecamatan Kosambi, Kabupaten Tangerang, Banten 15211</v>
      </c>
      <c r="E603" s="24" t="str">
        <f>'DE ( Tarik barang retur )'!D580</f>
        <v>26052501141221gClmgOd362</v>
      </c>
      <c r="F603" s="24" t="str">
        <f>'DE ( Tarik barang retur )'!R580</f>
        <v>MOLOCO B12 Darya-Varia TABLET</v>
      </c>
      <c r="G603" s="36">
        <f>'DE ( Tarik barang retur )'!AF580</f>
        <v>46183</v>
      </c>
      <c r="H603" s="22">
        <v>46184.0</v>
      </c>
      <c r="I603" s="22">
        <v>46185.0</v>
      </c>
      <c r="J603" s="21" t="s">
        <v>5294</v>
      </c>
      <c r="K603" s="24"/>
      <c r="L603" s="24">
        <f t="shared" si="2"/>
        <v>1</v>
      </c>
      <c r="M603" s="24"/>
      <c r="N603" s="24"/>
      <c r="O603" s="24"/>
      <c r="P603" s="25"/>
      <c r="Q603" s="25"/>
      <c r="R603" s="25"/>
      <c r="S603" s="25"/>
      <c r="T603" s="25"/>
      <c r="U603" s="25"/>
      <c r="V603" s="25"/>
      <c r="W603" s="25"/>
      <c r="X603" s="25"/>
      <c r="Y603" s="25"/>
      <c r="Z603" s="25"/>
      <c r="AA603" s="25"/>
      <c r="AB603" s="25"/>
      <c r="AC603" s="25"/>
    </row>
    <row r="604">
      <c r="A604" s="24" t="str">
        <f>'DE ( Tarik barang retur )'!AC581</f>
        <v>AWBR-3316400317-01</v>
      </c>
      <c r="B604" s="24" t="str">
        <f>'DE ( Tarik barang retur )'!F581</f>
        <v>Apotek Terang Embun</v>
      </c>
      <c r="C604" s="35">
        <f>'DE ( Tarik barang retur )'!G581</f>
        <v>6.28129E+17</v>
      </c>
      <c r="D604" s="24" t="str">
        <f>'DE ( Tarik barang retur )'!H581</f>
        <v>Cluster Jesisca 3, Blk. R No.3, Peusar, Kec. Panongan, Kab. Tangerang 15710</v>
      </c>
      <c r="E604" s="24" t="str">
        <f>'DE ( Tarik barang retur )'!D581</f>
        <v>26052401371984JMs2Q5tGy</v>
      </c>
      <c r="F604" s="24" t="str">
        <f>'DE ( Tarik barang retur )'!R581</f>
        <v>RHINOFED Dexa Medica SIRUP</v>
      </c>
      <c r="G604" s="36">
        <f>'DE ( Tarik barang retur )'!AF581</f>
        <v>46183</v>
      </c>
      <c r="H604" s="22">
        <v>46184.0</v>
      </c>
      <c r="I604" s="22">
        <v>46185.0</v>
      </c>
      <c r="J604" s="21" t="s">
        <v>5294</v>
      </c>
      <c r="K604" s="24"/>
      <c r="L604" s="24">
        <f t="shared" si="2"/>
        <v>1</v>
      </c>
      <c r="M604" s="24"/>
      <c r="N604" s="24"/>
      <c r="O604" s="24"/>
      <c r="P604" s="25"/>
      <c r="Q604" s="25"/>
      <c r="R604" s="25"/>
      <c r="S604" s="25"/>
      <c r="T604" s="25"/>
      <c r="U604" s="25"/>
      <c r="V604" s="25"/>
      <c r="W604" s="25"/>
      <c r="X604" s="25"/>
      <c r="Y604" s="25"/>
      <c r="Z604" s="25"/>
      <c r="AA604" s="25"/>
      <c r="AB604" s="25"/>
      <c r="AC604" s="25"/>
    </row>
    <row r="605">
      <c r="A605" s="24" t="str">
        <f>'DE ( Tarik barang retur )'!AC582</f>
        <v>AWBR-3316412725-01</v>
      </c>
      <c r="B605" s="24" t="str">
        <f>'DE ( Tarik barang retur )'!F582</f>
        <v>Apotek Titik Sehat Medang Pagedangan</v>
      </c>
      <c r="C605" s="35">
        <f>'DE ( Tarik barang retur )'!G582</f>
        <v>6.28778E+17</v>
      </c>
      <c r="D605" s="24" t="str">
        <f>'DE ( Tarik barang retur )'!H582</f>
        <v>Ruko Melody 2, Blok/Nomor : MLDD/001 Kelurahan/Desa Medang Kecamatan Pagedangan Kabupaten Tangerang</v>
      </c>
      <c r="E605" s="24" t="str">
        <f>'DE ( Tarik barang retur )'!D582</f>
        <v>26011413541925kQPMp30W</v>
      </c>
      <c r="F605" s="24" t="str">
        <f>'DE ( Tarik barang retur )'!R582</f>
        <v>OXYCAN GREEN Samator Gas</v>
      </c>
      <c r="G605" s="36">
        <f>'DE ( Tarik barang retur )'!AF582</f>
        <v>46183</v>
      </c>
      <c r="H605" s="22">
        <v>46185.0</v>
      </c>
      <c r="I605" s="22">
        <v>46187.0</v>
      </c>
      <c r="J605" s="21" t="s">
        <v>5294</v>
      </c>
      <c r="K605" s="24"/>
      <c r="L605" s="24">
        <f t="shared" si="2"/>
        <v>1</v>
      </c>
      <c r="M605" s="24"/>
      <c r="N605" s="24"/>
      <c r="O605" s="24"/>
      <c r="P605" s="25"/>
      <c r="Q605" s="25"/>
      <c r="R605" s="25"/>
      <c r="S605" s="25"/>
      <c r="T605" s="25"/>
      <c r="U605" s="25"/>
      <c r="V605" s="25"/>
      <c r="W605" s="25"/>
      <c r="X605" s="25"/>
      <c r="Y605" s="25"/>
      <c r="Z605" s="25"/>
      <c r="AA605" s="25"/>
      <c r="AB605" s="25"/>
      <c r="AC605" s="25"/>
    </row>
    <row r="606">
      <c r="A606" s="24" t="str">
        <f>'DE ( Tarik barang retur )'!AC583</f>
        <v>AWBR-3315448557-01</v>
      </c>
      <c r="B606" s="24" t="str">
        <f>'DE ( Tarik barang retur )'!F583</f>
        <v>Apotek Tugu Asem</v>
      </c>
      <c r="C606" s="35">
        <f>'DE ( Tarik barang retur )'!G583</f>
        <v>81288242508</v>
      </c>
      <c r="D606" s="24" t="str">
        <f>'DE ( Tarik barang retur )'!H583</f>
        <v>Kp. Ciketing Asem Jaya RT. 001 RW. 006 No. 70 Kel. Mustika Jaya Kec. Mustika Jaya, Kota Bekasi</v>
      </c>
      <c r="E606" s="24" t="str">
        <f>'DE ( Tarik barang retur )'!D583</f>
        <v>26060501243139JWsh71zynZ</v>
      </c>
      <c r="F606" s="24" t="str">
        <f>'DE ( Tarik barang retur )'!R583</f>
        <v>FOLAMIL GENIO Dexa Medica KAPSUL</v>
      </c>
      <c r="G606" s="36">
        <f>'DE ( Tarik barang retur )'!AF583</f>
        <v>46183</v>
      </c>
      <c r="H606" s="22">
        <v>46183.0</v>
      </c>
      <c r="I606" s="22">
        <v>46184.0</v>
      </c>
      <c r="J606" s="21" t="s">
        <v>5294</v>
      </c>
      <c r="K606" s="24"/>
      <c r="L606" s="24">
        <f t="shared" si="2"/>
        <v>1</v>
      </c>
      <c r="M606" s="24"/>
      <c r="N606" s="24"/>
      <c r="O606" s="24"/>
      <c r="P606" s="25"/>
      <c r="Q606" s="25"/>
      <c r="R606" s="25"/>
      <c r="S606" s="25"/>
      <c r="T606" s="25"/>
      <c r="U606" s="25"/>
      <c r="V606" s="25"/>
      <c r="W606" s="25"/>
      <c r="X606" s="25"/>
      <c r="Y606" s="25"/>
      <c r="Z606" s="25"/>
      <c r="AA606" s="25"/>
      <c r="AB606" s="25"/>
      <c r="AC606" s="25"/>
    </row>
    <row r="607">
      <c r="A607" s="24" t="str">
        <f>'DE ( Tarik barang retur )'!AC584</f>
        <v>AWBR-3316408096-01</v>
      </c>
      <c r="B607" s="24" t="str">
        <f>'DE ( Tarik barang retur )'!F584</f>
        <v>Apotek Tumbuh Sehat Mekar Jaya Sukmajaya</v>
      </c>
      <c r="C607" s="35">
        <f>'DE ( Tarik barang retur )'!G584</f>
        <v>6.28132E+17</v>
      </c>
      <c r="D607" s="24" t="str">
        <f>'DE ( Tarik barang retur )'!H584</f>
        <v>Jl. Tole iskandar No 12A RT 001/001 Kel. Mekarjaya Kec. Sukmajaya Depok 16411</v>
      </c>
      <c r="E607" s="24" t="str">
        <f>'DE ( Tarik barang retur )'!D584</f>
        <v>26052902550601EoPuRVczA</v>
      </c>
      <c r="F607" s="24" t="str">
        <f>'DE ( Tarik barang retur )'!R584</f>
        <v>DIPROGENTA Organon SALEP</v>
      </c>
      <c r="G607" s="36">
        <f>'DE ( Tarik barang retur )'!AF584</f>
        <v>46183</v>
      </c>
      <c r="H607" s="22">
        <v>46183.0</v>
      </c>
      <c r="I607" s="22">
        <v>46185.0</v>
      </c>
      <c r="J607" s="21" t="s">
        <v>5294</v>
      </c>
      <c r="K607" s="24"/>
      <c r="L607" s="24">
        <f t="shared" si="2"/>
        <v>1</v>
      </c>
      <c r="M607" s="24"/>
      <c r="N607" s="24"/>
      <c r="O607" s="24"/>
      <c r="P607" s="25"/>
      <c r="Q607" s="25"/>
      <c r="R607" s="25"/>
      <c r="S607" s="25"/>
      <c r="T607" s="25"/>
      <c r="U607" s="25"/>
      <c r="V607" s="25"/>
      <c r="W607" s="25"/>
      <c r="X607" s="25"/>
      <c r="Y607" s="25"/>
      <c r="Z607" s="25"/>
      <c r="AA607" s="25"/>
      <c r="AB607" s="25"/>
      <c r="AC607" s="25"/>
    </row>
    <row r="608">
      <c r="A608" s="24" t="str">
        <f>'DE ( Tarik barang retur )'!AC585</f>
        <v>AWBR-3315212273-01</v>
      </c>
      <c r="B608" s="24" t="str">
        <f>'DE ( Tarik barang retur )'!F585</f>
        <v>Apotek Unggul Jaya</v>
      </c>
      <c r="C608" s="35">
        <f>'DE ( Tarik barang retur )'!G585</f>
        <v>6.28132E+17</v>
      </c>
      <c r="D608" s="24" t="str">
        <f>'DE ( Tarik barang retur )'!H585</f>
        <v>Kp. Kadu RT/RW 001/001 Kel. Kadu, Kec. Curug, Kab. Tangerang 15810</v>
      </c>
      <c r="E608" s="24" t="str">
        <f>'DE ( Tarik barang retur )'!D585</f>
        <v>AWBR-3315212273</v>
      </c>
      <c r="F608" s="24" t="str">
        <f>'DE ( Tarik barang retur )'!R585</f>
        <v>JANUMET MSD TABLET 50/500 MG</v>
      </c>
      <c r="G608" s="36">
        <f>'DE ( Tarik barang retur )'!AF585</f>
        <v>46183</v>
      </c>
      <c r="H608" s="22">
        <v>46184.0</v>
      </c>
      <c r="I608" s="22">
        <v>46185.0</v>
      </c>
      <c r="J608" s="21" t="s">
        <v>5294</v>
      </c>
      <c r="K608" s="24"/>
      <c r="L608" s="24">
        <f t="shared" si="2"/>
        <v>1</v>
      </c>
      <c r="M608" s="24"/>
      <c r="N608" s="24"/>
      <c r="O608" s="24"/>
      <c r="P608" s="25"/>
      <c r="Q608" s="25"/>
      <c r="R608" s="25"/>
      <c r="S608" s="25"/>
      <c r="T608" s="25"/>
      <c r="U608" s="25"/>
      <c r="V608" s="25"/>
      <c r="W608" s="25"/>
      <c r="X608" s="25"/>
      <c r="Y608" s="25"/>
      <c r="Z608" s="25"/>
      <c r="AA608" s="25"/>
      <c r="AB608" s="25"/>
      <c r="AC608" s="25"/>
    </row>
    <row r="609">
      <c r="A609" s="24" t="str">
        <f>'DE ( Tarik barang retur )'!AC586</f>
        <v>AWBR-3314648308-01</v>
      </c>
      <c r="B609" s="24" t="str">
        <f>'DE ( Tarik barang retur )'!F586</f>
        <v>Apotek W4H Farma</v>
      </c>
      <c r="C609" s="35">
        <f>'DE ( Tarik barang retur )'!G586</f>
        <v>85237305596</v>
      </c>
      <c r="D609" s="24" t="str">
        <f>'DE ( Tarik barang retur )'!H586</f>
        <v>Jalan Raya Cibarusah Desa Cibarusah Kota Kecamatan Cibarusah Kabupaten Bekasi 17340</v>
      </c>
      <c r="E609" s="24" t="str">
        <f>'DE ( Tarik barang retur )'!D586</f>
        <v>25080506191227TZBs2Ig0I</v>
      </c>
      <c r="F609" s="24" t="str">
        <f>'DE ( Tarik barang retur )'!R586</f>
        <v>CITICOLINE Novell KAPLET 1000 MG</v>
      </c>
      <c r="G609" s="36">
        <f>'DE ( Tarik barang retur )'!AF586</f>
        <v>46183</v>
      </c>
      <c r="H609" s="22">
        <v>46184.0</v>
      </c>
      <c r="I609" s="22">
        <v>46184.0</v>
      </c>
      <c r="J609" s="21" t="s">
        <v>5294</v>
      </c>
      <c r="K609" s="24"/>
      <c r="L609" s="24">
        <f t="shared" si="2"/>
        <v>1</v>
      </c>
      <c r="M609" s="24"/>
      <c r="N609" s="24"/>
      <c r="O609" s="24"/>
      <c r="P609" s="25"/>
      <c r="Q609" s="25"/>
      <c r="R609" s="25"/>
      <c r="S609" s="25"/>
      <c r="T609" s="25"/>
      <c r="U609" s="25"/>
      <c r="V609" s="25"/>
      <c r="W609" s="25"/>
      <c r="X609" s="25"/>
      <c r="Y609" s="25"/>
      <c r="Z609" s="25"/>
      <c r="AA609" s="25"/>
      <c r="AB609" s="25"/>
      <c r="AC609" s="25"/>
    </row>
    <row r="610">
      <c r="A610" s="24" t="str">
        <f>'DE ( Tarik barang retur )'!AC587</f>
        <v>AWBR-3316409260-01</v>
      </c>
      <c r="B610" s="24" t="str">
        <f>'DE ( Tarik barang retur )'!F587</f>
        <v>Apotek Wijayakusuma</v>
      </c>
      <c r="C610" s="35">
        <f>'DE ( Tarik barang retur )'!G587</f>
        <v>6.28132E+17</v>
      </c>
      <c r="D610" s="24" t="str">
        <f>'DE ( Tarik barang retur )'!H587</f>
        <v>Perum Dasana Indah Blok RD 1 No. 18 A Kelurahan/Desa Bojong Nangka,Kecamatan Kelapa Dua,Kabupaten Tangerang,Banten,15810</v>
      </c>
      <c r="E610" s="24" t="str">
        <f>'DE ( Tarik barang retur )'!D587</f>
        <v>26060101203720ejXr9X8aKw</v>
      </c>
      <c r="F610" s="24" t="str">
        <f>'DE ( Tarik barang retur )'!R587</f>
        <v>PANTOPUMP 40 Interbat KAPLET 40 MG</v>
      </c>
      <c r="G610" s="36">
        <f>'DE ( Tarik barang retur )'!AF587</f>
        <v>46183</v>
      </c>
      <c r="H610" s="22">
        <v>46184.0</v>
      </c>
      <c r="I610" s="22">
        <v>46186.0</v>
      </c>
      <c r="J610" s="21" t="s">
        <v>5294</v>
      </c>
      <c r="K610" s="24"/>
      <c r="L610" s="24">
        <f t="shared" si="2"/>
        <v>1</v>
      </c>
      <c r="M610" s="24"/>
      <c r="N610" s="24"/>
      <c r="O610" s="24"/>
      <c r="P610" s="25"/>
      <c r="Q610" s="25"/>
      <c r="R610" s="25"/>
      <c r="S610" s="25"/>
      <c r="T610" s="25"/>
      <c r="U610" s="25"/>
      <c r="V610" s="25"/>
      <c r="W610" s="25"/>
      <c r="X610" s="25"/>
      <c r="Y610" s="25"/>
      <c r="Z610" s="25"/>
      <c r="AA610" s="25"/>
      <c r="AB610" s="25"/>
      <c r="AC610" s="25"/>
    </row>
    <row r="611">
      <c r="A611" s="24" t="str">
        <f>'DE ( Tarik barang retur )'!AC588</f>
        <v>AWBR-3316295613-01</v>
      </c>
      <c r="B611" s="24" t="str">
        <f>'DE ( Tarik barang retur )'!F588</f>
        <v>Apotek Yesha Farma Sukajaya Cibitung</v>
      </c>
      <c r="C611" s="35">
        <f>'DE ( Tarik barang retur )'!G588</f>
        <v>81296139740</v>
      </c>
      <c r="D611" s="24" t="str">
        <f>'DE ( Tarik barang retur )'!H588</f>
        <v>Perum Puri Lestari Ruko Blok C6 No. 8 desa Sukajaya Kec. Cibitung Kab. Bekasi 17520</v>
      </c>
      <c r="E611" s="24" t="str">
        <f>'DE ( Tarik barang retur )'!D588</f>
        <v>26052400533712SG2sHWSej</v>
      </c>
      <c r="F611" s="24" t="str">
        <f>'DE ( Tarik barang retur )'!R588</f>
        <v>COUNTERPAIN Taisho KRIM</v>
      </c>
      <c r="G611" s="36">
        <f>'DE ( Tarik barang retur )'!AF588</f>
        <v>46183</v>
      </c>
      <c r="H611" s="22">
        <v>46184.0</v>
      </c>
      <c r="I611" s="22">
        <v>46184.0</v>
      </c>
      <c r="J611" s="21" t="s">
        <v>5294</v>
      </c>
      <c r="K611" s="24"/>
      <c r="L611" s="24">
        <f t="shared" si="2"/>
        <v>1</v>
      </c>
      <c r="M611" s="24"/>
      <c r="N611" s="24"/>
      <c r="O611" s="24"/>
      <c r="P611" s="25"/>
      <c r="Q611" s="25"/>
      <c r="R611" s="25"/>
      <c r="S611" s="25"/>
      <c r="T611" s="25"/>
      <c r="U611" s="25"/>
      <c r="V611" s="25"/>
      <c r="W611" s="25"/>
      <c r="X611" s="25"/>
      <c r="Y611" s="25"/>
      <c r="Z611" s="25"/>
      <c r="AA611" s="25"/>
      <c r="AB611" s="25"/>
      <c r="AC611" s="25"/>
    </row>
    <row r="612">
      <c r="A612" s="24" t="str">
        <f>'DE ( Tarik barang retur )'!AC589</f>
        <v>AWBR-3314641536-01</v>
      </c>
      <c r="B612" s="24" t="str">
        <f>'DE ( Tarik barang retur )'!F589</f>
        <v>Apotek Yessa Farma</v>
      </c>
      <c r="C612" s="35">
        <f>'DE ( Tarik barang retur )'!G589</f>
        <v>81219562470</v>
      </c>
      <c r="D612" s="24" t="str">
        <f>'DE ( Tarik barang retur )'!H589</f>
        <v>Jalan Jatijajar I RT 03 RW 02 Kelurahan Jatijajar Kecamatan Tapos Kota Depok 16454</v>
      </c>
      <c r="E612" s="24" t="str">
        <f>'DE ( Tarik barang retur )'!D589</f>
        <v>26060312532154XlnN1Sv7s</v>
      </c>
      <c r="F612" s="24" t="str">
        <f>'DE ( Tarik barang retur )'!R589</f>
        <v>KOLKATRIOL Phapros KAPSUL 0.25 MCG</v>
      </c>
      <c r="G612" s="36">
        <f>'DE ( Tarik barang retur )'!AF589</f>
        <v>46183</v>
      </c>
      <c r="H612" s="22">
        <v>46183.0</v>
      </c>
      <c r="I612" s="22">
        <v>46184.0</v>
      </c>
      <c r="J612" s="21" t="s">
        <v>5294</v>
      </c>
      <c r="K612" s="24"/>
      <c r="L612" s="24">
        <f t="shared" si="2"/>
        <v>1</v>
      </c>
      <c r="M612" s="24"/>
      <c r="N612" s="24"/>
      <c r="O612" s="24"/>
      <c r="P612" s="25"/>
      <c r="Q612" s="25"/>
      <c r="R612" s="25"/>
      <c r="S612" s="25"/>
      <c r="T612" s="25"/>
      <c r="U612" s="25"/>
      <c r="V612" s="25"/>
      <c r="W612" s="25"/>
      <c r="X612" s="25"/>
      <c r="Y612" s="25"/>
      <c r="Z612" s="25"/>
      <c r="AA612" s="25"/>
      <c r="AB612" s="25"/>
      <c r="AC612" s="25"/>
    </row>
    <row r="613">
      <c r="A613" s="24" t="str">
        <f>'DE ( Tarik barang retur )'!AC590</f>
        <v>AWBR-3312596108-01</v>
      </c>
      <c r="B613" s="24" t="str">
        <f>'DE ( Tarik barang retur )'!F590</f>
        <v>Apotekita</v>
      </c>
      <c r="C613" s="35">
        <f>'DE ( Tarik barang retur )'!G590</f>
        <v>6.28191E+17</v>
      </c>
      <c r="D613" s="24" t="str">
        <f>'DE ( Tarik barang retur )'!H590</f>
        <v>Ruko Elang Laut Boulevard Blok A-11, Jl. Pantai Indah Selatan, Kel. Kamal Muara, Kec. Penjaringan, Jakarta Utara, Provinsi DKI Jakarta,14470</v>
      </c>
      <c r="E613" s="24" t="str">
        <f>'DE ( Tarik barang retur )'!D590</f>
        <v>26060210180532HcQkeBhuK</v>
      </c>
      <c r="F613" s="24" t="str">
        <f>'DE ( Tarik barang retur )'!R590</f>
        <v>CURVIT CL EMULSION Soho EMULSI</v>
      </c>
      <c r="G613" s="36">
        <f>'DE ( Tarik barang retur )'!AF590</f>
        <v>46183</v>
      </c>
      <c r="H613" s="22">
        <v>46184.0</v>
      </c>
      <c r="I613" s="22">
        <v>46185.0</v>
      </c>
      <c r="J613" s="21" t="s">
        <v>5294</v>
      </c>
      <c r="K613" s="24"/>
      <c r="L613" s="24">
        <f t="shared" si="2"/>
        <v>1</v>
      </c>
      <c r="M613" s="24"/>
      <c r="N613" s="24"/>
      <c r="O613" s="24"/>
      <c r="P613" s="25"/>
      <c r="Q613" s="25"/>
      <c r="R613" s="25"/>
      <c r="S613" s="25"/>
      <c r="T613" s="25"/>
      <c r="U613" s="25"/>
      <c r="V613" s="25"/>
      <c r="W613" s="25"/>
      <c r="X613" s="25"/>
      <c r="Y613" s="25"/>
      <c r="Z613" s="25"/>
      <c r="AA613" s="25"/>
      <c r="AB613" s="25"/>
      <c r="AC613" s="25"/>
    </row>
    <row r="614">
      <c r="A614" s="24" t="str">
        <f>'DE ( Tarik barang retur )'!AC591</f>
        <v>AWBR-3315222074-01</v>
      </c>
      <c r="B614" s="24" t="str">
        <f>'DE ( Tarik barang retur )'!F591</f>
        <v>Apotekita</v>
      </c>
      <c r="C614" s="35">
        <f>'DE ( Tarik barang retur )'!G591</f>
        <v>6.28191E+17</v>
      </c>
      <c r="D614" s="24" t="str">
        <f>'DE ( Tarik barang retur )'!H591</f>
        <v>Ruko Elang Laut Boulevard Blok A-11, Jl. Pantai Indah Selatan, Kel. Kamal Muara, Kec. Penjaringan, Jakarta Utara, Provinsi DKI Jakarta,14470</v>
      </c>
      <c r="E614" s="24" t="str">
        <f>'DE ( Tarik barang retur )'!D591</f>
        <v>AWBR-3315222074</v>
      </c>
      <c r="F614" s="24" t="str">
        <f>'DE ( Tarik barang retur )'!R591</f>
        <v>HOMOCLOMIN Eisai TABLET 10 MG</v>
      </c>
      <c r="G614" s="36">
        <f>'DE ( Tarik barang retur )'!AF591</f>
        <v>46183</v>
      </c>
      <c r="H614" s="22">
        <v>46184.0</v>
      </c>
      <c r="I614" s="22">
        <v>46185.0</v>
      </c>
      <c r="J614" s="21" t="s">
        <v>5294</v>
      </c>
      <c r="K614" s="24"/>
      <c r="L614" s="24">
        <f t="shared" si="2"/>
        <v>1</v>
      </c>
      <c r="M614" s="24"/>
      <c r="N614" s="24"/>
      <c r="O614" s="24"/>
      <c r="P614" s="25"/>
      <c r="Q614" s="25"/>
      <c r="R614" s="25"/>
      <c r="S614" s="25"/>
      <c r="T614" s="25"/>
      <c r="U614" s="25"/>
      <c r="V614" s="25"/>
      <c r="W614" s="25"/>
      <c r="X614" s="25"/>
      <c r="Y614" s="25"/>
      <c r="Z614" s="25"/>
      <c r="AA614" s="25"/>
      <c r="AB614" s="25"/>
      <c r="AC614" s="25"/>
    </row>
    <row r="615">
      <c r="A615" s="24" t="str">
        <f>'DE ( Tarik barang retur )'!AC592</f>
        <v>AWBR-3316411931-01</v>
      </c>
      <c r="B615" s="24" t="str">
        <f>'DE ( Tarik barang retur )'!F592</f>
        <v>Apotekita</v>
      </c>
      <c r="C615" s="35">
        <f>'DE ( Tarik barang retur )'!G592</f>
        <v>6.28191E+17</v>
      </c>
      <c r="D615" s="24" t="str">
        <f>'DE ( Tarik barang retur )'!H592</f>
        <v>Ruko Elang Laut Boulevard Blok A-11, Jl. Pantai Indah Selatan, Kel. Kamal Muara, Kec. Penjaringan, Jakarta Utara, Provinsi DKI Jakarta,14470</v>
      </c>
      <c r="E615" s="24" t="str">
        <f>'DE ( Tarik barang retur )'!D592</f>
        <v>24050704520303UWuJ3CzHAx</v>
      </c>
      <c r="F615" s="24" t="str">
        <f>'DE ( Tarik barang retur )'!R592</f>
        <v>ACNOL GEL FOR ACNE John Francis Laboratories</v>
      </c>
      <c r="G615" s="36">
        <f>'DE ( Tarik barang retur )'!AF592</f>
        <v>46183</v>
      </c>
      <c r="H615" s="22">
        <v>46184.0</v>
      </c>
      <c r="I615" s="22">
        <v>46185.0</v>
      </c>
      <c r="J615" s="21" t="s">
        <v>5294</v>
      </c>
      <c r="K615" s="24"/>
      <c r="L615" s="24">
        <f t="shared" si="2"/>
        <v>1</v>
      </c>
      <c r="M615" s="24"/>
      <c r="N615" s="24"/>
      <c r="O615" s="24"/>
      <c r="P615" s="25"/>
      <c r="Q615" s="25"/>
      <c r="R615" s="25"/>
      <c r="S615" s="25"/>
      <c r="T615" s="25"/>
      <c r="U615" s="25"/>
      <c r="V615" s="25"/>
      <c r="W615" s="25"/>
      <c r="X615" s="25"/>
      <c r="Y615" s="25"/>
      <c r="Z615" s="25"/>
      <c r="AA615" s="25"/>
      <c r="AB615" s="25"/>
      <c r="AC615" s="25"/>
    </row>
    <row r="616">
      <c r="A616" s="24" t="str">
        <f>'DE ( Tarik barang retur )'!AC593</f>
        <v>AWBR-3316413126-01</v>
      </c>
      <c r="B616" s="24" t="str">
        <f>'DE ( Tarik barang retur )'!F593</f>
        <v>Apotekita</v>
      </c>
      <c r="C616" s="35">
        <f>'DE ( Tarik barang retur )'!G593</f>
        <v>6.28191E+17</v>
      </c>
      <c r="D616" s="24" t="str">
        <f>'DE ( Tarik barang retur )'!H593</f>
        <v>Ruko Elang Laut Boulevard Blok A-11, Jl. Pantai Indah Selatan, Kel. Kamal Muara, Kec. Penjaringan, Jakarta Utara, Provinsi DKI Jakarta,14470</v>
      </c>
      <c r="E616" s="24" t="str">
        <f>'DE ( Tarik barang retur )'!D593</f>
        <v>26053114193571j6PirlywH</v>
      </c>
      <c r="F616" s="24" t="str">
        <f>'DE ( Tarik barang retur )'!R593</f>
        <v>SISTENOL Dexa Medica KAPLET 500/200 MG</v>
      </c>
      <c r="G616" s="36">
        <f>'DE ( Tarik barang retur )'!AF593</f>
        <v>46183</v>
      </c>
      <c r="H616" s="22">
        <v>46184.0</v>
      </c>
      <c r="I616" s="22">
        <v>46185.0</v>
      </c>
      <c r="J616" s="21" t="s">
        <v>5294</v>
      </c>
      <c r="K616" s="24"/>
      <c r="L616" s="24">
        <f t="shared" si="2"/>
        <v>1</v>
      </c>
      <c r="M616" s="24"/>
      <c r="N616" s="24"/>
      <c r="O616" s="24"/>
      <c r="P616" s="25"/>
      <c r="Q616" s="25"/>
      <c r="R616" s="25"/>
      <c r="S616" s="25"/>
      <c r="T616" s="25"/>
      <c r="U616" s="25"/>
      <c r="V616" s="25"/>
      <c r="W616" s="25"/>
      <c r="X616" s="25"/>
      <c r="Y616" s="25"/>
      <c r="Z616" s="25"/>
      <c r="AA616" s="25"/>
      <c r="AB616" s="25"/>
      <c r="AC616" s="25"/>
    </row>
    <row r="617">
      <c r="A617" s="24" t="str">
        <f>'DE ( Tarik barang retur )'!AC594</f>
        <v>AWBR-3315242809-01</v>
      </c>
      <c r="B617" s="24" t="str">
        <f>'DE ( Tarik barang retur )'!F594</f>
        <v>Indo Apotek Pisangan Jaya Sepatan</v>
      </c>
      <c r="C617" s="35">
        <f>'DE ( Tarik barang retur )'!G594</f>
        <v>6.28577E+17</v>
      </c>
      <c r="D617" s="24" t="str">
        <f>'DE ( Tarik barang retur )'!H594</f>
        <v>Jl. Raya Mauk Perum Gardenia Kelurahan/Desa Pisangan Jaya Kecamatan Sepatan Kabupaten Tangerang,Banten,15520</v>
      </c>
      <c r="E617" s="24" t="str">
        <f>'DE ( Tarik barang retur )'!D594</f>
        <v>AWBR-3315242809</v>
      </c>
      <c r="F617" s="24" t="str">
        <f>'DE ( Tarik barang retur )'!R594</f>
        <v>REDOXON FORTIMUN Bayer TABLET EFFERVESCENT</v>
      </c>
      <c r="G617" s="36">
        <f>'DE ( Tarik barang retur )'!AF594</f>
        <v>46183</v>
      </c>
      <c r="H617" s="22">
        <v>46184.0</v>
      </c>
      <c r="I617" s="22">
        <v>46186.0</v>
      </c>
      <c r="J617" s="21" t="s">
        <v>5294</v>
      </c>
      <c r="K617" s="24"/>
      <c r="L617" s="24">
        <f t="shared" si="2"/>
        <v>1</v>
      </c>
      <c r="M617" s="24"/>
      <c r="N617" s="24"/>
      <c r="O617" s="24"/>
      <c r="P617" s="25"/>
      <c r="Q617" s="25"/>
      <c r="R617" s="25"/>
      <c r="S617" s="25"/>
      <c r="T617" s="25"/>
      <c r="U617" s="25"/>
      <c r="V617" s="25"/>
      <c r="W617" s="25"/>
      <c r="X617" s="25"/>
      <c r="Y617" s="25"/>
      <c r="Z617" s="25"/>
      <c r="AA617" s="25"/>
      <c r="AB617" s="25"/>
      <c r="AC617" s="25"/>
    </row>
    <row r="618">
      <c r="A618" s="24" t="str">
        <f>'DE ( Tarik barang retur )'!AC595</f>
        <v>AWBR-3315246727-01</v>
      </c>
      <c r="B618" s="24" t="str">
        <f>'DE ( Tarik barang retur )'!F595</f>
        <v>Klinik Pratama Citama Cipayung Bojong Pondok Terong Cipayung</v>
      </c>
      <c r="C618" s="35">
        <f>'DE ( Tarik barang retur )'!G595</f>
        <v>81381221770</v>
      </c>
      <c r="D618" s="24" t="str">
        <f>'DE ( Tarik barang retur )'!H595</f>
        <v>Jl. Raya Cipayung No. 27,RT.001 RW.007,Desa/Kelurahan Bojong Pondok Terong,Kecamatan Cipayung,Kota Depok,Jawa Barat,16436</v>
      </c>
      <c r="E618" s="24" t="str">
        <f>'DE ( Tarik barang retur )'!D595</f>
        <v>26060404023244cRc0aFlZ</v>
      </c>
      <c r="F618" s="24" t="str">
        <f>'DE ( Tarik barang retur )'!R595</f>
        <v>NYSTATIN Bernofarm DROPS</v>
      </c>
      <c r="G618" s="36">
        <f>'DE ( Tarik barang retur )'!AF595</f>
        <v>46183</v>
      </c>
      <c r="H618" s="22">
        <v>46184.0</v>
      </c>
      <c r="I618" s="22">
        <v>46186.0</v>
      </c>
      <c r="J618" s="21" t="s">
        <v>5294</v>
      </c>
      <c r="K618" s="24"/>
      <c r="L618" s="24">
        <f t="shared" si="2"/>
        <v>1</v>
      </c>
      <c r="M618" s="24"/>
      <c r="N618" s="24"/>
      <c r="O618" s="24"/>
      <c r="P618" s="25"/>
      <c r="Q618" s="25"/>
      <c r="R618" s="25"/>
      <c r="S618" s="25"/>
      <c r="T618" s="25"/>
      <c r="U618" s="25"/>
      <c r="V618" s="25"/>
      <c r="W618" s="25"/>
      <c r="X618" s="25"/>
      <c r="Y618" s="25"/>
      <c r="Z618" s="25"/>
      <c r="AA618" s="25"/>
      <c r="AB618" s="25"/>
      <c r="AC618" s="25"/>
    </row>
    <row r="619">
      <c r="A619" s="24" t="str">
        <f>'DE ( Tarik barang retur )'!AC596</f>
        <v>AWBR-3315248114-01</v>
      </c>
      <c r="B619" s="24" t="str">
        <f>'DE ( Tarik barang retur )'!F596</f>
        <v>Klinik Pratama Citama Cipayung Bojong Pondok Terong Cipayung</v>
      </c>
      <c r="C619" s="35">
        <f>'DE ( Tarik barang retur )'!G596</f>
        <v>81381221770</v>
      </c>
      <c r="D619" s="24" t="str">
        <f>'DE ( Tarik barang retur )'!H596</f>
        <v>Jl. Raya Cipayung No. 27,RT.001 RW.007,Desa/Kelurahan Bojong Pondok Terong,Kecamatan Cipayung,Kota Depok,Jawa Barat,16436</v>
      </c>
      <c r="E619" s="24" t="str">
        <f>'DE ( Tarik barang retur )'!D596</f>
        <v>26060314341056kZtZA4e4Q</v>
      </c>
      <c r="F619" s="24" t="str">
        <f>'DE ( Tarik barang retur )'!R596</f>
        <v>BISOLVON Aventis SOLUTION
1x NYSTATIN Bernofarm DROPS
2x MADU TJ ORIGINAL Ultrasakti
4x BISOLVON EXTRA Aventis SIRUP
1x LERZIN Ifars DROPS
3x ERLAMYCETIN Erela SALEP MATA
5x APIALYS Lapi SIRUP</v>
      </c>
      <c r="G619" s="36">
        <f>'DE ( Tarik barang retur )'!AF596</f>
        <v>46183</v>
      </c>
      <c r="H619" s="22">
        <v>46184.0</v>
      </c>
      <c r="I619" s="22">
        <v>46186.0</v>
      </c>
      <c r="J619" s="21" t="s">
        <v>5294</v>
      </c>
      <c r="K619" s="24"/>
      <c r="L619" s="24">
        <f t="shared" si="2"/>
        <v>1</v>
      </c>
      <c r="M619" s="24"/>
      <c r="N619" s="24"/>
      <c r="O619" s="24"/>
      <c r="P619" s="25"/>
      <c r="Q619" s="25"/>
      <c r="R619" s="25"/>
      <c r="S619" s="25"/>
      <c r="T619" s="25"/>
      <c r="U619" s="25"/>
      <c r="V619" s="25"/>
      <c r="W619" s="25"/>
      <c r="X619" s="25"/>
      <c r="Y619" s="25"/>
      <c r="Z619" s="25"/>
      <c r="AA619" s="25"/>
      <c r="AB619" s="25"/>
      <c r="AC619" s="25"/>
    </row>
    <row r="620">
      <c r="A620" s="24" t="str">
        <f>'DE ( Tarik barang retur )'!AC597</f>
        <v>AWBR-3315919847-01</v>
      </c>
      <c r="B620" s="24" t="str">
        <f>'DE ( Tarik barang retur )'!F597</f>
        <v>Klinik Pratama Kalya Lena Curug Gn Sindur</v>
      </c>
      <c r="C620" s="35">
        <f>'DE ( Tarik barang retur )'!G597</f>
        <v>6.28822E+17</v>
      </c>
      <c r="D620" s="24" t="str">
        <f>'DE ( Tarik barang retur )'!H597</f>
        <v>Klinik Pratama Rawat Inap Kalya Lena, Jl. Intan 1, RT. 001 RW. 001, Desa/Kel. Curug, Kec. Gunung Sindur, Kab. Bogor</v>
      </c>
      <c r="E620" s="24" t="str">
        <f>'DE ( Tarik barang retur )'!D597</f>
        <v>260605040708150eu4Nk5e2v</v>
      </c>
      <c r="F620" s="24" t="str">
        <f>'DE ( Tarik barang retur )'!R597</f>
        <v>ALLETROL COMPOSITUM Erela SALEP MATA
3x ID124658-1</v>
      </c>
      <c r="G620" s="36">
        <f>'DE ( Tarik barang retur )'!AF597</f>
        <v>46183</v>
      </c>
      <c r="H620" s="22">
        <v>46183.0</v>
      </c>
      <c r="I620" s="22">
        <v>46184.0</v>
      </c>
      <c r="J620" s="21" t="s">
        <v>5294</v>
      </c>
      <c r="K620" s="24"/>
      <c r="L620" s="24">
        <f t="shared" si="2"/>
        <v>1</v>
      </c>
      <c r="M620" s="24"/>
      <c r="N620" s="24"/>
      <c r="O620" s="24"/>
      <c r="P620" s="25"/>
      <c r="Q620" s="25"/>
      <c r="R620" s="25"/>
      <c r="S620" s="25"/>
      <c r="T620" s="25"/>
      <c r="U620" s="25"/>
      <c r="V620" s="25"/>
      <c r="W620" s="25"/>
      <c r="X620" s="25"/>
      <c r="Y620" s="25"/>
      <c r="Z620" s="25"/>
      <c r="AA620" s="25"/>
      <c r="AB620" s="25"/>
      <c r="AC620" s="25"/>
    </row>
    <row r="621">
      <c r="A621" s="24" t="str">
        <f>'DE ( Tarik barang retur )'!AC598</f>
        <v>AWBR-3317147583-01</v>
      </c>
      <c r="B621" s="24" t="str">
        <f>'DE ( Tarik barang retur )'!F598</f>
        <v>Apotek Dunia Berkat</v>
      </c>
      <c r="C621" s="35">
        <f>'DE ( Tarik barang retur )'!G598</f>
        <v>85921532156</v>
      </c>
      <c r="D621" s="24" t="str">
        <f>'DE ( Tarik barang retur )'!H598</f>
        <v>Jl Kedoya Raya Pertokoan Cosmos Blok B No 26 RT 06 RW 07 Kel. Kedoya Utara Kec. Kebon Jeruk Jakarta Barat</v>
      </c>
      <c r="E621" s="24" t="str">
        <f>'DE ( Tarik barang retur )'!D598</f>
        <v>TMP-INV-2026/04/09/ 2618796</v>
      </c>
      <c r="F621" s="24" t="str">
        <f>'DE ( Tarik barang retur )'!R598</f>
        <v>Invoice: TMP-INV-2026/04/09/ 2618796
6x HANSAPLAST SALEP LUKA Beiersdorf Tarik Barang Retur</v>
      </c>
      <c r="G621" s="36">
        <f>'DE ( Tarik barang retur )'!AF598</f>
        <v>46184</v>
      </c>
      <c r="H621" s="22">
        <v>46186.0</v>
      </c>
      <c r="I621" s="22">
        <v>46187.0</v>
      </c>
      <c r="J621" s="21" t="s">
        <v>5294</v>
      </c>
      <c r="K621" s="24"/>
      <c r="L621" s="24"/>
      <c r="M621" s="24"/>
      <c r="N621" s="24"/>
      <c r="O621" s="24"/>
      <c r="P621" s="25"/>
      <c r="Q621" s="25"/>
      <c r="R621" s="25"/>
      <c r="S621" s="25"/>
      <c r="T621" s="25"/>
      <c r="U621" s="25"/>
      <c r="V621" s="25"/>
      <c r="W621" s="25"/>
      <c r="X621" s="25"/>
      <c r="Y621" s="25"/>
      <c r="Z621" s="25"/>
      <c r="AA621" s="25"/>
      <c r="AB621" s="25"/>
      <c r="AC621" s="25"/>
    </row>
    <row r="622">
      <c r="A622" s="24" t="str">
        <f>'DE ( Tarik barang retur )'!AC599</f>
        <v>AWBR-3317766260-01</v>
      </c>
      <c r="B622" s="24" t="str">
        <f>'DE ( Tarik barang retur )'!F599</f>
        <v>Apotek Adinda</v>
      </c>
      <c r="C622" s="35">
        <f>'DE ( Tarik barang retur )'!G599</f>
        <v>81380008951</v>
      </c>
      <c r="D622" s="24" t="str">
        <f>'DE ( Tarik barang retur )'!H599</f>
        <v>Jalan Mayor Oking B/3A Pasar Proyek, Kelurahan Margahayu, Kecamatan Bekasi Timur 17113</v>
      </c>
      <c r="E622" s="24" t="str">
        <f>'DE ( Tarik barang retur )'!D599</f>
        <v>TMP-INV-2026/06/08/ 2832173</v>
      </c>
      <c r="F622" s="24" t="str">
        <f>'DE ( Tarik barang retur )'!R599</f>
        <v>Invoice: TMP-INV-2026/06/08/ 2832173
1x CATAFLAM D Novartis TABLET DISPERSIBLE Tarik Barang Retur</v>
      </c>
      <c r="G622" s="36">
        <f>'DE ( Tarik barang retur )'!AF599</f>
        <v>46184</v>
      </c>
      <c r="H622" s="22">
        <v>46184.0</v>
      </c>
      <c r="I622" s="22">
        <v>46185.0</v>
      </c>
      <c r="J622" s="21" t="s">
        <v>5294</v>
      </c>
      <c r="K622" s="24"/>
      <c r="L622" s="24"/>
      <c r="M622" s="24"/>
      <c r="N622" s="24"/>
      <c r="O622" s="24"/>
      <c r="P622" s="25"/>
      <c r="Q622" s="25"/>
      <c r="R622" s="25"/>
      <c r="S622" s="25"/>
      <c r="T622" s="25"/>
      <c r="U622" s="25"/>
      <c r="V622" s="25"/>
      <c r="W622" s="25"/>
      <c r="X622" s="25"/>
      <c r="Y622" s="25"/>
      <c r="Z622" s="25"/>
      <c r="AA622" s="25"/>
      <c r="AB622" s="25"/>
      <c r="AC622" s="25"/>
    </row>
    <row r="623">
      <c r="A623" s="24" t="str">
        <f>'DE ( Tarik barang retur )'!AC600</f>
        <v>AWBR-3317744859-01</v>
      </c>
      <c r="B623" s="24" t="str">
        <f>'DE ( Tarik barang retur )'!F600</f>
        <v>Apotek Adinda</v>
      </c>
      <c r="C623" s="35">
        <f>'DE ( Tarik barang retur )'!G600</f>
        <v>81380008951</v>
      </c>
      <c r="D623" s="24" t="str">
        <f>'DE ( Tarik barang retur )'!H600</f>
        <v>Jalan Mayor Oking B/3A Pasar Proyek, Kelurahan Margahayu, Kecamatan Bekasi Timur 17113</v>
      </c>
      <c r="E623" s="24" t="str">
        <f>'DE ( Tarik barang retur )'!D600</f>
        <v>TMP-INV-2026/06/06/ 2824913</v>
      </c>
      <c r="F623" s="24" t="str">
        <f>'DE ( Tarik barang retur )'!R600</f>
        <v>Invoice: TMP-INV-2026/06/06/ 2824913
2x ENERVON GOLD Darya-Varia KAPSUL Tarik Barang Retur</v>
      </c>
      <c r="G623" s="36">
        <f>'DE ( Tarik barang retur )'!AF600</f>
        <v>46184</v>
      </c>
      <c r="H623" s="22">
        <v>46184.0</v>
      </c>
      <c r="I623" s="22">
        <v>46185.0</v>
      </c>
      <c r="J623" s="21" t="s">
        <v>5294</v>
      </c>
      <c r="K623" s="24"/>
      <c r="L623" s="24"/>
      <c r="M623" s="24"/>
      <c r="N623" s="24"/>
      <c r="O623" s="24"/>
      <c r="P623" s="25"/>
      <c r="Q623" s="25"/>
      <c r="R623" s="25"/>
      <c r="S623" s="25"/>
      <c r="T623" s="25"/>
      <c r="U623" s="25"/>
      <c r="V623" s="25"/>
      <c r="W623" s="25"/>
      <c r="X623" s="25"/>
      <c r="Y623" s="25"/>
      <c r="Z623" s="25"/>
      <c r="AA623" s="25"/>
      <c r="AB623" s="25"/>
      <c r="AC623" s="25"/>
    </row>
    <row r="624">
      <c r="A624" s="24" t="str">
        <f>'DE ( Tarik barang retur )'!AC601</f>
        <v>AWBR-3317344094-01</v>
      </c>
      <c r="B624" s="24" t="str">
        <f>'DE ( Tarik barang retur )'!F601</f>
        <v>Apotek Smapy Farma</v>
      </c>
      <c r="C624" s="35">
        <f>'DE ( Tarik barang retur )'!G601</f>
        <v>81310108560</v>
      </c>
      <c r="D624" s="24" t="str">
        <f>'DE ( Tarik barang retur )'!H601</f>
        <v>Ruko Taman Cemara U5 No. 2 Harapan Indah, Kelurahan Pusaka Rakyat, Kecamatan Tarumajaya, Kabupaten Bekasi, Jawa Barat 17132</v>
      </c>
      <c r="E624" s="24" t="str">
        <f>'DE ( Tarik barang retur )'!D601</f>
        <v>TMP-INV-2026/06/09/ 2834789</v>
      </c>
      <c r="F624" s="24" t="str">
        <f>'DE ( Tarik barang retur )'!R601</f>
        <v>Invoice: TMP-INV-2026/06/09/ 2834789
2x CATAFLAM Novartis TABLET 25 MG Tarik Barang Retur</v>
      </c>
      <c r="G624" s="36">
        <f>'DE ( Tarik barang retur )'!AF601</f>
        <v>46184</v>
      </c>
      <c r="H624" s="22">
        <v>46184.0</v>
      </c>
      <c r="I624" s="22">
        <v>46185.0</v>
      </c>
      <c r="J624" s="21" t="s">
        <v>5294</v>
      </c>
      <c r="K624" s="24"/>
      <c r="L624" s="24"/>
      <c r="M624" s="24"/>
      <c r="N624" s="24"/>
      <c r="O624" s="24"/>
      <c r="P624" s="25"/>
      <c r="Q624" s="25"/>
      <c r="R624" s="25"/>
      <c r="S624" s="25"/>
      <c r="T624" s="25"/>
      <c r="U624" s="25"/>
      <c r="V624" s="25"/>
      <c r="W624" s="25"/>
      <c r="X624" s="25"/>
      <c r="Y624" s="25"/>
      <c r="Z624" s="25"/>
      <c r="AA624" s="25"/>
      <c r="AB624" s="25"/>
      <c r="AC624" s="25"/>
    </row>
    <row r="625">
      <c r="A625" s="24" t="str">
        <f>'DE ( Tarik barang retur )'!AC602</f>
        <v>AWBR-3317160575-01</v>
      </c>
      <c r="B625" s="24" t="str">
        <f>'DE ( Tarik barang retur )'!F602</f>
        <v>Apotek Alvin Farma</v>
      </c>
      <c r="C625" s="35">
        <f>'DE ( Tarik barang retur )'!G602</f>
        <v>81386012303</v>
      </c>
      <c r="D625" s="24" t="str">
        <f>'DE ( Tarik barang retur )'!H602</f>
        <v>Jalan Boulevard Raya Blok LB1 No. 20, Kelurahan Kelapa Gading Barat Kecamatan Kelapa Gading, Jakarta Utara, DKI Jakarta 14240</v>
      </c>
      <c r="E625" s="24" t="str">
        <f>'DE ( Tarik barang retur )'!D602</f>
        <v>TMP-INV-2026/05/15/ 2749386</v>
      </c>
      <c r="F625" s="24" t="str">
        <f>'DE ( Tarik barang retur )'!R602</f>
        <v>Invoice: TMP-INV-2026/05/15/ 2749386
1x KENSHIN Midix KAPLET Tarik Barang Retur</v>
      </c>
      <c r="G625" s="36">
        <f>'DE ( Tarik barang retur )'!AF602</f>
        <v>46184</v>
      </c>
      <c r="H625" s="22">
        <v>46185.0</v>
      </c>
      <c r="I625" s="22">
        <v>46185.0</v>
      </c>
      <c r="J625" s="21" t="s">
        <v>5294</v>
      </c>
      <c r="K625" s="24"/>
      <c r="L625" s="24"/>
      <c r="M625" s="24"/>
      <c r="N625" s="24"/>
      <c r="O625" s="24"/>
      <c r="P625" s="25"/>
      <c r="Q625" s="25"/>
      <c r="R625" s="25"/>
      <c r="S625" s="25"/>
      <c r="T625" s="25"/>
      <c r="U625" s="25"/>
      <c r="V625" s="25"/>
      <c r="W625" s="25"/>
      <c r="X625" s="25"/>
      <c r="Y625" s="25"/>
      <c r="Z625" s="25"/>
      <c r="AA625" s="25"/>
      <c r="AB625" s="25"/>
      <c r="AC625" s="25"/>
    </row>
    <row r="626">
      <c r="A626" s="24" t="str">
        <f>'DE ( Tarik barang retur )'!AC603</f>
        <v>AWBR-3317749424-01</v>
      </c>
      <c r="B626" s="24" t="str">
        <f>'DE ( Tarik barang retur )'!F603</f>
        <v>Apotek 3 Plus Care</v>
      </c>
      <c r="C626" s="35">
        <f>'DE ( Tarik barang retur )'!G603</f>
        <v>81287727501</v>
      </c>
      <c r="D626" s="24" t="str">
        <f>'DE ( Tarik barang retur )'!H603</f>
        <v>Green Lake City Rukan Crown Blok I No. 19 Kelurahan Petir, Kecamatan Cipondoh, Kota Tangerang 15147</v>
      </c>
      <c r="E626" s="24" t="str">
        <f>'DE ( Tarik barang retur )'!D603</f>
        <v>TMP-INV-2026/04/18/ 2652515</v>
      </c>
      <c r="F626" s="24" t="str">
        <f>'DE ( Tarik barang retur )'!R603</f>
        <v>Invoice: TMP-INV-2026/04/18/ 2652515
1x POLIDENT DENTURE ADHESIVE FRESH MINT GSK KRIM Tarik Barang Retur</v>
      </c>
      <c r="G626" s="36">
        <f>'DE ( Tarik barang retur )'!AF603</f>
        <v>46184</v>
      </c>
      <c r="H626" s="22">
        <v>46186.0</v>
      </c>
      <c r="I626" s="22">
        <v>46187.0</v>
      </c>
      <c r="J626" s="21" t="s">
        <v>5294</v>
      </c>
      <c r="K626" s="24"/>
      <c r="L626" s="24"/>
      <c r="M626" s="24"/>
      <c r="N626" s="24"/>
      <c r="O626" s="24"/>
      <c r="P626" s="25"/>
      <c r="Q626" s="25"/>
      <c r="R626" s="25"/>
      <c r="S626" s="25"/>
      <c r="T626" s="25"/>
      <c r="U626" s="25"/>
      <c r="V626" s="25"/>
      <c r="W626" s="25"/>
      <c r="X626" s="25"/>
      <c r="Y626" s="25"/>
      <c r="Z626" s="25"/>
      <c r="AA626" s="25"/>
      <c r="AB626" s="25"/>
      <c r="AC626" s="25"/>
    </row>
    <row r="627">
      <c r="A627" s="24" t="str">
        <f>'DE ( Tarik barang retur )'!AC604</f>
        <v>AWBR-3317078230-01</v>
      </c>
      <c r="B627" s="24" t="str">
        <f>'DE ( Tarik barang retur )'!F604</f>
        <v>Apotek Amandara</v>
      </c>
      <c r="C627" s="35">
        <f>'DE ( Tarik barang retur )'!G604</f>
        <v>8121925699</v>
      </c>
      <c r="D627" s="24" t="str">
        <f>'DE ( Tarik barang retur )'!H604</f>
        <v>Jalan Siliwangi No.3 Kelurahan Depok, Kecamatan Pancoranmas, Kota Depok 16431</v>
      </c>
      <c r="E627" s="24" t="str">
        <f>'DE ( Tarik barang retur )'!D604</f>
        <v>TMP-INV-2026/06/05/ 2820333</v>
      </c>
      <c r="F627" s="24" t="str">
        <f>'DE ( Tarik barang retur )'!R604</f>
        <v>Invoice: TMP-INV-2026/06/05/ 2820333
1x MINYAK ANGIN CAP KAPAK Yahi Utama
1x MINYAK ANGIN CAP KAPAK Yahi Utama Tarik Barang Retur</v>
      </c>
      <c r="G627" s="36">
        <f>'DE ( Tarik barang retur )'!AF604</f>
        <v>46184</v>
      </c>
      <c r="H627" s="22">
        <v>46185.0</v>
      </c>
      <c r="I627" s="22">
        <v>46186.0</v>
      </c>
      <c r="J627" s="21" t="s">
        <v>5294</v>
      </c>
      <c r="K627" s="24"/>
      <c r="L627" s="24"/>
      <c r="M627" s="24"/>
      <c r="N627" s="24"/>
      <c r="O627" s="24"/>
      <c r="P627" s="25"/>
      <c r="Q627" s="25"/>
      <c r="R627" s="25"/>
      <c r="S627" s="25"/>
      <c r="T627" s="25"/>
      <c r="U627" s="25"/>
      <c r="V627" s="25"/>
      <c r="W627" s="25"/>
      <c r="X627" s="25"/>
      <c r="Y627" s="25"/>
      <c r="Z627" s="25"/>
      <c r="AA627" s="25"/>
      <c r="AB627" s="25"/>
      <c r="AC627" s="25"/>
    </row>
    <row r="628">
      <c r="A628" s="24" t="str">
        <f>'DE ( Tarik barang retur )'!AC605</f>
        <v>AWBR-3317757856-01</v>
      </c>
      <c r="B628" s="24" t="str">
        <f>'DE ( Tarik barang retur )'!F605</f>
        <v>Apotek Junia</v>
      </c>
      <c r="C628" s="35">
        <f>'DE ( Tarik barang retur )'!G605</f>
        <v>81285996785</v>
      </c>
      <c r="D628" s="24" t="str">
        <f>'DE ( Tarik barang retur )'!H605</f>
        <v>Jalan Pertanian Raya No.8 B RT.004 RW.004 Kelurahan Cipayung Jaya, Kecamatan Cipayung, Kota Depok 16437</v>
      </c>
      <c r="E628" s="24" t="str">
        <f>'DE ( Tarik barang retur )'!D605</f>
        <v>TMP-INV-2026/06/09/ 2834894</v>
      </c>
      <c r="F628" s="24" t="str">
        <f>'DE ( Tarik barang retur )'!R605</f>
        <v>Invoice: TMP-INV-2026/06/09/ 2834894
2x NEW DIATABS Medifarma TABLET 600 MG
2x SANMOL FORTE Sanbe SIRUP 250 MG/5 ML
1x EPEXOL Sanbe SIRUP 15 MG/5 ML
0x PECTORIN Itrasal SIRUP Tarik Barang Retur</v>
      </c>
      <c r="G628" s="36">
        <f>'DE ( Tarik barang retur )'!AF605</f>
        <v>46184</v>
      </c>
      <c r="H628" s="22">
        <v>46184.0</v>
      </c>
      <c r="I628" s="22">
        <v>46185.0</v>
      </c>
      <c r="J628" s="21" t="s">
        <v>5294</v>
      </c>
      <c r="K628" s="24"/>
      <c r="L628" s="24"/>
      <c r="M628" s="24"/>
      <c r="N628" s="24"/>
      <c r="O628" s="24"/>
      <c r="P628" s="25"/>
      <c r="Q628" s="25"/>
      <c r="R628" s="25"/>
      <c r="S628" s="25"/>
      <c r="T628" s="25"/>
      <c r="U628" s="25"/>
      <c r="V628" s="25"/>
      <c r="W628" s="25"/>
      <c r="X628" s="25"/>
      <c r="Y628" s="25"/>
      <c r="Z628" s="25"/>
      <c r="AA628" s="25"/>
      <c r="AB628" s="25"/>
      <c r="AC628" s="25"/>
    </row>
    <row r="629">
      <c r="A629" s="24" t="str">
        <f>'DE ( Tarik barang retur )'!AC606</f>
        <v>AWBR-3317124676-01</v>
      </c>
      <c r="B629" s="24" t="str">
        <f>'DE ( Tarik barang retur )'!F606</f>
        <v>Apotek Fit</v>
      </c>
      <c r="C629" s="35">
        <f>'DE ( Tarik barang retur )'!G606</f>
        <v>8129407857</v>
      </c>
      <c r="D629" s="24" t="str">
        <f>'DE ( Tarik barang retur )'!H606</f>
        <v>Jalan Arteri Juraganan No. 34 RT. 004 RW. 008 Kelurahan Grogol Utara, Kecamatan Kebayoran Lama, Kota Jakarta Selatan 12210</v>
      </c>
      <c r="E629" s="24" t="str">
        <f>'DE ( Tarik barang retur )'!D606</f>
        <v>TMP-INV-2026/05/01/ 2697058</v>
      </c>
      <c r="F629" s="24" t="str">
        <f>'DE ( Tarik barang retur )'!R606</f>
        <v>Invoice: TMP-INV-2026/05/01/ 2697058
1x ONEMED ISOPORE SURGICAL TAPE Jayamas Medica Tarik Barang Retur</v>
      </c>
      <c r="G629" s="36">
        <f>'DE ( Tarik barang retur )'!AF606</f>
        <v>46184</v>
      </c>
      <c r="H629" s="22">
        <v>46184.0</v>
      </c>
      <c r="I629" s="22">
        <v>46185.0</v>
      </c>
      <c r="J629" s="21" t="s">
        <v>5294</v>
      </c>
      <c r="K629" s="24"/>
      <c r="L629" s="24"/>
      <c r="M629" s="24"/>
      <c r="N629" s="24"/>
      <c r="O629" s="24"/>
      <c r="P629" s="25"/>
      <c r="Q629" s="25"/>
      <c r="R629" s="25"/>
      <c r="S629" s="25"/>
      <c r="T629" s="25"/>
      <c r="U629" s="25"/>
      <c r="V629" s="25"/>
      <c r="W629" s="25"/>
      <c r="X629" s="25"/>
      <c r="Y629" s="25"/>
      <c r="Z629" s="25"/>
      <c r="AA629" s="25"/>
      <c r="AB629" s="25"/>
      <c r="AC629" s="25"/>
    </row>
    <row r="630">
      <c r="A630" s="24" t="str">
        <f>'DE ( Tarik barang retur )'!AC607</f>
        <v>AWBR-3317149915-01</v>
      </c>
      <c r="B630" s="24" t="str">
        <f>'DE ( Tarik barang retur )'!F607</f>
        <v>Apotek Nugraha Farma</v>
      </c>
      <c r="C630" s="35">
        <f>'DE ( Tarik barang retur )'!G607</f>
        <v>81386125514</v>
      </c>
      <c r="D630" s="24" t="str">
        <f>'DE ( Tarik barang retur )'!H607</f>
        <v>Jalan Tambun Rengas RT 12 RW 01 No 73A Kelurahan Cakung Timur Kecamatan Cakung Kota Administrasi Jakarta Timur Jakarta 13910</v>
      </c>
      <c r="E630" s="24" t="str">
        <f>'DE ( Tarik barang retur )'!D607</f>
        <v>TMP-INV-2025/03/04/ 1400163, TMP-INV-2025/04/03/ 1469912</v>
      </c>
      <c r="F630" s="24" t="str">
        <f>'DE ( Tarik barang retur )'!R607</f>
        <v>Invoice: TMP-INV-2025/03/04/ 1400163
1x PROME Interbat SIRUP
----------------------------------------
Invoice: TMP-INV-2025/04/03/ 1469912
1x FLUIMUCIL Erela SIRUP KERING Tarik Barang Retur</v>
      </c>
      <c r="G630" s="36">
        <f>'DE ( Tarik barang retur )'!AF607</f>
        <v>46184</v>
      </c>
      <c r="H630" s="22">
        <v>46184.0</v>
      </c>
      <c r="I630" s="22">
        <v>46185.0</v>
      </c>
      <c r="J630" s="21" t="s">
        <v>5294</v>
      </c>
      <c r="K630" s="24"/>
      <c r="L630" s="24"/>
      <c r="M630" s="24"/>
      <c r="N630" s="24"/>
      <c r="O630" s="24"/>
      <c r="P630" s="25"/>
      <c r="Q630" s="25"/>
      <c r="R630" s="25"/>
      <c r="S630" s="25"/>
      <c r="T630" s="25"/>
      <c r="U630" s="25"/>
      <c r="V630" s="25"/>
      <c r="W630" s="25"/>
      <c r="X630" s="25"/>
      <c r="Y630" s="25"/>
      <c r="Z630" s="25"/>
      <c r="AA630" s="25"/>
      <c r="AB630" s="25"/>
      <c r="AC630" s="25"/>
    </row>
    <row r="631">
      <c r="A631" s="24" t="str">
        <f>'DE ( Tarik barang retur )'!AC608</f>
        <v>AWBR-3317160980-01</v>
      </c>
      <c r="B631" s="24" t="str">
        <f>'DE ( Tarik barang retur )'!F608</f>
        <v>Apotek Serambi 1 Bantar Gebang</v>
      </c>
      <c r="C631" s="35">
        <f>'DE ( Tarik barang retur )'!G608</f>
        <v>8126700750</v>
      </c>
      <c r="D631" s="24" t="str">
        <f>'DE ( Tarik barang retur )'!H608</f>
        <v>Jalan Raya Narogong KM 11 RT 03 RW 07 Kelurahan Bantargebang Kecamatan Bantargebang Bekasi Jawa Barat 17151</v>
      </c>
      <c r="E631" s="24" t="str">
        <f>'DE ( Tarik barang retur )'!D608</f>
        <v>TMP-INV-2026/06/08/ 2830849</v>
      </c>
      <c r="F631" s="24" t="str">
        <f>'DE ( Tarik barang retur )'!R608</f>
        <v>Invoice: TMP-INV-2026/06/08/ 2830849
36x VITAMIN C IPI Supra Ferbindo TABLET
12x VITAMIN A IPI Supra Ferbindo TABLET Tarik Barang Retur</v>
      </c>
      <c r="G631" s="36">
        <f>'DE ( Tarik barang retur )'!AF608</f>
        <v>46184</v>
      </c>
      <c r="H631" s="22">
        <v>46185.0</v>
      </c>
      <c r="I631" s="22">
        <v>46185.0</v>
      </c>
      <c r="J631" s="21" t="s">
        <v>5294</v>
      </c>
      <c r="K631" s="24"/>
      <c r="L631" s="24"/>
      <c r="M631" s="24"/>
      <c r="N631" s="24"/>
      <c r="O631" s="24"/>
      <c r="P631" s="25"/>
      <c r="Q631" s="25"/>
      <c r="R631" s="25"/>
      <c r="S631" s="25"/>
      <c r="T631" s="25"/>
      <c r="U631" s="25"/>
      <c r="V631" s="25"/>
      <c r="W631" s="25"/>
      <c r="X631" s="25"/>
      <c r="Y631" s="25"/>
      <c r="Z631" s="25"/>
      <c r="AA631" s="25"/>
      <c r="AB631" s="25"/>
      <c r="AC631" s="25"/>
    </row>
    <row r="632">
      <c r="A632" s="24" t="str">
        <f>'DE ( Tarik barang retur )'!AC609</f>
        <v>AWBR-3317165998-01</v>
      </c>
      <c r="B632" s="24" t="str">
        <f>'DE ( Tarik barang retur )'!F609</f>
        <v>Apotek Harrison Kota Wisata</v>
      </c>
      <c r="C632" s="35">
        <f>'DE ( Tarik barang retur )'!G609</f>
        <v>81211118997</v>
      </c>
      <c r="D632" s="24" t="str">
        <f>'DE ( Tarik barang retur )'!H609</f>
        <v>Ruko Commparak Blok F No.8 Kota Wisata Desa Limusnunggal Kecamatan Cileungsi Kabupaten Bogor Jawa Barat 16820</v>
      </c>
      <c r="E632" s="24" t="str">
        <f>'DE ( Tarik barang retur )'!D609</f>
        <v>TMP-INV-2026/05/24/ 2779609, TMP-INV-2026/05/23/ 2778142</v>
      </c>
      <c r="F632" s="24" t="str">
        <f>'DE ( Tarik barang retur )'!R609</f>
        <v>Invoice: TMP-INV-2026/05/24/ 2779609
1x PULMICORT RESPULES AstraZeneca CAIRAN INHALASI 0.25 MG/ML
----------------------------------------
Invoice: TMP-INV-2026/05/23/ 2778142
1x COMBIVENT UDV Tunggal Idaman CAIRAN INHALASI Tarik Barang Retur</v>
      </c>
      <c r="G632" s="36">
        <f>'DE ( Tarik barang retur )'!AF609</f>
        <v>46184</v>
      </c>
      <c r="H632" s="22">
        <v>46184.0</v>
      </c>
      <c r="I632" s="22">
        <v>46185.0</v>
      </c>
      <c r="J632" s="21" t="s">
        <v>5294</v>
      </c>
      <c r="K632" s="24"/>
      <c r="L632" s="24"/>
      <c r="M632" s="24"/>
      <c r="N632" s="24"/>
      <c r="O632" s="24"/>
      <c r="P632" s="25"/>
      <c r="Q632" s="25"/>
      <c r="R632" s="25"/>
      <c r="S632" s="25"/>
      <c r="T632" s="25"/>
      <c r="U632" s="25"/>
      <c r="V632" s="25"/>
      <c r="W632" s="25"/>
      <c r="X632" s="25"/>
      <c r="Y632" s="25"/>
      <c r="Z632" s="25"/>
      <c r="AA632" s="25"/>
      <c r="AB632" s="25"/>
      <c r="AC632" s="25"/>
    </row>
    <row r="633">
      <c r="A633" s="24" t="str">
        <f>'DE ( Tarik barang retur )'!AC610</f>
        <v>AWBR-3317767507-01</v>
      </c>
      <c r="B633" s="24" t="str">
        <f>'DE ( Tarik barang retur )'!F610</f>
        <v>Apotek Virgo Farma</v>
      </c>
      <c r="C633" s="35">
        <f>'DE ( Tarik barang retur )'!G610</f>
        <v>87879506040</v>
      </c>
      <c r="D633" s="24" t="str">
        <f>'DE ( Tarik barang retur )'!H610</f>
        <v>Villa Mutiara Gading 3 Blok F1 No.10-11 Desa Kebalen Kecamatan  Babelan Kabupaten Bekasi 17610</v>
      </c>
      <c r="E633" s="24" t="str">
        <f>'DE ( Tarik barang retur )'!D610</f>
        <v>TMP-INV-2025/06/07/ 1639267</v>
      </c>
      <c r="F633" s="24" t="str">
        <f>'DE ( Tarik barang retur )'!R610</f>
        <v>Invoice: TMP-INV-2025/06/07/ 1639267
2x NOROID DERMA RASH Soho KRIM Tarik Barang Retur</v>
      </c>
      <c r="G633" s="36">
        <f>'DE ( Tarik barang retur )'!AF610</f>
        <v>46184</v>
      </c>
      <c r="H633" s="22">
        <v>46184.0</v>
      </c>
      <c r="I633" s="22">
        <v>46185.0</v>
      </c>
      <c r="J633" s="21" t="s">
        <v>5294</v>
      </c>
      <c r="K633" s="24"/>
      <c r="L633" s="24"/>
      <c r="M633" s="24"/>
      <c r="N633" s="24"/>
      <c r="O633" s="24"/>
      <c r="P633" s="25"/>
      <c r="Q633" s="25"/>
      <c r="R633" s="25"/>
      <c r="S633" s="25"/>
      <c r="T633" s="25"/>
      <c r="U633" s="25"/>
      <c r="V633" s="25"/>
      <c r="W633" s="25"/>
      <c r="X633" s="25"/>
      <c r="Y633" s="25"/>
      <c r="Z633" s="25"/>
      <c r="AA633" s="25"/>
      <c r="AB633" s="25"/>
      <c r="AC633" s="25"/>
    </row>
    <row r="634">
      <c r="A634" s="24" t="str">
        <f>'DE ( Tarik barang retur )'!AC611</f>
        <v>AWBR-3317772974-01</v>
      </c>
      <c r="B634" s="24" t="str">
        <f>'DE ( Tarik barang retur )'!F611</f>
        <v>Apotek Sumber Cahaya</v>
      </c>
      <c r="C634" s="35">
        <f>'DE ( Tarik barang retur )'!G611</f>
        <v>2164711185</v>
      </c>
      <c r="D634" s="24" t="str">
        <f>'DE ( Tarik barang retur )'!H611</f>
        <v>Jalan Budi Mulia No.3 RT 007 RW 008 Kelurahan Pademangan Barat Kecamatan Pademangan Jakarta Utara 14420</v>
      </c>
      <c r="E634" s="24" t="str">
        <f>'DE ( Tarik barang retur )'!D611</f>
        <v>TMP-INV-2026/05/20/ 2766795</v>
      </c>
      <c r="F634" s="24" t="str">
        <f>'DE ( Tarik barang retur )'!R611</f>
        <v>Invoice: TMP-INV-2026/05/20/ 2766795
7x PI KANG SHUANG Sano Gratia KRIM
1x SALONPAS Hisamitsu
1x VAPORIN Novell KAPSUL Tarik Barang Retur</v>
      </c>
      <c r="G634" s="36">
        <f>'DE ( Tarik barang retur )'!AF611</f>
        <v>46184</v>
      </c>
      <c r="H634" s="22">
        <v>46186.0</v>
      </c>
      <c r="I634" s="22">
        <v>46186.0</v>
      </c>
      <c r="J634" s="21" t="s">
        <v>5294</v>
      </c>
      <c r="K634" s="24"/>
      <c r="L634" s="24"/>
      <c r="M634" s="24"/>
      <c r="N634" s="24"/>
      <c r="O634" s="24"/>
      <c r="P634" s="25"/>
      <c r="Q634" s="25"/>
      <c r="R634" s="25"/>
      <c r="S634" s="25"/>
      <c r="T634" s="25"/>
      <c r="U634" s="25"/>
      <c r="V634" s="25"/>
      <c r="W634" s="25"/>
      <c r="X634" s="25"/>
      <c r="Y634" s="25"/>
      <c r="Z634" s="25"/>
      <c r="AA634" s="25"/>
      <c r="AB634" s="25"/>
      <c r="AC634" s="25"/>
    </row>
    <row r="635">
      <c r="A635" s="24" t="str">
        <f>'DE ( Tarik barang retur )'!AC612</f>
        <v>AWBR-3317804764-01</v>
      </c>
      <c r="B635" s="24" t="str">
        <f>'DE ( Tarik barang retur )'!F612</f>
        <v>Apotek Bintang 1102</v>
      </c>
      <c r="C635" s="35">
        <f>'DE ( Tarik barang retur )'!G612</f>
        <v>8126566753</v>
      </c>
      <c r="D635" s="24" t="str">
        <f>'DE ( Tarik barang retur )'!H612</f>
        <v>Kampung Bungaok Kelurahan Caringin Kecamatan Legok Kabupaten Tangerang 15820</v>
      </c>
      <c r="E635" s="24" t="str">
        <f>'DE ( Tarik barang retur )'!D612</f>
        <v>TMP-INV-2026/06/07/ 2827935</v>
      </c>
      <c r="F635" s="24" t="str">
        <f>'DE ( Tarik barang retur )'!R612</f>
        <v>Invoice: TMP-INV-2026/06/07/ 2827935
2x WOODS PEPPERMINT ANTITUSSIVE Kalbe SIRUP
1x HUFAGRIPP BP BATUK KERING DAN PILEK ANAK Gratia SIRUP
2x SILADEX ANTITUSSIVE Konimex SIRUP Tarik Barang Retur</v>
      </c>
      <c r="G635" s="36">
        <f>'DE ( Tarik barang retur )'!AF612</f>
        <v>46184</v>
      </c>
      <c r="H635" s="22">
        <v>46187.0</v>
      </c>
      <c r="I635" s="22">
        <v>46188.0</v>
      </c>
      <c r="J635" s="21" t="s">
        <v>5294</v>
      </c>
      <c r="K635" s="24"/>
      <c r="L635" s="24"/>
      <c r="M635" s="24"/>
      <c r="N635" s="24"/>
      <c r="O635" s="24"/>
      <c r="P635" s="25"/>
      <c r="Q635" s="25"/>
      <c r="R635" s="25"/>
      <c r="S635" s="25"/>
      <c r="T635" s="25"/>
      <c r="U635" s="25"/>
      <c r="V635" s="25"/>
      <c r="W635" s="25"/>
      <c r="X635" s="25"/>
      <c r="Y635" s="25"/>
      <c r="Z635" s="25"/>
      <c r="AA635" s="25"/>
      <c r="AB635" s="25"/>
      <c r="AC635" s="25"/>
    </row>
    <row r="636">
      <c r="A636" s="24" t="str">
        <f>'DE ( Tarik barang retur )'!AC613</f>
        <v>AWBR-3317782641-01</v>
      </c>
      <c r="B636" s="24" t="str">
        <f>'DE ( Tarik barang retur )'!F613</f>
        <v>Apotek Harrison Jonggol</v>
      </c>
      <c r="C636" s="35">
        <f>'DE ( Tarik barang retur )'!G613</f>
        <v>81350752017</v>
      </c>
      <c r="D636" s="24" t="str">
        <f>'DE ( Tarik barang retur )'!H613</f>
        <v>Jalan Raya Letkol Murlin Kp Menan RT 001 RW 004 Desa Sukamaju Kecamatan Jonggol Kab Bogor 16830</v>
      </c>
      <c r="E636" s="24" t="str">
        <f>'DE ( Tarik barang retur )'!D613</f>
        <v>TMP-INV-2025/11/08/ 2107023</v>
      </c>
      <c r="F636" s="24" t="str">
        <f>'DE ( Tarik barang retur )'!R613</f>
        <v>Invoice: TMP-INV-2025/11/08/ 2107023
Complete Return Tarik Barang Retur</v>
      </c>
      <c r="G636" s="36">
        <f>'DE ( Tarik barang retur )'!AF613</f>
        <v>46184</v>
      </c>
      <c r="H636" s="22">
        <v>46184.0</v>
      </c>
      <c r="I636" s="22">
        <v>46185.0</v>
      </c>
      <c r="J636" s="21" t="s">
        <v>5294</v>
      </c>
      <c r="K636" s="24"/>
      <c r="L636" s="24"/>
      <c r="M636" s="24"/>
      <c r="N636" s="24"/>
      <c r="O636" s="24"/>
      <c r="P636" s="25"/>
      <c r="Q636" s="25"/>
      <c r="R636" s="25"/>
      <c r="S636" s="25"/>
      <c r="T636" s="25"/>
      <c r="U636" s="25"/>
      <c r="V636" s="25"/>
      <c r="W636" s="25"/>
      <c r="X636" s="25"/>
      <c r="Y636" s="25"/>
      <c r="Z636" s="25"/>
      <c r="AA636" s="25"/>
      <c r="AB636" s="25"/>
      <c r="AC636" s="25"/>
    </row>
    <row r="637">
      <c r="A637" s="24" t="str">
        <f>'DE ( Tarik barang retur )'!AC614</f>
        <v>AWBR-3317775094-01</v>
      </c>
      <c r="B637" s="24" t="str">
        <f>'DE ( Tarik barang retur )'!F614</f>
        <v>Apotek K24 Pondok Kelapa 1184</v>
      </c>
      <c r="C637" s="35">
        <f>'DE ( Tarik barang retur )'!G614</f>
        <v>81210468236</v>
      </c>
      <c r="D637" s="24" t="str">
        <f>'DE ( Tarik barang retur )'!H614</f>
        <v>Jalan Pondok Kelapa Blok E 10 No.2 RT 007 RW 011 Kelurahan Pondok Kelapa Kecamatan Duren Sawit Jakarta Timur 13450</v>
      </c>
      <c r="E637" s="24" t="str">
        <f>'DE ( Tarik barang retur )'!D614</f>
        <v>TMP-INV-2026/03/16/ 2539522</v>
      </c>
      <c r="F637" s="24" t="str">
        <f>'DE ( Tarik barang retur )'!R614</f>
        <v>Invoice: TMP-INV-2026/03/16/ 2539522
Complete Return Tarik Barang Retur</v>
      </c>
      <c r="G637" s="36">
        <f>'DE ( Tarik barang retur )'!AF614</f>
        <v>46184</v>
      </c>
      <c r="H637" s="22">
        <v>46184.0</v>
      </c>
      <c r="I637" s="22">
        <v>46185.0</v>
      </c>
      <c r="J637" s="21" t="s">
        <v>5294</v>
      </c>
      <c r="K637" s="24"/>
      <c r="L637" s="24"/>
      <c r="M637" s="24"/>
      <c r="N637" s="24"/>
      <c r="O637" s="24"/>
      <c r="P637" s="25"/>
      <c r="Q637" s="25"/>
      <c r="R637" s="25"/>
      <c r="S637" s="25"/>
      <c r="T637" s="25"/>
      <c r="U637" s="25"/>
      <c r="V637" s="25"/>
      <c r="W637" s="25"/>
      <c r="X637" s="25"/>
      <c r="Y637" s="25"/>
      <c r="Z637" s="25"/>
      <c r="AA637" s="25"/>
      <c r="AB637" s="25"/>
      <c r="AC637" s="25"/>
    </row>
    <row r="638">
      <c r="A638" s="24" t="str">
        <f>'DE ( Tarik barang retur )'!AC615</f>
        <v>AWBR-3317785007-01</v>
      </c>
      <c r="B638" s="24" t="str">
        <f>'DE ( Tarik barang retur )'!F615</f>
        <v>Apotek Cordelia</v>
      </c>
      <c r="C638" s="35">
        <f>'DE ( Tarik barang retur )'!G615</f>
        <v>6.28112E+16</v>
      </c>
      <c r="D638" s="24" t="str">
        <f>'DE ( Tarik barang retur )'!H615</f>
        <v>Jalan Terminal Pondok Cabe (KH. Salem) No. 58 Kelurahan Pondok Cabe Udik Kecamatan Pamulang Kota Tangerang Selatan 15418</v>
      </c>
      <c r="E638" s="24" t="str">
        <f>'DE ( Tarik barang retur )'!D615</f>
        <v>TMP-INV-2025/07/27/ 1776037, TMP-INV-2025/11/14/ 2127380</v>
      </c>
      <c r="F638" s="24" t="str">
        <f>'DE ( Tarik barang retur )'!R615</f>
        <v>Invoice: TMP-INV-2025/07/27/ 1776037
1x ALLORIS Sanbe SIRUP 5 MG
----------------------------------------
Invoice: TMP-INV-2025/11/14/ 2127380
2x BLACKMORES BIO C 1000 Kalbe TABLET Tarik Barang Retur</v>
      </c>
      <c r="G638" s="36">
        <f>'DE ( Tarik barang retur )'!AF615</f>
        <v>46184</v>
      </c>
      <c r="H638" s="22">
        <v>46185.0</v>
      </c>
      <c r="I638" s="22">
        <v>46186.0</v>
      </c>
      <c r="J638" s="21" t="s">
        <v>5294</v>
      </c>
      <c r="K638" s="24"/>
      <c r="L638" s="24"/>
      <c r="M638" s="24"/>
      <c r="N638" s="24"/>
      <c r="O638" s="24"/>
      <c r="P638" s="25"/>
      <c r="Q638" s="25"/>
      <c r="R638" s="25"/>
      <c r="S638" s="25"/>
      <c r="T638" s="25"/>
      <c r="U638" s="25"/>
      <c r="V638" s="25"/>
      <c r="W638" s="25"/>
      <c r="X638" s="25"/>
      <c r="Y638" s="25"/>
      <c r="Z638" s="25"/>
      <c r="AA638" s="25"/>
      <c r="AB638" s="25"/>
      <c r="AC638" s="25"/>
    </row>
    <row r="639">
      <c r="A639" s="24" t="str">
        <f>'DE ( Tarik barang retur )'!AC616</f>
        <v>AWBR-3317766882-01</v>
      </c>
      <c r="B639" s="24" t="str">
        <f>'DE ( Tarik barang retur )'!F616</f>
        <v>Apotek Friendly Farma Inactive</v>
      </c>
      <c r="C639" s="35">
        <f>'DE ( Tarik barang retur )'!G616</f>
        <v>81282705795</v>
      </c>
      <c r="D639" s="24" t="str">
        <f>'DE ( Tarik barang retur )'!H616</f>
        <v>Jalan Ancol Selatan No.14 A RT 10 RW 01 Kelurahan Sunter Agung Kecamatan Tanjung Priok Jakarta Utara 14350</v>
      </c>
      <c r="E639" s="24" t="str">
        <f>'DE ( Tarik barang retur )'!D616</f>
        <v>TMP-INV-2026/06/09/ 2832573</v>
      </c>
      <c r="F639" s="24" t="str">
        <f>'DE ( Tarik barang retur )'!R616</f>
        <v>Invoice: TMP-INV-2026/06/09/ 2832573
Complete Return Tarik Barang Retur</v>
      </c>
      <c r="G639" s="36">
        <f>'DE ( Tarik barang retur )'!AF616</f>
        <v>46184</v>
      </c>
      <c r="H639" s="22">
        <v>46185.0</v>
      </c>
      <c r="I639" s="22">
        <v>46185.0</v>
      </c>
      <c r="J639" s="21" t="s">
        <v>5294</v>
      </c>
      <c r="K639" s="24"/>
      <c r="L639" s="24"/>
      <c r="M639" s="24"/>
      <c r="N639" s="24"/>
      <c r="O639" s="24"/>
      <c r="P639" s="25"/>
      <c r="Q639" s="25"/>
      <c r="R639" s="25"/>
      <c r="S639" s="25"/>
      <c r="T639" s="25"/>
      <c r="U639" s="25"/>
      <c r="V639" s="25"/>
      <c r="W639" s="25"/>
      <c r="X639" s="25"/>
      <c r="Y639" s="25"/>
      <c r="Z639" s="25"/>
      <c r="AA639" s="25"/>
      <c r="AB639" s="25"/>
      <c r="AC639" s="25"/>
    </row>
    <row r="640">
      <c r="A640" s="24" t="str">
        <f>'DE ( Tarik barang retur )'!AC617</f>
        <v>AWBR-3317808116-01</v>
      </c>
      <c r="B640" s="24" t="str">
        <f>'DE ( Tarik barang retur )'!F617</f>
        <v>Apotek Anugrah 1476</v>
      </c>
      <c r="C640" s="35">
        <f>'DE ( Tarik barang retur )'!G617</f>
        <v>85103031988</v>
      </c>
      <c r="D640" s="24" t="str">
        <f>'DE ( Tarik barang retur )'!H617</f>
        <v>Jalan Ir. H. Juanda No.71 Kelurahan Pisangan Kecamatan Timur Kota Tangerang Selatan 15419</v>
      </c>
      <c r="E640" s="24" t="str">
        <f>'DE ( Tarik barang retur )'!D617</f>
        <v>TMP-INV-2026/04/08/ 2614528</v>
      </c>
      <c r="F640" s="24" t="str">
        <f>'DE ( Tarik barang retur )'!R617</f>
        <v>Invoice: TMP-INV-2026/04/08/ 2614528
1x TAKELIN 500 Mersi TABLET (EXTRA DISC) Tarik Barang Retur</v>
      </c>
      <c r="G640" s="36">
        <f>'DE ( Tarik barang retur )'!AF617</f>
        <v>46184</v>
      </c>
      <c r="H640" s="22">
        <v>46184.0</v>
      </c>
      <c r="I640" s="22">
        <v>46185.0</v>
      </c>
      <c r="J640" s="21" t="s">
        <v>5294</v>
      </c>
      <c r="K640" s="24"/>
      <c r="L640" s="24"/>
      <c r="M640" s="24"/>
      <c r="N640" s="24"/>
      <c r="O640" s="24"/>
      <c r="P640" s="25"/>
      <c r="Q640" s="25"/>
      <c r="R640" s="25"/>
      <c r="S640" s="25"/>
      <c r="T640" s="25"/>
      <c r="U640" s="25"/>
      <c r="V640" s="25"/>
      <c r="W640" s="25"/>
      <c r="X640" s="25"/>
      <c r="Y640" s="25"/>
      <c r="Z640" s="25"/>
      <c r="AA640" s="25"/>
      <c r="AB640" s="25"/>
      <c r="AC640" s="25"/>
    </row>
    <row r="641">
      <c r="A641" s="24" t="str">
        <f>'DE ( Tarik barang retur )'!AC618</f>
        <v>AWBR-3317789123-01</v>
      </c>
      <c r="B641" s="24" t="str">
        <f>'DE ( Tarik barang retur )'!F618</f>
        <v>Klinik Utama OMDC Dental Clinic</v>
      </c>
      <c r="C641" s="35">
        <f>'DE ( Tarik barang retur )'!G618</f>
        <v>81905068766</v>
      </c>
      <c r="D641" s="24" t="str">
        <f>'DE ( Tarik barang retur )'!H618</f>
        <v>Jalan Warung Buncit Raya No. 6 RT 04 RW 05 Kelurahan Kalibata Kecamatan Pancoran Jakarta Selatan 12740</v>
      </c>
      <c r="E641" s="24" t="str">
        <f>'DE ( Tarik barang retur )'!D618</f>
        <v>TMP-INV-2026/04/27/ 2681235</v>
      </c>
      <c r="F641" s="24" t="str">
        <f>'DE ( Tarik barang retur )'!R618</f>
        <v>Invoice: TMP-INV-2026/04/27/ 2681235
1x STERIMAR NOSE HYGIENE BABY Hyphens Tarik Barang Retur</v>
      </c>
      <c r="G641" s="36">
        <f>'DE ( Tarik barang retur )'!AF618</f>
        <v>46184</v>
      </c>
      <c r="H641" s="22">
        <v>46184.0</v>
      </c>
      <c r="I641" s="22">
        <v>46186.0</v>
      </c>
      <c r="J641" s="21" t="s">
        <v>5294</v>
      </c>
      <c r="K641" s="24"/>
      <c r="L641" s="24"/>
      <c r="M641" s="24"/>
      <c r="N641" s="24"/>
      <c r="O641" s="24"/>
      <c r="P641" s="25"/>
      <c r="Q641" s="25"/>
      <c r="R641" s="25"/>
      <c r="S641" s="25"/>
      <c r="T641" s="25"/>
      <c r="U641" s="25"/>
      <c r="V641" s="25"/>
      <c r="W641" s="25"/>
      <c r="X641" s="25"/>
      <c r="Y641" s="25"/>
      <c r="Z641" s="25"/>
      <c r="AA641" s="25"/>
      <c r="AB641" s="25"/>
      <c r="AC641" s="25"/>
    </row>
    <row r="642">
      <c r="A642" s="24" t="str">
        <f>'DE ( Tarik barang retur )'!AC619</f>
        <v>AWBR-3317779172-01</v>
      </c>
      <c r="B642" s="24" t="str">
        <f>'DE ( Tarik barang retur )'!F619</f>
        <v>Apotek Khalifa Farma</v>
      </c>
      <c r="C642" s="35">
        <f>'DE ( Tarik barang retur )'!G619</f>
        <v>81947090063</v>
      </c>
      <c r="D642" s="24" t="str">
        <f>'DE ( Tarik barang retur )'!H619</f>
        <v>Jalan Papanggo 1 No.17B RT 011 RW 01 Kelurahan Papanggo Kecamatan Tanjung Priok Jakarta Utara 14340</v>
      </c>
      <c r="E642" s="24" t="str">
        <f>'DE ( Tarik barang retur )'!D619</f>
        <v>TMP-INV-2025/05/03/ 1548048, TMP-INV-2024/07/06/ 872476, TMP-INV-2024/07/16/ 890080, TMP-INV-2025/03/09/ 1411847</v>
      </c>
      <c r="F642" s="24" t="str">
        <f>'DE ( Tarik barang retur )'!R619</f>
        <v>Invoice: TMP-INV-2025/05/03/ 1548048
1x CALNIC PLUS Gracia SUSPENSI
----------------------------------------
Invoice: TMP-INV-2024/07/06/ 872476
1x SAFE CARE MINYAK ANGIN STRONG CITRUS dan PATCHOULI OIL
----------------------------------------
Invoice: TMP-INV-2024/07/16/ 890080
1x ACTIFED GSK SIRUP
----------------------------------------
Invoice: TMP-INV-2025/03/09/ 1411847
1x FITKOM MULTIVITAMIN (RASA STRAWBERRY) Soho TABLET Tarik Barang Retur</v>
      </c>
      <c r="G642" s="36">
        <f>'DE ( Tarik barang retur )'!AF619</f>
        <v>46184</v>
      </c>
      <c r="H642" s="22">
        <v>46186.0</v>
      </c>
      <c r="I642" s="22">
        <v>46186.0</v>
      </c>
      <c r="J642" s="21" t="s">
        <v>5294</v>
      </c>
      <c r="K642" s="24"/>
      <c r="L642" s="24"/>
      <c r="M642" s="24"/>
      <c r="N642" s="24"/>
      <c r="O642" s="24"/>
      <c r="P642" s="25"/>
      <c r="Q642" s="25"/>
      <c r="R642" s="25"/>
      <c r="S642" s="25"/>
      <c r="T642" s="25"/>
      <c r="U642" s="25"/>
      <c r="V642" s="25"/>
      <c r="W642" s="25"/>
      <c r="X642" s="25"/>
      <c r="Y642" s="25"/>
      <c r="Z642" s="25"/>
      <c r="AA642" s="25"/>
      <c r="AB642" s="25"/>
      <c r="AC642" s="25"/>
    </row>
    <row r="643">
      <c r="A643" s="24" t="str">
        <f>'DE ( Tarik barang retur )'!AC620</f>
        <v>AWBR-3317795810-01</v>
      </c>
      <c r="B643" s="24" t="str">
        <f>'DE ( Tarik barang retur )'!F620</f>
        <v>Apotek Jaya 2048 Inactive</v>
      </c>
      <c r="C643" s="35">
        <f>'DE ( Tarik barang retur )'!G620</f>
        <v>82260168630</v>
      </c>
      <c r="D643" s="24" t="str">
        <f>'DE ( Tarik barang retur )'!H620</f>
        <v>Jalan Pangeran Shogiri No. 85 A RT 001 RW 008 Kelurahan Tanah Baru Kecamatan Bogor Utara Kota Bogor 16154</v>
      </c>
      <c r="E643" s="24" t="str">
        <f>'DE ( Tarik barang retur )'!D620</f>
        <v>TMP-INV-2026/05/07/ 2720539, TMP-INV-2026/05/07/ 2720451, TMP-INV-2026/05/07/ 2720536</v>
      </c>
      <c r="F643" s="24" t="str">
        <f>'DE ( Tarik barang retur )'!R620</f>
        <v>Invoice: TMP-INV-2026/05/07/ 2720539
Complete Return
----------------------------------------
Invoice: TMP-INV-2026/05/07/ 2720451
Complete Return
----------------------------------------
Invoice: TMP-INV-2026/05/07/ 2720536
Complete Return Tarik Barang Retur</v>
      </c>
      <c r="G643" s="36">
        <f>'DE ( Tarik barang retur )'!AF620</f>
        <v>46184</v>
      </c>
      <c r="H643" s="22">
        <v>46184.0</v>
      </c>
      <c r="I643" s="22">
        <v>46185.0</v>
      </c>
      <c r="J643" s="21" t="s">
        <v>5294</v>
      </c>
      <c r="K643" s="24"/>
      <c r="L643" s="24"/>
      <c r="M643" s="24"/>
      <c r="N643" s="24"/>
      <c r="O643" s="24"/>
      <c r="P643" s="25"/>
      <c r="Q643" s="25"/>
      <c r="R643" s="25"/>
      <c r="S643" s="25"/>
      <c r="T643" s="25"/>
      <c r="U643" s="25"/>
      <c r="V643" s="25"/>
      <c r="W643" s="25"/>
      <c r="X643" s="25"/>
      <c r="Y643" s="25"/>
      <c r="Z643" s="25"/>
      <c r="AA643" s="25"/>
      <c r="AB643" s="25"/>
      <c r="AC643" s="25"/>
    </row>
    <row r="644">
      <c r="A644" s="24" t="str">
        <f>'DE ( Tarik barang retur )'!AC621</f>
        <v>AWBR-3317798387-01</v>
      </c>
      <c r="B644" s="24" t="str">
        <f>'DE ( Tarik barang retur )'!F621</f>
        <v>Apotek Zahra Medika</v>
      </c>
      <c r="C644" s="35">
        <f>'DE ( Tarik barang retur )'!G621</f>
        <v>81387688857</v>
      </c>
      <c r="D644" s="24" t="str">
        <f>'DE ( Tarik barang retur )'!H621</f>
        <v>Jalan Cagar Alam Raya No. 42 RT 001 RW 001 Kelurahan Pancoran Mas Kecamatann Pancoran Mas Depok 16436</v>
      </c>
      <c r="E644" s="24" t="str">
        <f>'DE ( Tarik barang retur )'!D621</f>
        <v>TMP-INV-2026/05/24/ 2780202, TMP-INV-2026/06/02/ 2806024</v>
      </c>
      <c r="F644" s="24" t="str">
        <f>'DE ( Tarik barang retur )'!R621</f>
        <v>Invoice: TMP-INV-2026/05/24/ 2780202
1x VITACIMIN SWEETLETS RASA SWEET ORANGE Takeda TABLET
----------------------------------------
Invoice: TMP-INV-2026/06/02/ 2806024
1x SUMAGESIC Medifarma TABLET 600 MG Tarik Barang Retur</v>
      </c>
      <c r="G644" s="36">
        <f>'DE ( Tarik barang retur )'!AF621</f>
        <v>46184</v>
      </c>
      <c r="H644" s="22">
        <v>46184.0</v>
      </c>
      <c r="I644" s="22">
        <v>46185.0</v>
      </c>
      <c r="J644" s="21" t="s">
        <v>5294</v>
      </c>
      <c r="K644" s="24"/>
      <c r="L644" s="24"/>
      <c r="M644" s="24"/>
      <c r="N644" s="24"/>
      <c r="O644" s="24"/>
      <c r="P644" s="25"/>
      <c r="Q644" s="25"/>
      <c r="R644" s="25"/>
      <c r="S644" s="25"/>
      <c r="T644" s="25"/>
      <c r="U644" s="25"/>
      <c r="V644" s="25"/>
      <c r="W644" s="25"/>
      <c r="X644" s="25"/>
      <c r="Y644" s="25"/>
      <c r="Z644" s="25"/>
      <c r="AA644" s="25"/>
      <c r="AB644" s="25"/>
      <c r="AC644" s="25"/>
    </row>
    <row r="645">
      <c r="A645" s="24" t="str">
        <f>'DE ( Tarik barang retur )'!AC622</f>
        <v>AWBR-3317830716-01</v>
      </c>
      <c r="B645" s="24" t="str">
        <f>'DE ( Tarik barang retur )'!F622</f>
        <v>Apotek Suta</v>
      </c>
      <c r="C645" s="35">
        <f>'DE ( Tarik barang retur )'!G622</f>
        <v>81807923725</v>
      </c>
      <c r="D645" s="24" t="str">
        <f>'DE ( Tarik barang retur )'!H622</f>
        <v>Jalan Hartono Raya Blok R No. 48 Moderland, Kelurahan Kelapa Indah Kec. Tangerang Kota Tangerang 15117</v>
      </c>
      <c r="E645" s="24" t="str">
        <f>'DE ( Tarik barang retur )'!D622</f>
        <v>TMP-INV-2026/06/09/ 2835940</v>
      </c>
      <c r="F645" s="24" t="str">
        <f>'DE ( Tarik barang retur )'!R622</f>
        <v>Invoice: TMP-INV-2026/06/09/ 2835940
1x TROVENSIS Sanbe TABLET 4 MG Tarik Barang Retur</v>
      </c>
      <c r="G645" s="36">
        <f>'DE ( Tarik barang retur )'!AF622</f>
        <v>46184</v>
      </c>
      <c r="H645" s="22">
        <v>46185.0</v>
      </c>
      <c r="I645" s="22">
        <v>46186.0</v>
      </c>
      <c r="J645" s="21" t="s">
        <v>5294</v>
      </c>
      <c r="K645" s="24"/>
      <c r="L645" s="24"/>
      <c r="M645" s="24"/>
      <c r="N645" s="24"/>
      <c r="O645" s="24"/>
      <c r="P645" s="25"/>
      <c r="Q645" s="25"/>
      <c r="R645" s="25"/>
      <c r="S645" s="25"/>
      <c r="T645" s="25"/>
      <c r="U645" s="25"/>
      <c r="V645" s="25"/>
      <c r="W645" s="25"/>
      <c r="X645" s="25"/>
      <c r="Y645" s="25"/>
      <c r="Z645" s="25"/>
      <c r="AA645" s="25"/>
      <c r="AB645" s="25"/>
      <c r="AC645" s="25"/>
    </row>
    <row r="646">
      <c r="A646" s="24" t="str">
        <f>'DE ( Tarik barang retur )'!AC623</f>
        <v>AWBR-3317793843-01</v>
      </c>
      <c r="B646" s="24" t="str">
        <f>'DE ( Tarik barang retur )'!F623</f>
        <v>Klinik Pratama Dharma Bakti Bungur</v>
      </c>
      <c r="C646" s="35">
        <f>'DE ( Tarik barang retur )'!G623</f>
        <v>8129007735</v>
      </c>
      <c r="D646" s="24" t="str">
        <f>'DE ( Tarik barang retur )'!H623</f>
        <v>Jalan Bungur Besar Raya No.2B RT 001 RW 001 Kelurahan Kemayoran Kecamatan Kemayoran  Jakarta Pusat 10620</v>
      </c>
      <c r="E646" s="24" t="str">
        <f>'DE ( Tarik barang retur )'!D623</f>
        <v>TMP-INV-2026/05/02/ 2698637</v>
      </c>
      <c r="F646" s="24" t="str">
        <f>'DE ( Tarik barang retur )'!R623</f>
        <v>Invoice: TMP-INV-2026/05/02/ 2698637
3x TRINORDIOL-28 Sunthi TABLET Tarik Barang Retur</v>
      </c>
      <c r="G646" s="36">
        <f>'DE ( Tarik barang retur )'!AF623</f>
        <v>46184</v>
      </c>
      <c r="H646" s="22">
        <v>46185.0</v>
      </c>
      <c r="I646" s="22">
        <v>46185.0</v>
      </c>
      <c r="J646" s="21" t="s">
        <v>5294</v>
      </c>
      <c r="K646" s="24"/>
      <c r="L646" s="24"/>
      <c r="M646" s="24"/>
      <c r="N646" s="24"/>
      <c r="O646" s="24"/>
      <c r="P646" s="25"/>
      <c r="Q646" s="25"/>
      <c r="R646" s="25"/>
      <c r="S646" s="25"/>
      <c r="T646" s="25"/>
      <c r="U646" s="25"/>
      <c r="V646" s="25"/>
      <c r="W646" s="25"/>
      <c r="X646" s="25"/>
      <c r="Y646" s="25"/>
      <c r="Z646" s="25"/>
      <c r="AA646" s="25"/>
      <c r="AB646" s="25"/>
      <c r="AC646" s="25"/>
    </row>
    <row r="647">
      <c r="A647" s="24" t="str">
        <f>'DE ( Tarik barang retur )'!AC624</f>
        <v>AWBR-3317126185-01</v>
      </c>
      <c r="B647" s="24" t="str">
        <f>'DE ( Tarik barang retur )'!F624</f>
        <v>Apotek Husada Farma</v>
      </c>
      <c r="C647" s="35">
        <f>'DE ( Tarik barang retur )'!G624</f>
        <v>818666508</v>
      </c>
      <c r="D647" s="24" t="str">
        <f>'DE ( Tarik barang retur )'!H624</f>
        <v>Jalan Sultan Hasanudin No.72 Desa Setiadarma Kecamatan Tambun Selatan Kabupaten Bekasi 17510</v>
      </c>
      <c r="E647" s="24" t="str">
        <f>'DE ( Tarik barang retur )'!D624</f>
        <v>TMP-INV-2026/05/26/ 2786686</v>
      </c>
      <c r="F647" s="24" t="str">
        <f>'DE ( Tarik barang retur )'!R624</f>
        <v>Invoice: TMP-INV-2026/05/26/ 2786686
1x LOTASBAT Interbat KRIM Tarik Barang Retur</v>
      </c>
      <c r="G647" s="36">
        <f>'DE ( Tarik barang retur )'!AF624</f>
        <v>46184</v>
      </c>
      <c r="H647" s="22">
        <v>46184.0</v>
      </c>
      <c r="I647" s="22">
        <v>46185.0</v>
      </c>
      <c r="J647" s="21" t="s">
        <v>5294</v>
      </c>
      <c r="K647" s="24"/>
      <c r="L647" s="24"/>
      <c r="M647" s="24"/>
      <c r="N647" s="24"/>
      <c r="O647" s="24"/>
      <c r="P647" s="25"/>
      <c r="Q647" s="25"/>
      <c r="R647" s="25"/>
      <c r="S647" s="25"/>
      <c r="T647" s="25"/>
      <c r="U647" s="25"/>
      <c r="V647" s="25"/>
      <c r="W647" s="25"/>
      <c r="X647" s="25"/>
      <c r="Y647" s="25"/>
      <c r="Z647" s="25"/>
      <c r="AA647" s="25"/>
      <c r="AB647" s="25"/>
      <c r="AC647" s="25"/>
    </row>
    <row r="648">
      <c r="A648" s="24" t="str">
        <f>'DE ( Tarik barang retur )'!AC625</f>
        <v>AWBR-3317114719-01</v>
      </c>
      <c r="B648" s="24" t="str">
        <f>'DE ( Tarik barang retur )'!F625</f>
        <v>Apotek Amanah Keluarga</v>
      </c>
      <c r="C648" s="35">
        <f>'DE ( Tarik barang retur )'!G625</f>
        <v>82133366006</v>
      </c>
      <c r="D648" s="24" t="str">
        <f>'DE ( Tarik barang retur )'!H625</f>
        <v>Kp. Pasar Lama RT. 02 / RW. 06 Desa Bojonggede Kecamatan Bojonggede Kabupaten Bogor 16922</v>
      </c>
      <c r="E648" s="24" t="str">
        <f>'DE ( Tarik barang retur )'!D625</f>
        <v>TMP-INV-2026/06/07/ 2828061</v>
      </c>
      <c r="F648" s="24" t="str">
        <f>'DE ( Tarik barang retur )'!R625</f>
        <v>Invoice: TMP-INV-2026/06/07/ 2828061
1x KINGVIT Lapi KAPLET Tarik Barang Retur</v>
      </c>
      <c r="G648" s="36">
        <f>'DE ( Tarik barang retur )'!AF625</f>
        <v>46184</v>
      </c>
      <c r="H648" s="22">
        <v>46184.0</v>
      </c>
      <c r="I648" s="22">
        <v>46185.0</v>
      </c>
      <c r="J648" s="21" t="s">
        <v>5294</v>
      </c>
      <c r="K648" s="24"/>
      <c r="L648" s="24"/>
      <c r="M648" s="24"/>
      <c r="N648" s="24"/>
      <c r="O648" s="24"/>
      <c r="P648" s="25"/>
      <c r="Q648" s="25"/>
      <c r="R648" s="25"/>
      <c r="S648" s="25"/>
      <c r="T648" s="25"/>
      <c r="U648" s="25"/>
      <c r="V648" s="25"/>
      <c r="W648" s="25"/>
      <c r="X648" s="25"/>
      <c r="Y648" s="25"/>
      <c r="Z648" s="25"/>
      <c r="AA648" s="25"/>
      <c r="AB648" s="25"/>
      <c r="AC648" s="25"/>
    </row>
    <row r="649">
      <c r="A649" s="24" t="str">
        <f>'DE ( Tarik barang retur )'!AC626</f>
        <v>AWBR-3317835841-01</v>
      </c>
      <c r="B649" s="24" t="str">
        <f>'DE ( Tarik barang retur )'!F626</f>
        <v>Apotek Rizky 3707</v>
      </c>
      <c r="C649" s="35">
        <f>'DE ( Tarik barang retur )'!G626</f>
        <v>6.2858E+16</v>
      </c>
      <c r="D649" s="24" t="str">
        <f>'DE ( Tarik barang retur )'!H626</f>
        <v>Kampung Bulengleng RT 01 RW 10 Desa Sukasari Kecamatan Cilaku Kabupaten Cianjur 43285</v>
      </c>
      <c r="E649" s="24" t="str">
        <f>'DE ( Tarik barang retur )'!D626</f>
        <v>TMP-INV-2026/05/09/ 2726116</v>
      </c>
      <c r="F649" s="24" t="str">
        <f>'DE ( Tarik barang retur )'!R626</f>
        <v>Invoice: TMP-INV-2026/05/09/ 2726116
1x ACTIFED PLUS EXPECTORANT Sterling SIRUP Tarik Barang Retur</v>
      </c>
      <c r="G649" s="36">
        <f>'DE ( Tarik barang retur )'!AF626</f>
        <v>46184</v>
      </c>
      <c r="H649" s="24"/>
      <c r="I649" s="24"/>
      <c r="J649" s="21" t="s">
        <v>5287</v>
      </c>
      <c r="K649" s="24"/>
      <c r="L649" s="24"/>
      <c r="M649" s="25" t="str">
        <f>GET_LOCATION(D649,"city")</f>
        <v>Cianjur Regency</v>
      </c>
      <c r="N649" s="25" t="str">
        <f>GET_LOCATION(D649,"province")</f>
        <v>West Java</v>
      </c>
      <c r="O649" s="25" t="str">
        <f>VLOOKUP(M649,'Mapping Area'!A:C,3,0)</f>
        <v>WJ</v>
      </c>
      <c r="P649" s="25"/>
      <c r="Q649" s="25"/>
      <c r="R649" s="25"/>
      <c r="S649" s="25"/>
      <c r="T649" s="25"/>
      <c r="U649" s="25"/>
      <c r="V649" s="25"/>
      <c r="W649" s="25"/>
      <c r="X649" s="25"/>
      <c r="Y649" s="25"/>
      <c r="Z649" s="25"/>
      <c r="AA649" s="25"/>
      <c r="AB649" s="25"/>
      <c r="AC649" s="25"/>
    </row>
    <row r="650">
      <c r="A650" s="24" t="str">
        <f>'DE ( Tarik barang retur )'!AC627</f>
        <v>AWBR-3317163798-01</v>
      </c>
      <c r="B650" s="24" t="str">
        <f>'DE ( Tarik barang retur )'!F627</f>
        <v>Apotek Mekar Baru Farma</v>
      </c>
      <c r="C650" s="35">
        <f>'DE ( Tarik barang retur )'!G627</f>
        <v>6.28134E+17</v>
      </c>
      <c r="D650" s="24" t="str">
        <f>'DE ( Tarik barang retur )'!H627</f>
        <v>JL.KH Suhaemi RT007/RW001 Desa Mekar Baru, Kec.Mekar Baru, Kab.Tangerang Banten 15551</v>
      </c>
      <c r="E650" s="24" t="str">
        <f>'DE ( Tarik barang retur )'!D627</f>
        <v>TMP-INV-2026/04/01/ 2590657</v>
      </c>
      <c r="F650" s="24" t="str">
        <f>'DE ( Tarik barang retur )'!R627</f>
        <v>Invoice: TMP-INV-2026/04/01/ 2590657
Complete Return Tarik Barang Retur</v>
      </c>
      <c r="G650" s="36">
        <f>'DE ( Tarik barang retur )'!AF627</f>
        <v>46184</v>
      </c>
      <c r="H650" s="22">
        <v>46184.0</v>
      </c>
      <c r="I650" s="22">
        <v>46185.0</v>
      </c>
      <c r="J650" s="21" t="s">
        <v>5294</v>
      </c>
      <c r="K650" s="24"/>
      <c r="L650" s="24"/>
      <c r="M650" s="24"/>
      <c r="N650" s="24"/>
      <c r="O650" s="24"/>
      <c r="P650" s="25"/>
      <c r="Q650" s="25"/>
      <c r="R650" s="25"/>
      <c r="S650" s="25"/>
      <c r="T650" s="25"/>
      <c r="U650" s="25"/>
      <c r="V650" s="25"/>
      <c r="W650" s="25"/>
      <c r="X650" s="25"/>
      <c r="Y650" s="25"/>
      <c r="Z650" s="25"/>
      <c r="AA650" s="25"/>
      <c r="AB650" s="25"/>
      <c r="AC650" s="25"/>
    </row>
    <row r="651">
      <c r="A651" s="24" t="str">
        <f>'DE ( Tarik barang retur )'!AC628</f>
        <v>AWBR-3317735043-01</v>
      </c>
      <c r="B651" s="24" t="str">
        <f>'DE ( Tarik barang retur )'!F628</f>
        <v>Apotek Kita Farma 3842</v>
      </c>
      <c r="C651" s="35">
        <f>'DE ( Tarik barang retur )'!G628</f>
        <v>6.28122E+16</v>
      </c>
      <c r="D651" s="24" t="str">
        <f>'DE ( Tarik barang retur )'!H628</f>
        <v>Jl. Perjuangan No.15A, Karyamulya, Kec. Kesambi, Kota Cirebon, Jawa Barat 45131</v>
      </c>
      <c r="E651" s="24" t="str">
        <f>'DE ( Tarik barang retur )'!D628</f>
        <v>TMP-INV-2026/06/09/ 2836121</v>
      </c>
      <c r="F651" s="24" t="str">
        <f>'DE ( Tarik barang retur )'!R628</f>
        <v>Invoice: TMP-INV-2026/06/09/ 2836121
1x DULCOLAX Boehringer TABLET 5 MG Tarik Barang Retur</v>
      </c>
      <c r="G651" s="36">
        <f>'DE ( Tarik barang retur )'!AF628</f>
        <v>46184</v>
      </c>
      <c r="H651" s="22">
        <v>46184.0</v>
      </c>
      <c r="I651" s="22">
        <v>46186.0</v>
      </c>
      <c r="J651" s="21" t="s">
        <v>5294</v>
      </c>
      <c r="K651" s="24"/>
      <c r="L651" s="24"/>
      <c r="M651" s="24"/>
      <c r="N651" s="24"/>
      <c r="O651" s="24"/>
      <c r="P651" s="25"/>
      <c r="Q651" s="25"/>
      <c r="R651" s="25"/>
      <c r="S651" s="25"/>
      <c r="T651" s="25"/>
      <c r="U651" s="25"/>
      <c r="V651" s="25"/>
      <c r="W651" s="25"/>
      <c r="X651" s="25"/>
      <c r="Y651" s="25"/>
      <c r="Z651" s="25"/>
      <c r="AA651" s="25"/>
      <c r="AB651" s="25"/>
      <c r="AC651" s="25"/>
    </row>
    <row r="652">
      <c r="A652" s="24" t="str">
        <f>'DE ( Tarik barang retur )'!AC629</f>
        <v>AWBR-3317784109-01</v>
      </c>
      <c r="B652" s="24" t="str">
        <f>'DE ( Tarik barang retur )'!F629</f>
        <v>Apotek Ihsan Farma</v>
      </c>
      <c r="C652" s="35">
        <f>'DE ( Tarik barang retur )'!G629</f>
        <v>8164881897</v>
      </c>
      <c r="D652" s="24" t="str">
        <f>'DE ( Tarik barang retur )'!H629</f>
        <v>Jalan Cilangkap Kp. Cilangkap RT 006 RW 012 Kelurahan Cilangkap Kecamatan Tapos Kota Depok  16411</v>
      </c>
      <c r="E652" s="24" t="str">
        <f>'DE ( Tarik barang retur )'!D629</f>
        <v>TMP-INV-2026/04/15/ 2641680</v>
      </c>
      <c r="F652" s="24" t="str">
        <f>'DE ( Tarik barang retur )'!R629</f>
        <v>Invoice: TMP-INV-2026/04/15/ 2641680
Complete Return Tarik Barang Retur</v>
      </c>
      <c r="G652" s="36">
        <f>'DE ( Tarik barang retur )'!AF629</f>
        <v>46184</v>
      </c>
      <c r="H652" s="22">
        <v>46184.0</v>
      </c>
      <c r="I652" s="22">
        <v>46186.0</v>
      </c>
      <c r="J652" s="21" t="s">
        <v>5294</v>
      </c>
      <c r="K652" s="24"/>
      <c r="L652" s="24"/>
      <c r="M652" s="24"/>
      <c r="N652" s="24"/>
      <c r="O652" s="24"/>
      <c r="P652" s="25"/>
      <c r="Q652" s="25"/>
      <c r="R652" s="25"/>
      <c r="S652" s="25"/>
      <c r="T652" s="25"/>
      <c r="U652" s="25"/>
      <c r="V652" s="25"/>
      <c r="W652" s="25"/>
      <c r="X652" s="25"/>
      <c r="Y652" s="25"/>
      <c r="Z652" s="25"/>
      <c r="AA652" s="25"/>
      <c r="AB652" s="25"/>
      <c r="AC652" s="25"/>
    </row>
    <row r="653">
      <c r="A653" s="24" t="str">
        <f>'DE ( Tarik barang retur )'!AC630</f>
        <v>AWBR-3317771308-01</v>
      </c>
      <c r="B653" s="24" t="str">
        <f>'DE ( Tarik barang retur )'!F630</f>
        <v>Apotek Farmapedia</v>
      </c>
      <c r="C653" s="35">
        <f>'DE ( Tarik barang retur )'!G630</f>
        <v>81908240368</v>
      </c>
      <c r="D653" s="24" t="str">
        <f>'DE ( Tarik barang retur )'!H630</f>
        <v>Ruko Palem Ganda Asri Jalan Raya Cinere No. 11 RT. 001 RW. 007 Kelurahan Meruyung Kecamatan Limo Kota Depok 16515</v>
      </c>
      <c r="E653" s="24" t="str">
        <f>'DE ( Tarik barang retur )'!D630</f>
        <v>TMP-INV-2026/06/03/ 2810285</v>
      </c>
      <c r="F653" s="24" t="str">
        <f>'DE ( Tarik barang retur )'!R630</f>
        <v>Invoice: TMP-INV-2026/06/03/ 2810285
2x CANDESARTAN CILEXETIL Dexa Medica TABLET 16 MG Tarik Barang Retur</v>
      </c>
      <c r="G653" s="36">
        <f>'DE ( Tarik barang retur )'!AF630</f>
        <v>46184</v>
      </c>
      <c r="H653" s="22">
        <v>46184.0</v>
      </c>
      <c r="I653" s="22">
        <v>46185.0</v>
      </c>
      <c r="J653" s="21" t="s">
        <v>5294</v>
      </c>
      <c r="K653" s="24"/>
      <c r="L653" s="24"/>
      <c r="M653" s="24"/>
      <c r="N653" s="24"/>
      <c r="O653" s="24"/>
      <c r="P653" s="25"/>
      <c r="Q653" s="25"/>
      <c r="R653" s="25"/>
      <c r="S653" s="25"/>
      <c r="T653" s="25"/>
      <c r="U653" s="25"/>
      <c r="V653" s="25"/>
      <c r="W653" s="25"/>
      <c r="X653" s="25"/>
      <c r="Y653" s="25"/>
      <c r="Z653" s="25"/>
      <c r="AA653" s="25"/>
      <c r="AB653" s="25"/>
      <c r="AC653" s="25"/>
    </row>
    <row r="654">
      <c r="A654" s="24" t="str">
        <f>'DE ( Tarik barang retur )'!AC631</f>
        <v>AWBR-3317130053-01</v>
      </c>
      <c r="B654" s="24" t="str">
        <f>'DE ( Tarik barang retur )'!F631</f>
        <v>Apotek AM Farma</v>
      </c>
      <c r="C654" s="35">
        <f>'DE ( Tarik barang retur )'!G631</f>
        <v>8156747764</v>
      </c>
      <c r="D654" s="24" t="str">
        <f>'DE ( Tarik barang retur )'!H631</f>
        <v>Jalan Kusuma Barat Raya No.2A RT 006 RW 016 Wisma Jaya Kelurahan Duren Jaya Kecamatan Bekasi Timur Kota Bekasi 17111</v>
      </c>
      <c r="E654" s="24" t="str">
        <f>'DE ( Tarik barang retur )'!D631</f>
        <v>TMP-INV-2025/07/05/ 1714751</v>
      </c>
      <c r="F654" s="24" t="str">
        <f>'DE ( Tarik barang retur )'!R631</f>
        <v>Invoice: TMP-INV-2025/07/05/ 1714751
2x DUPHALAC Abbott SIRUP 3.335 G Tarik Barang Retur</v>
      </c>
      <c r="G654" s="36">
        <f>'DE ( Tarik barang retur )'!AF631</f>
        <v>46184</v>
      </c>
      <c r="H654" s="22">
        <v>46186.0</v>
      </c>
      <c r="I654" s="22">
        <v>46186.0</v>
      </c>
      <c r="J654" s="21" t="s">
        <v>5294</v>
      </c>
      <c r="K654" s="24"/>
      <c r="L654" s="24"/>
      <c r="M654" s="24"/>
      <c r="N654" s="24"/>
      <c r="O654" s="24"/>
      <c r="P654" s="25"/>
      <c r="Q654" s="25"/>
      <c r="R654" s="25"/>
      <c r="S654" s="25"/>
      <c r="T654" s="25"/>
      <c r="U654" s="25"/>
      <c r="V654" s="25"/>
      <c r="W654" s="25"/>
      <c r="X654" s="25"/>
      <c r="Y654" s="25"/>
      <c r="Z654" s="25"/>
      <c r="AA654" s="25"/>
      <c r="AB654" s="25"/>
      <c r="AC654" s="25"/>
    </row>
    <row r="655">
      <c r="A655" s="24" t="str">
        <f>'DE ( Tarik barang retur )'!AC632</f>
        <v>AWBR-3317107250-01</v>
      </c>
      <c r="B655" s="24" t="str">
        <f>'DE ( Tarik barang retur )'!F632</f>
        <v>Apotek Cahaya Berkah Inactive</v>
      </c>
      <c r="C655" s="35">
        <f>'DE ( Tarik barang retur )'!G632</f>
        <v>85780639633</v>
      </c>
      <c r="D655" s="24" t="str">
        <f>'DE ( Tarik barang retur )'!H632</f>
        <v>Jalan Menjangan Raya No 27 RT 006/015 Kelurahan Pondok Ranji Kecamatan Ciputat Timur Tangerang Selatan 15412</v>
      </c>
      <c r="E655" s="24" t="str">
        <f>'DE ( Tarik barang retur )'!D632</f>
        <v>TMP-INV-2026/06/08/ 2830752, TMP-INV-2026/06/08/ 2829975</v>
      </c>
      <c r="F655" s="24" t="str">
        <f>'DE ( Tarik barang retur )'!R632</f>
        <v>Invoice: TMP-INV-2026/06/08/ 2830752
2x PROPYLTHIOURACIL Dexa Medica TABLET 100 MG
----------------------------------------
Invoice: TMP-INV-2026/06/08/ 2829975
3x MINYAK SEREH CAP DRAGON Dpf
3x MINYAK SEREH CAP DRAGON Dpf
3x MINYAK SEREH CAP DRAGON Dpf Tarik Barang Retur</v>
      </c>
      <c r="G655" s="36">
        <f>'DE ( Tarik barang retur )'!AF632</f>
        <v>46184</v>
      </c>
      <c r="H655" s="22">
        <v>46184.0</v>
      </c>
      <c r="I655" s="22">
        <v>46185.0</v>
      </c>
      <c r="J655" s="21" t="s">
        <v>5294</v>
      </c>
      <c r="K655" s="24"/>
      <c r="L655" s="24"/>
      <c r="M655" s="24"/>
      <c r="N655" s="24"/>
      <c r="O655" s="24"/>
      <c r="P655" s="25"/>
      <c r="Q655" s="25"/>
      <c r="R655" s="25"/>
      <c r="S655" s="25"/>
      <c r="T655" s="25"/>
      <c r="U655" s="25"/>
      <c r="V655" s="25"/>
      <c r="W655" s="25"/>
      <c r="X655" s="25"/>
      <c r="Y655" s="25"/>
      <c r="Z655" s="25"/>
      <c r="AA655" s="25"/>
      <c r="AB655" s="25"/>
      <c r="AC655" s="25"/>
    </row>
    <row r="656">
      <c r="A656" s="24" t="str">
        <f>'DE ( Tarik barang retur )'!AC633</f>
        <v>AWBR-3317155711-01</v>
      </c>
      <c r="B656" s="24" t="str">
        <f>'DE ( Tarik barang retur )'!F633</f>
        <v>Klinik Pratama Yaska Medika Inactive</v>
      </c>
      <c r="C656" s="35">
        <f>'DE ( Tarik barang retur )'!G633</f>
        <v>81315952212</v>
      </c>
      <c r="D656" s="24" t="str">
        <f>'DE ( Tarik barang retur )'!H633</f>
        <v>Jl. Sukapura No.22 RT.02 RW.05, Kel. Sukapura, Kec. Kiaracondong, Kota Bandung 40281</v>
      </c>
      <c r="E656" s="24" t="str">
        <f>'DE ( Tarik barang retur )'!D633</f>
        <v>TMP-INV-2026/06/08/ 2831137</v>
      </c>
      <c r="F656" s="24" t="str">
        <f>'DE ( Tarik barang retur )'!R633</f>
        <v>Invoice: TMP-INV-2026/06/08/ 2831137
1x MECOBALAMIN Novell KAPSUL 250 MCG Tarik Barang Retur</v>
      </c>
      <c r="G656" s="36">
        <f>'DE ( Tarik barang retur )'!AF633</f>
        <v>46184</v>
      </c>
      <c r="H656" s="22">
        <v>46184.0</v>
      </c>
      <c r="I656" s="22">
        <v>46185.0</v>
      </c>
      <c r="J656" s="21" t="s">
        <v>5294</v>
      </c>
      <c r="K656" s="24"/>
      <c r="L656" s="24"/>
      <c r="M656" s="24"/>
      <c r="N656" s="24"/>
      <c r="O656" s="24"/>
      <c r="P656" s="25"/>
      <c r="Q656" s="25"/>
      <c r="R656" s="25"/>
      <c r="S656" s="25"/>
      <c r="T656" s="25"/>
      <c r="U656" s="25"/>
      <c r="V656" s="25"/>
      <c r="W656" s="25"/>
      <c r="X656" s="25"/>
      <c r="Y656" s="25"/>
      <c r="Z656" s="25"/>
      <c r="AA656" s="25"/>
      <c r="AB656" s="25"/>
      <c r="AC656" s="25"/>
    </row>
    <row r="657">
      <c r="A657" s="24" t="str">
        <f>'DE ( Tarik barang retur )'!AC634</f>
        <v>AWBR-3317104918-01</v>
      </c>
      <c r="B657" s="24" t="str">
        <f>'DE ( Tarik barang retur )'!F634</f>
        <v>Apotek Komplit Jaya</v>
      </c>
      <c r="C657" s="35">
        <f>'DE ( Tarik barang retur )'!G634</f>
        <v>85263863666</v>
      </c>
      <c r="D657" s="24" t="str">
        <f>'DE ( Tarik barang retur )'!H634</f>
        <v>Jalan Pangkalan Asem Raya No. 29, RT 02/ RW 05, Desa/Kel. Kampung Rawa Kec. Johar Baru, Jakarta Pusat 10550</v>
      </c>
      <c r="E657" s="24" t="str">
        <f>'DE ( Tarik barang retur )'!D634</f>
        <v>TMP-INV-2025/03/15/ 1427974</v>
      </c>
      <c r="F657" s="24" t="str">
        <f>'DE ( Tarik barang retur )'!R634</f>
        <v>Invoice: TMP-INV-2025/03/15/ 1427974
2x CURVIT CL EMULSION Soho EMULSI Tarik Barang Retur</v>
      </c>
      <c r="G657" s="36">
        <f>'DE ( Tarik barang retur )'!AF634</f>
        <v>46184</v>
      </c>
      <c r="H657" s="22">
        <v>46184.0</v>
      </c>
      <c r="I657" s="22">
        <v>46185.0</v>
      </c>
      <c r="J657" s="21" t="s">
        <v>5294</v>
      </c>
      <c r="K657" s="24"/>
      <c r="L657" s="24"/>
      <c r="M657" s="24"/>
      <c r="N657" s="24"/>
      <c r="O657" s="24"/>
      <c r="P657" s="25"/>
      <c r="Q657" s="25"/>
      <c r="R657" s="25"/>
      <c r="S657" s="25"/>
      <c r="T657" s="25"/>
      <c r="U657" s="25"/>
      <c r="V657" s="25"/>
      <c r="W657" s="25"/>
      <c r="X657" s="25"/>
      <c r="Y657" s="25"/>
      <c r="Z657" s="25"/>
      <c r="AA657" s="25"/>
      <c r="AB657" s="25"/>
      <c r="AC657" s="25"/>
    </row>
    <row r="658">
      <c r="A658" s="24" t="str">
        <f>'DE ( Tarik barang retur )'!AC635</f>
        <v>AWBR-3317828397-01</v>
      </c>
      <c r="B658" s="24" t="str">
        <f>'DE ( Tarik barang retur )'!F635</f>
        <v>Apotek Galaxy Farma</v>
      </c>
      <c r="C658" s="35">
        <f>'DE ( Tarik barang retur )'!G635</f>
        <v>81380704123</v>
      </c>
      <c r="D658" s="24" t="str">
        <f>'DE ( Tarik barang retur )'!H635</f>
        <v>Jl. Galaksi Raya Blok A No.8-9 CD, RT.010/RW.006, Jakasampurna, Kec. Bekasi Barat, Kota Bks, Jawa Barat 17145</v>
      </c>
      <c r="E658" s="24" t="str">
        <f>'DE ( Tarik barang retur )'!D635</f>
        <v>TMP-INV-2026/04/07/ 2609730</v>
      </c>
      <c r="F658" s="24" t="str">
        <f>'DE ( Tarik barang retur )'!R635</f>
        <v>Invoice: TMP-INV-2026/04/07/ 2609730
Complete Return Tarik Barang Retur</v>
      </c>
      <c r="G658" s="36">
        <f>'DE ( Tarik barang retur )'!AF635</f>
        <v>46184</v>
      </c>
      <c r="H658" s="22">
        <v>46184.0</v>
      </c>
      <c r="I658" s="22">
        <v>46185.0</v>
      </c>
      <c r="J658" s="21" t="s">
        <v>5294</v>
      </c>
      <c r="K658" s="24"/>
      <c r="L658" s="24"/>
      <c r="M658" s="24"/>
      <c r="N658" s="24"/>
      <c r="O658" s="24"/>
      <c r="P658" s="25"/>
      <c r="Q658" s="25"/>
      <c r="R658" s="25"/>
      <c r="S658" s="25"/>
      <c r="T658" s="25"/>
      <c r="U658" s="25"/>
      <c r="V658" s="25"/>
      <c r="W658" s="25"/>
      <c r="X658" s="25"/>
      <c r="Y658" s="25"/>
      <c r="Z658" s="25"/>
      <c r="AA658" s="25"/>
      <c r="AB658" s="25"/>
      <c r="AC658" s="25"/>
    </row>
    <row r="659">
      <c r="A659" s="24" t="str">
        <f>'DE ( Tarik barang retur )'!AC636</f>
        <v>AWBR-3317759231-01</v>
      </c>
      <c r="B659" s="24" t="str">
        <f>'DE ( Tarik barang retur )'!F636</f>
        <v>Apotek Tama Farma 5583</v>
      </c>
      <c r="C659" s="35">
        <f>'DE ( Tarik barang retur )'!G636</f>
        <v>6.28522E+17</v>
      </c>
      <c r="D659" s="24" t="str">
        <f>'DE ( Tarik barang retur )'!H636</f>
        <v>Griya Bukit Jaya Jalan Yudhistira Raya Blok B1 No 21, Desa/Kelurahan Tlajung Udik, Kecamatan Gunung Putri, Kabupaten Bogor, Provinsi Jawa Barat 16912</v>
      </c>
      <c r="E659" s="24" t="str">
        <f>'DE ( Tarik barang retur )'!D636</f>
        <v>TMP-INV-2026/06/09/ 2835791</v>
      </c>
      <c r="F659" s="24" t="str">
        <f>'DE ( Tarik barang retur )'!R636</f>
        <v>Invoice: TMP-INV-2026/06/09/ 2835791
1x CEFIXIME Dexa Medica KAPSUL 100 MG Tarik Barang Retur</v>
      </c>
      <c r="G659" s="36">
        <f>'DE ( Tarik barang retur )'!AF636</f>
        <v>46184</v>
      </c>
      <c r="H659" s="22">
        <v>46184.0</v>
      </c>
      <c r="I659" s="22">
        <v>46185.0</v>
      </c>
      <c r="J659" s="21" t="s">
        <v>5294</v>
      </c>
      <c r="K659" s="24"/>
      <c r="L659" s="24"/>
      <c r="M659" s="24"/>
      <c r="N659" s="24"/>
      <c r="O659" s="24"/>
      <c r="P659" s="25"/>
      <c r="Q659" s="25"/>
      <c r="R659" s="25"/>
      <c r="S659" s="25"/>
      <c r="T659" s="25"/>
      <c r="U659" s="25"/>
      <c r="V659" s="25"/>
      <c r="W659" s="25"/>
      <c r="X659" s="25"/>
      <c r="Y659" s="25"/>
      <c r="Z659" s="25"/>
      <c r="AA659" s="25"/>
      <c r="AB659" s="25"/>
      <c r="AC659" s="25"/>
    </row>
    <row r="660">
      <c r="A660" s="24" t="str">
        <f>'DE ( Tarik barang retur )'!AC637</f>
        <v>AWBR-3317080396-01</v>
      </c>
      <c r="B660" s="24" t="str">
        <f>'DE ( Tarik barang retur )'!F637</f>
        <v>Apotek Rai Affiyah</v>
      </c>
      <c r="C660" s="35">
        <f>'DE ( Tarik barang retur )'!G637</f>
        <v>8112106766</v>
      </c>
      <c r="D660" s="24" t="str">
        <f>'DE ( Tarik barang retur )'!H637</f>
        <v>Kp. Ciburial Timur No. 393 RT. 01 RW.06,Desa Soreang Kec. Soreang, Kab. Bandung 40911</v>
      </c>
      <c r="E660" s="24" t="str">
        <f>'DE ( Tarik barang retur )'!D637</f>
        <v>TMP-INV-2026/06/08/ 2828461</v>
      </c>
      <c r="F660" s="24" t="str">
        <f>'DE ( Tarik barang retur )'!R637</f>
        <v>Invoice: TMP-INV-2026/06/08/ 2828461
1x CATAFLAM D Novartis TABLET DISPERSIBLE Tarik Barang Retur</v>
      </c>
      <c r="G660" s="36">
        <f>'DE ( Tarik barang retur )'!AF637</f>
        <v>46184</v>
      </c>
      <c r="H660" s="22">
        <v>46186.0</v>
      </c>
      <c r="I660" s="22">
        <v>46187.0</v>
      </c>
      <c r="J660" s="21" t="s">
        <v>5294</v>
      </c>
      <c r="K660" s="24"/>
      <c r="L660" s="24"/>
      <c r="M660" s="24"/>
      <c r="N660" s="24"/>
      <c r="O660" s="24"/>
      <c r="P660" s="25"/>
      <c r="Q660" s="25"/>
      <c r="R660" s="25"/>
      <c r="S660" s="25"/>
      <c r="T660" s="25"/>
      <c r="U660" s="25"/>
      <c r="V660" s="25"/>
      <c r="W660" s="25"/>
      <c r="X660" s="25"/>
      <c r="Y660" s="25"/>
      <c r="Z660" s="25"/>
      <c r="AA660" s="25"/>
      <c r="AB660" s="25"/>
      <c r="AC660" s="25"/>
    </row>
    <row r="661">
      <c r="A661" s="24" t="str">
        <f>'DE ( Tarik barang retur )'!AC638</f>
        <v>AWBR-3317248838-01</v>
      </c>
      <c r="B661" s="24" t="str">
        <f>'DE ( Tarik barang retur )'!F638</f>
        <v>Apotek Kita Farma 5975 Inactive</v>
      </c>
      <c r="C661" s="35">
        <f>'DE ( Tarik barang retur )'!G638</f>
        <v>81223870264</v>
      </c>
      <c r="D661" s="24" t="str">
        <f>'DE ( Tarik barang retur )'!H638</f>
        <v>Jl. Nuansa A4 Ruko Kawistara RT.06 RW.04, Kel. Cipamokolan, Kec. Rancasari, Kota Bandung 40292</v>
      </c>
      <c r="E661" s="24" t="str">
        <f>'DE ( Tarik barang retur )'!D638</f>
        <v>TMP-INV-2026/06/08/ 2831151</v>
      </c>
      <c r="F661" s="24" t="str">
        <f>'DE ( Tarik barang retur )'!R638</f>
        <v>Invoice: TMP-INV-2026/06/08/ 2831151
1x LYCOXY Dexa Medica KAPLET (ED DEKAT - EXTRA DISC) Tarik Barang Retur</v>
      </c>
      <c r="G661" s="36">
        <f>'DE ( Tarik barang retur )'!AF638</f>
        <v>46184</v>
      </c>
      <c r="H661" s="22">
        <v>46184.0</v>
      </c>
      <c r="I661" s="22">
        <v>46185.0</v>
      </c>
      <c r="J661" s="21" t="s">
        <v>5294</v>
      </c>
      <c r="K661" s="24"/>
      <c r="L661" s="24"/>
      <c r="M661" s="24"/>
      <c r="N661" s="24"/>
      <c r="O661" s="24"/>
      <c r="P661" s="25"/>
      <c r="Q661" s="25"/>
      <c r="R661" s="25"/>
      <c r="S661" s="25"/>
      <c r="T661" s="25"/>
      <c r="U661" s="25"/>
      <c r="V661" s="25"/>
      <c r="W661" s="25"/>
      <c r="X661" s="25"/>
      <c r="Y661" s="25"/>
      <c r="Z661" s="25"/>
      <c r="AA661" s="25"/>
      <c r="AB661" s="25"/>
      <c r="AC661" s="25"/>
    </row>
    <row r="662">
      <c r="A662" s="24" t="str">
        <f>'DE ( Tarik barang retur )'!AC639</f>
        <v>AWBR-3317795860-01</v>
      </c>
      <c r="B662" s="24" t="str">
        <f>'DE ( Tarik barang retur )'!F639</f>
        <v>Apotek Petratean</v>
      </c>
      <c r="C662" s="35">
        <f>'DE ( Tarik barang retur )'!G639</f>
        <v>82318965737</v>
      </c>
      <c r="D662" s="24" t="str">
        <f>'DE ( Tarik barang retur )'!H639</f>
        <v>Jl. Petratean No.37, Kel. Pekalipan, Kec. Pekalipan, Kota Cirebon 45117</v>
      </c>
      <c r="E662" s="24" t="str">
        <f>'DE ( Tarik barang retur )'!D639</f>
        <v>TMP-INV-2026/05/26/ 2787423</v>
      </c>
      <c r="F662" s="24" t="str">
        <f>'DE ( Tarik barang retur )'!R639</f>
        <v>Invoice: TMP-INV-2026/05/26/ 2787423
2x HOLISTICARE ESTER C 1000 Indocare TABLET Tarik Barang Retur</v>
      </c>
      <c r="G662" s="36">
        <f>'DE ( Tarik barang retur )'!AF639</f>
        <v>46184</v>
      </c>
      <c r="H662" s="22">
        <v>46185.0</v>
      </c>
      <c r="I662" s="22">
        <v>46187.0</v>
      </c>
      <c r="J662" s="21" t="s">
        <v>5294</v>
      </c>
      <c r="K662" s="24"/>
      <c r="L662" s="24"/>
      <c r="M662" s="24"/>
      <c r="N662" s="24"/>
      <c r="O662" s="24"/>
      <c r="P662" s="25"/>
      <c r="Q662" s="25"/>
      <c r="R662" s="25"/>
      <c r="S662" s="25"/>
      <c r="T662" s="25"/>
      <c r="U662" s="25"/>
      <c r="V662" s="25"/>
      <c r="W662" s="25"/>
      <c r="X662" s="25"/>
      <c r="Y662" s="25"/>
      <c r="Z662" s="25"/>
      <c r="AA662" s="25"/>
      <c r="AB662" s="25"/>
      <c r="AC662" s="25"/>
    </row>
    <row r="663">
      <c r="A663" s="24" t="str">
        <f>'DE ( Tarik barang retur )'!AC640</f>
        <v>AWBR-3317743979-01</v>
      </c>
      <c r="B663" s="24" t="str">
        <f>'DE ( Tarik barang retur )'!F640</f>
        <v>Apotek Atabik Inactive</v>
      </c>
      <c r="C663" s="35">
        <f>'DE ( Tarik barang retur )'!G640</f>
        <v>81214764857</v>
      </c>
      <c r="D663" s="24" t="str">
        <f>'DE ( Tarik barang retur )'!H640</f>
        <v>Jl. Nyi Mas Gandasari Blok IV, Desa Panguragan Kulon, Kec. Pagurangan, Kab. Cirebon 45163</v>
      </c>
      <c r="E663" s="24" t="str">
        <f>'DE ( Tarik barang retur )'!D640</f>
        <v>TMP-INV-2026/06/09/ 2834067</v>
      </c>
      <c r="F663" s="24" t="str">
        <f>'DE ( Tarik barang retur )'!R640</f>
        <v>Invoice: TMP-INV-2026/06/09/ 2834067
8x BETADINE ANTISEPTIC SOLUTION Mbf CAIRAN OBAT LUAR 10 % Tarik Barang Retur</v>
      </c>
      <c r="G663" s="36">
        <f>'DE ( Tarik barang retur )'!AF640</f>
        <v>46184</v>
      </c>
      <c r="H663" s="22">
        <v>46184.0</v>
      </c>
      <c r="I663" s="22">
        <v>46186.0</v>
      </c>
      <c r="J663" s="21" t="s">
        <v>5294</v>
      </c>
      <c r="K663" s="24"/>
      <c r="L663" s="24"/>
      <c r="M663" s="24"/>
      <c r="N663" s="24"/>
      <c r="O663" s="24"/>
      <c r="P663" s="25"/>
      <c r="Q663" s="25"/>
      <c r="R663" s="25"/>
      <c r="S663" s="25"/>
      <c r="T663" s="25"/>
      <c r="U663" s="25"/>
      <c r="V663" s="25"/>
      <c r="W663" s="25"/>
      <c r="X663" s="25"/>
      <c r="Y663" s="25"/>
      <c r="Z663" s="25"/>
      <c r="AA663" s="25"/>
      <c r="AB663" s="25"/>
      <c r="AC663" s="25"/>
    </row>
    <row r="664">
      <c r="A664" s="24" t="str">
        <f>'DE ( Tarik barang retur )'!AC641</f>
        <v>AWBR-3317746051-01</v>
      </c>
      <c r="B664" s="24" t="str">
        <f>'DE ( Tarik barang retur )'!F641</f>
        <v>Apotek Jala Medika Farma</v>
      </c>
      <c r="C664" s="35">
        <f>'DE ( Tarik barang retur )'!G641</f>
        <v>8121024576</v>
      </c>
      <c r="D664" s="24" t="str">
        <f>'DE ( Tarik barang retur )'!H641</f>
        <v>Jl. Kol. Masturi KM.3 No.97 RT.01 RW.11, Kel. Cipageran, Kec. Cimahi Utara, Kota Cimahi, 40511</v>
      </c>
      <c r="E664" s="24" t="str">
        <f>'DE ( Tarik barang retur )'!D641</f>
        <v>TMP-INV-2026/04/29/ 2691271</v>
      </c>
      <c r="F664" s="24" t="str">
        <f>'DE ( Tarik barang retur )'!R641</f>
        <v>Invoice: TMP-INV-2026/04/29/ 2691271
Complete Return Tarik Barang Retur</v>
      </c>
      <c r="G664" s="36">
        <f>'DE ( Tarik barang retur )'!AF641</f>
        <v>46184</v>
      </c>
      <c r="H664" s="22">
        <v>46184.0</v>
      </c>
      <c r="I664" s="22">
        <v>46186.0</v>
      </c>
      <c r="J664" s="21" t="s">
        <v>5294</v>
      </c>
      <c r="K664" s="24"/>
      <c r="L664" s="24"/>
      <c r="M664" s="24"/>
      <c r="N664" s="24"/>
      <c r="O664" s="24"/>
      <c r="P664" s="25"/>
      <c r="Q664" s="25"/>
      <c r="R664" s="25"/>
      <c r="S664" s="25"/>
      <c r="T664" s="25"/>
      <c r="U664" s="25"/>
      <c r="V664" s="25"/>
      <c r="W664" s="25"/>
      <c r="X664" s="25"/>
      <c r="Y664" s="25"/>
      <c r="Z664" s="25"/>
      <c r="AA664" s="25"/>
      <c r="AB664" s="25"/>
      <c r="AC664" s="25"/>
    </row>
    <row r="665">
      <c r="A665" s="24" t="str">
        <f>'DE ( Tarik barang retur )'!AC642</f>
        <v>AWBR-3317814715-01</v>
      </c>
      <c r="B665" s="24" t="str">
        <f>'DE ( Tarik barang retur )'!F642</f>
        <v>Apotek Zhumar Farma</v>
      </c>
      <c r="C665" s="35">
        <f>'DE ( Tarik barang retur )'!G642</f>
        <v>81219966550</v>
      </c>
      <c r="D665" s="24" t="str">
        <f>'DE ( Tarik barang retur )'!H642</f>
        <v>Jl. H. Mawi RT. 02 RW. 02 Desa Waru Kec. Parung Kab. Bogor 16330</v>
      </c>
      <c r="E665" s="24" t="str">
        <f>'DE ( Tarik barang retur )'!D642</f>
        <v>TMP-INV-2026/06/09/ 2836162</v>
      </c>
      <c r="F665" s="24" t="str">
        <f>'DE ( Tarik barang retur )'!R642</f>
        <v>Invoice: TMP-INV-2026/06/09/ 2836162
2x BORRAGINOL-S Takeda SALEP Tarik Barang Retur</v>
      </c>
      <c r="G665" s="36">
        <f>'DE ( Tarik barang retur )'!AF642</f>
        <v>46184</v>
      </c>
      <c r="H665" s="22">
        <v>46184.0</v>
      </c>
      <c r="I665" s="22">
        <v>46185.0</v>
      </c>
      <c r="J665" s="21" t="s">
        <v>5294</v>
      </c>
      <c r="K665" s="24"/>
      <c r="L665" s="24"/>
      <c r="M665" s="24"/>
      <c r="N665" s="24"/>
      <c r="O665" s="24"/>
      <c r="P665" s="25"/>
      <c r="Q665" s="25"/>
      <c r="R665" s="25"/>
      <c r="S665" s="25"/>
      <c r="T665" s="25"/>
      <c r="U665" s="25"/>
      <c r="V665" s="25"/>
      <c r="W665" s="25"/>
      <c r="X665" s="25"/>
      <c r="Y665" s="25"/>
      <c r="Z665" s="25"/>
      <c r="AA665" s="25"/>
      <c r="AB665" s="25"/>
      <c r="AC665" s="25"/>
    </row>
    <row r="666">
      <c r="A666" s="24" t="str">
        <f>'DE ( Tarik barang retur )'!AC643</f>
        <v>AWBR-3317079235-01</v>
      </c>
      <c r="B666" s="24" t="str">
        <f>'DE ( Tarik barang retur )'!F643</f>
        <v>Apotek Al-Fattah 2</v>
      </c>
      <c r="C666" s="35">
        <f>'DE ( Tarik barang retur )'!G643</f>
        <v>82120073283</v>
      </c>
      <c r="D666" s="24" t="str">
        <f>'DE ( Tarik barang retur )'!H643</f>
        <v>Jl. Cingised No.8 RT 06 RW 03, Desa/Kelurahan Cisaranten Endah, Kec. Arcamanik, Kota Bandung, Provinsi Jawa Barat, Kode Pos: 40293</v>
      </c>
      <c r="E666" s="24" t="str">
        <f>'DE ( Tarik barang retur )'!D643</f>
        <v>TMP-INV-2026/06/08/ 2829763</v>
      </c>
      <c r="F666" s="24" t="str">
        <f>'DE ( Tarik barang retur )'!R643</f>
        <v>Invoice: TMP-INV-2026/06/08/ 2829763
1x CATAFLAM D Novartis TABLET DISPERSIBLE Tarik Barang Retur</v>
      </c>
      <c r="G666" s="36">
        <f>'DE ( Tarik barang retur )'!AF643</f>
        <v>46184</v>
      </c>
      <c r="H666" s="22">
        <v>46185.0</v>
      </c>
      <c r="I666" s="22">
        <v>46186.0</v>
      </c>
      <c r="J666" s="21" t="s">
        <v>5294</v>
      </c>
      <c r="K666" s="24"/>
      <c r="L666" s="24"/>
      <c r="M666" s="24"/>
      <c r="N666" s="24"/>
      <c r="O666" s="24"/>
      <c r="P666" s="25"/>
      <c r="Q666" s="25"/>
      <c r="R666" s="25"/>
      <c r="S666" s="25"/>
      <c r="T666" s="25"/>
      <c r="U666" s="25"/>
      <c r="V666" s="25"/>
      <c r="W666" s="25"/>
      <c r="X666" s="25"/>
      <c r="Y666" s="25"/>
      <c r="Z666" s="25"/>
      <c r="AA666" s="25"/>
      <c r="AB666" s="25"/>
      <c r="AC666" s="25"/>
    </row>
    <row r="667">
      <c r="A667" s="24" t="str">
        <f>'DE ( Tarik barang retur )'!AC644</f>
        <v>AWBR-3317780305-01</v>
      </c>
      <c r="B667" s="24" t="str">
        <f>'DE ( Tarik barang retur )'!F644</f>
        <v>Apotek Cemerlang Farma</v>
      </c>
      <c r="C667" s="35">
        <f>'DE ( Tarik barang retur )'!G644</f>
        <v>6.28211E+17</v>
      </c>
      <c r="D667" s="24" t="str">
        <f>'DE ( Tarik barang retur )'!H644</f>
        <v>Jl. Buwek Raya No. 94 RT 003/RW 022 Desa Sumberjaya,  Kec. Tambun Selatan, Kabupaten Bekasi</v>
      </c>
      <c r="E667" s="24" t="str">
        <f>'DE ( Tarik barang retur )'!D644</f>
        <v>TMP-INV-2026/04/13/ 2630652</v>
      </c>
      <c r="F667" s="24" t="str">
        <f>'DE ( Tarik barang retur )'!R644</f>
        <v>Invoice: TMP-INV-2026/04/13/ 2630652
1x BLACKMORES PREGNANCY and BREAST-FEEDING GOLD Kalbe Tarik Barang Retur</v>
      </c>
      <c r="G667" s="36">
        <f>'DE ( Tarik barang retur )'!AF644</f>
        <v>46184</v>
      </c>
      <c r="H667" s="22">
        <v>46184.0</v>
      </c>
      <c r="I667" s="22">
        <v>46185.0</v>
      </c>
      <c r="J667" s="21" t="s">
        <v>5294</v>
      </c>
      <c r="K667" s="24"/>
      <c r="L667" s="24"/>
      <c r="M667" s="24"/>
      <c r="N667" s="24"/>
      <c r="O667" s="24"/>
      <c r="P667" s="25"/>
      <c r="Q667" s="25"/>
      <c r="R667" s="25"/>
      <c r="S667" s="25"/>
      <c r="T667" s="25"/>
      <c r="U667" s="25"/>
      <c r="V667" s="25"/>
      <c r="W667" s="25"/>
      <c r="X667" s="25"/>
      <c r="Y667" s="25"/>
      <c r="Z667" s="25"/>
      <c r="AA667" s="25"/>
      <c r="AB667" s="25"/>
      <c r="AC667" s="25"/>
    </row>
    <row r="668">
      <c r="A668" s="24" t="str">
        <f>'DE ( Tarik barang retur )'!AC645</f>
        <v>AWBR-3317158906-01</v>
      </c>
      <c r="B668" s="24" t="str">
        <f>'DE ( Tarik barang retur )'!F645</f>
        <v>Apotek Dua Putri</v>
      </c>
      <c r="C668" s="35">
        <f>'DE ( Tarik barang retur )'!G645</f>
        <v>83806047597</v>
      </c>
      <c r="D668" s="24" t="str">
        <f>'DE ( Tarik barang retur )'!H645</f>
        <v>Jalan WR. Supratman no. 36 RT 01 RW10 Kel. Rengas Kec. Ciputat Timur Kota Tangerang Selatan 15412</v>
      </c>
      <c r="E668" s="24" t="str">
        <f>'DE ( Tarik barang retur )'!D645</f>
        <v>TMP-INV-2026/02/10/ 2418047</v>
      </c>
      <c r="F668" s="24" t="str">
        <f>'DE ( Tarik barang retur )'!R645</f>
        <v>Invoice: TMP-INV-2026/02/10/ 2418047
1x MALTOFER Combiphar DROPS Tarik Barang Retur</v>
      </c>
      <c r="G668" s="36">
        <f>'DE ( Tarik barang retur )'!AF645</f>
        <v>46184</v>
      </c>
      <c r="H668" s="22">
        <v>46184.0</v>
      </c>
      <c r="I668" s="22">
        <v>46185.0</v>
      </c>
      <c r="J668" s="21" t="s">
        <v>5294</v>
      </c>
      <c r="K668" s="24"/>
      <c r="L668" s="24"/>
      <c r="M668" s="24"/>
      <c r="N668" s="24"/>
      <c r="O668" s="24"/>
      <c r="P668" s="25"/>
      <c r="Q668" s="25"/>
      <c r="R668" s="25"/>
      <c r="S668" s="25"/>
      <c r="T668" s="25"/>
      <c r="U668" s="25"/>
      <c r="V668" s="25"/>
      <c r="W668" s="25"/>
      <c r="X668" s="25"/>
      <c r="Y668" s="25"/>
      <c r="Z668" s="25"/>
      <c r="AA668" s="25"/>
      <c r="AB668" s="25"/>
      <c r="AC668" s="25"/>
    </row>
    <row r="669">
      <c r="A669" s="24" t="str">
        <f>'DE ( Tarik barang retur )'!AC646</f>
        <v>AWBR-3317137779-01</v>
      </c>
      <c r="B669" s="24" t="str">
        <f>'DE ( Tarik barang retur )'!F646</f>
        <v>Apotek Berkah Sehat 7484 Inactive</v>
      </c>
      <c r="C669" s="35">
        <f>'DE ( Tarik barang retur )'!G646</f>
        <v>81219685132</v>
      </c>
      <c r="D669" s="24" t="str">
        <f>'DE ( Tarik barang retur )'!H646</f>
        <v>Ruko Serpong Garden 2 Desa Suradita , Kec. Cisauk, Kab. Tangerang  15343</v>
      </c>
      <c r="E669" s="24" t="str">
        <f>'DE ( Tarik barang retur )'!D646</f>
        <v>TMP-INV-2025/08/25/ 1865801</v>
      </c>
      <c r="F669" s="24" t="str">
        <f>'DE ( Tarik barang retur )'!R646</f>
        <v>Invoice: TMP-INV-2025/08/25/ 1865801
2x CAVIT-D3 Merck TABLET Tarik Barang Retur</v>
      </c>
      <c r="G669" s="36">
        <f>'DE ( Tarik barang retur )'!AF646</f>
        <v>46184</v>
      </c>
      <c r="H669" s="22">
        <v>46187.0</v>
      </c>
      <c r="I669" s="22">
        <v>46188.0</v>
      </c>
      <c r="J669" s="21" t="s">
        <v>5294</v>
      </c>
      <c r="K669" s="24"/>
      <c r="L669" s="24"/>
      <c r="M669" s="24"/>
      <c r="N669" s="24"/>
      <c r="O669" s="24"/>
      <c r="P669" s="25"/>
      <c r="Q669" s="25"/>
      <c r="R669" s="25"/>
      <c r="S669" s="25"/>
      <c r="T669" s="25"/>
      <c r="U669" s="25"/>
      <c r="V669" s="25"/>
      <c r="W669" s="25"/>
      <c r="X669" s="25"/>
      <c r="Y669" s="25"/>
      <c r="Z669" s="25"/>
      <c r="AA669" s="25"/>
      <c r="AB669" s="25"/>
      <c r="AC669" s="25"/>
    </row>
    <row r="670">
      <c r="A670" s="24" t="str">
        <f>'DE ( Tarik barang retur )'!AC647</f>
        <v>AWBR-3317078747-01</v>
      </c>
      <c r="B670" s="24" t="str">
        <f>'DE ( Tarik barang retur )'!F647</f>
        <v>Apotek Waras Dua</v>
      </c>
      <c r="C670" s="35">
        <f>'DE ( Tarik barang retur )'!G647</f>
        <v>81382514164</v>
      </c>
      <c r="D670" s="24" t="str">
        <f>'DE ( Tarik barang retur )'!H647</f>
        <v>Ruko Gramapuri Blok L2 No. 16B Jl. KH. Asmawi Desa Sukajaya Kec. Cibitung Kab. Bekasi 17520</v>
      </c>
      <c r="E670" s="24" t="str">
        <f>'DE ( Tarik barang retur )'!D647</f>
        <v>TMP-INV-2026/06/08/ 2829474</v>
      </c>
      <c r="F670" s="24" t="str">
        <f>'DE ( Tarik barang retur )'!R647</f>
        <v>Invoice: TMP-INV-2026/06/08/ 2829474
1x CATAFLAM D Novartis TABLET DISPERSIBLE Tarik Barang Retur</v>
      </c>
      <c r="G670" s="36">
        <f>'DE ( Tarik barang retur )'!AF647</f>
        <v>46184</v>
      </c>
      <c r="H670" s="22">
        <v>46184.0</v>
      </c>
      <c r="I670" s="22">
        <v>46185.0</v>
      </c>
      <c r="J670" s="21" t="s">
        <v>5294</v>
      </c>
      <c r="K670" s="24"/>
      <c r="L670" s="24"/>
      <c r="M670" s="24"/>
      <c r="N670" s="24"/>
      <c r="O670" s="24"/>
      <c r="P670" s="25"/>
      <c r="Q670" s="25"/>
      <c r="R670" s="25"/>
      <c r="S670" s="25"/>
      <c r="T670" s="25"/>
      <c r="U670" s="25"/>
      <c r="V670" s="25"/>
      <c r="W670" s="25"/>
      <c r="X670" s="25"/>
      <c r="Y670" s="25"/>
      <c r="Z670" s="25"/>
      <c r="AA670" s="25"/>
      <c r="AB670" s="25"/>
      <c r="AC670" s="25"/>
    </row>
    <row r="671">
      <c r="A671" s="24" t="str">
        <f>'DE ( Tarik barang retur )'!AC648</f>
        <v>AWBR-3317811656-01</v>
      </c>
      <c r="B671" s="24" t="str">
        <f>'DE ( Tarik barang retur )'!F648</f>
        <v>Apotek Sentra Budi Suratman Farma Sentra BS Farma</v>
      </c>
      <c r="C671" s="35">
        <f>'DE ( Tarik barang retur )'!G648</f>
        <v>85718020809</v>
      </c>
      <c r="D671" s="24" t="str">
        <f>'DE ( Tarik barang retur )'!H648</f>
        <v>Perumahan Sentra Tajur Halang Blok Ruko No. 40 Desa Tajur Halang Kec. Tajur Halang Kab. Bogor 16320</v>
      </c>
      <c r="E671" s="24" t="str">
        <f>'DE ( Tarik barang retur )'!D648</f>
        <v>TMP-INV-2026/06/09/ 2833824</v>
      </c>
      <c r="F671" s="24" t="str">
        <f>'DE ( Tarik barang retur )'!R648</f>
        <v>Invoice: TMP-INV-2026/06/09/ 2833824
45x OBH Surya Itrasal SIRUP Tarik Barang Retur</v>
      </c>
      <c r="G671" s="36">
        <f>'DE ( Tarik barang retur )'!AF648</f>
        <v>46184</v>
      </c>
      <c r="H671" s="22">
        <v>46185.0</v>
      </c>
      <c r="I671" s="22">
        <v>46186.0</v>
      </c>
      <c r="J671" s="21" t="s">
        <v>5294</v>
      </c>
      <c r="K671" s="24"/>
      <c r="L671" s="24"/>
      <c r="M671" s="24"/>
      <c r="N671" s="24"/>
      <c r="O671" s="24"/>
      <c r="P671" s="25"/>
      <c r="Q671" s="25"/>
      <c r="R671" s="25"/>
      <c r="S671" s="25"/>
      <c r="T671" s="25"/>
      <c r="U671" s="25"/>
      <c r="V671" s="25"/>
      <c r="W671" s="25"/>
      <c r="X671" s="25"/>
      <c r="Y671" s="25"/>
      <c r="Z671" s="25"/>
      <c r="AA671" s="25"/>
      <c r="AB671" s="25"/>
      <c r="AC671" s="25"/>
    </row>
    <row r="672">
      <c r="A672" s="24" t="str">
        <f>'DE ( Tarik barang retur )'!AC649</f>
        <v>AWBR-3317124792-01</v>
      </c>
      <c r="B672" s="24" t="str">
        <f>'DE ( Tarik barang retur )'!F649</f>
        <v>Apotek Pinus Babakan Penghulu Cinambo</v>
      </c>
      <c r="C672" s="35">
        <f>'DE ( Tarik barang retur )'!G649</f>
        <v>87821085447</v>
      </c>
      <c r="D672" s="24" t="str">
        <f>'DE ( Tarik barang retur )'!H649</f>
        <v>Jl. Pinus Raya Ruko No. 8 RT 01 RW 01 Pinus Regensi, Desa/Kel. Babakan Penghulu, Kec. Cinambo, Kota Bandung 40294</v>
      </c>
      <c r="E672" s="24" t="str">
        <f>'DE ( Tarik barang retur )'!D649</f>
        <v>TMP-INV-2025/02/27/ 1385076</v>
      </c>
      <c r="F672" s="24" t="str">
        <f>'DE ( Tarik barang retur )'!R649</f>
        <v>Invoice: TMP-INV-2025/02/27/ 1385076
1x ASTRIA Pertiwi Agung KAPSUL 4 MG Tarik Barang Retur</v>
      </c>
      <c r="G672" s="36">
        <f>'DE ( Tarik barang retur )'!AF649</f>
        <v>46184</v>
      </c>
      <c r="H672" s="22">
        <v>46184.0</v>
      </c>
      <c r="I672" s="22">
        <v>46186.0</v>
      </c>
      <c r="J672" s="21" t="s">
        <v>5294</v>
      </c>
      <c r="K672" s="24"/>
      <c r="L672" s="24"/>
      <c r="M672" s="24"/>
      <c r="N672" s="24"/>
      <c r="O672" s="24"/>
      <c r="P672" s="25"/>
      <c r="Q672" s="25"/>
      <c r="R672" s="25"/>
      <c r="S672" s="25"/>
      <c r="T672" s="25"/>
      <c r="U672" s="25"/>
      <c r="V672" s="25"/>
      <c r="W672" s="25"/>
      <c r="X672" s="25"/>
      <c r="Y672" s="25"/>
      <c r="Z672" s="25"/>
      <c r="AA672" s="25"/>
      <c r="AB672" s="25"/>
      <c r="AC672" s="25"/>
    </row>
    <row r="673">
      <c r="A673" s="24" t="str">
        <f>'DE ( Tarik barang retur )'!AC650</f>
        <v>AWBR-3317127334-01</v>
      </c>
      <c r="B673" s="24" t="str">
        <f>'DE ( Tarik barang retur )'!F650</f>
        <v>Apotek Kanya Farma Jaka Setia Bekasi Sel</v>
      </c>
      <c r="C673" s="35">
        <f>'DE ( Tarik barang retur )'!G650</f>
        <v>82110000143</v>
      </c>
      <c r="D673" s="24" t="str">
        <f>'DE ( Tarik barang retur )'!H650</f>
        <v>Jl. Pengairan Raya No.30 RT 06 RW 02, Kel. Jakasetia, Kec. Bekasi Selatan, Kota Bekasi 17147</v>
      </c>
      <c r="E673" s="24" t="str">
        <f>'DE ( Tarik barang retur )'!D650</f>
        <v>TMP-INV-2026/05/27/ 2789811</v>
      </c>
      <c r="F673" s="24" t="str">
        <f>'DE ( Tarik barang retur )'!R650</f>
        <v>Invoice: TMP-INV-2026/05/27/ 2789811
1x SGM EKSPLOR GAIN OPTIGROW Sarihusada Tarik Barang Retur</v>
      </c>
      <c r="G673" s="36">
        <f>'DE ( Tarik barang retur )'!AF650</f>
        <v>46184</v>
      </c>
      <c r="H673" s="22">
        <v>46185.0</v>
      </c>
      <c r="I673" s="22">
        <v>46185.0</v>
      </c>
      <c r="J673" s="21" t="s">
        <v>5294</v>
      </c>
      <c r="K673" s="24"/>
      <c r="L673" s="24"/>
      <c r="M673" s="24"/>
      <c r="N673" s="24"/>
      <c r="O673" s="24"/>
      <c r="P673" s="25"/>
      <c r="Q673" s="25"/>
      <c r="R673" s="25"/>
      <c r="S673" s="25"/>
      <c r="T673" s="25"/>
      <c r="U673" s="25"/>
      <c r="V673" s="25"/>
      <c r="W673" s="25"/>
      <c r="X673" s="25"/>
      <c r="Y673" s="25"/>
      <c r="Z673" s="25"/>
      <c r="AA673" s="25"/>
      <c r="AB673" s="25"/>
      <c r="AC673" s="25"/>
    </row>
    <row r="674">
      <c r="A674" s="24" t="str">
        <f>'DE ( Tarik barang retur )'!AC651</f>
        <v>AWBR-3317115094-01</v>
      </c>
      <c r="B674" s="24" t="str">
        <f>'DE ( Tarik barang retur )'!F651</f>
        <v>Apotek Daffa Farma Jaka Mulya Bekasi Sel</v>
      </c>
      <c r="C674" s="35">
        <f>'DE ( Tarik barang retur )'!G651</f>
        <v>8.95335E+16</v>
      </c>
      <c r="D674" s="24" t="str">
        <f>'DE ( Tarik barang retur )'!H651</f>
        <v>Jl. Cikunir Raya No.119E RT 001/002, Kel. Jakamulya,Kec. Bekasi Selatan, Kota Bekasi 17146</v>
      </c>
      <c r="E674" s="24" t="str">
        <f>'DE ( Tarik barang retur )'!D651</f>
        <v>TMP-INV-2025/11/19/ 2141877</v>
      </c>
      <c r="F674" s="24" t="str">
        <f>'DE ( Tarik barang retur )'!R651</f>
        <v>Invoice: TMP-INV-2025/11/19/ 2141877
2x DIPROSONE OV Organon KRIM
1x DIPROSONE OV Organon KRIM Tarik Barang Retur</v>
      </c>
      <c r="G674" s="36">
        <f>'DE ( Tarik barang retur )'!AF651</f>
        <v>46184</v>
      </c>
      <c r="H674" s="22">
        <v>46185.0</v>
      </c>
      <c r="I674" s="22">
        <v>46185.0</v>
      </c>
      <c r="J674" s="21" t="s">
        <v>5294</v>
      </c>
      <c r="K674" s="24"/>
      <c r="L674" s="24"/>
      <c r="M674" s="24"/>
      <c r="N674" s="24"/>
      <c r="O674" s="24"/>
      <c r="P674" s="25"/>
      <c r="Q674" s="25"/>
      <c r="R674" s="25"/>
      <c r="S674" s="25"/>
      <c r="T674" s="25"/>
      <c r="U674" s="25"/>
      <c r="V674" s="25"/>
      <c r="W674" s="25"/>
      <c r="X674" s="25"/>
      <c r="Y674" s="25"/>
      <c r="Z674" s="25"/>
      <c r="AA674" s="25"/>
      <c r="AB674" s="25"/>
      <c r="AC674" s="25"/>
    </row>
    <row r="675">
      <c r="A675" s="24" t="str">
        <f>'DE ( Tarik barang retur )'!AC652</f>
        <v>AWBR-3317125402-01</v>
      </c>
      <c r="B675" s="24" t="str">
        <f>'DE ( Tarik barang retur )'!F652</f>
        <v>Apotek Mypharma Pluit Penjaringan</v>
      </c>
      <c r="C675" s="35">
        <f>'DE ( Tarik barang retur )'!G652</f>
        <v>81617575708</v>
      </c>
      <c r="D675" s="24" t="str">
        <f>'DE ( Tarik barang retur )'!H652</f>
        <v>Jl. Muara Karang Blok D7 No. 49-50, RT 007 RW 008, Kel. Pluit, Kec. Penjaringan, Jakarta Utara 14450</v>
      </c>
      <c r="E675" s="24" t="str">
        <f>'DE ( Tarik barang retur )'!D652</f>
        <v>TMP-INV-2024/06/04/ 815642</v>
      </c>
      <c r="F675" s="24" t="str">
        <f>'DE ( Tarik barang retur )'!R652</f>
        <v>Invoice: TMP-INV-2024/06/04/ 815642
Complete Return Tarik Barang Retur</v>
      </c>
      <c r="G675" s="36">
        <f>'DE ( Tarik barang retur )'!AF652</f>
        <v>46184</v>
      </c>
      <c r="H675" s="22">
        <v>46184.0</v>
      </c>
      <c r="I675" s="22">
        <v>46185.0</v>
      </c>
      <c r="J675" s="21" t="s">
        <v>5294</v>
      </c>
      <c r="K675" s="24"/>
      <c r="L675" s="24"/>
      <c r="M675" s="24"/>
      <c r="N675" s="24"/>
      <c r="O675" s="24"/>
      <c r="P675" s="25"/>
      <c r="Q675" s="25"/>
      <c r="R675" s="25"/>
      <c r="S675" s="25"/>
      <c r="T675" s="25"/>
      <c r="U675" s="25"/>
      <c r="V675" s="25"/>
      <c r="W675" s="25"/>
      <c r="X675" s="25"/>
      <c r="Y675" s="25"/>
      <c r="Z675" s="25"/>
      <c r="AA675" s="25"/>
      <c r="AB675" s="25"/>
      <c r="AC675" s="25"/>
    </row>
    <row r="676">
      <c r="A676" s="24" t="str">
        <f>'DE ( Tarik barang retur )'!AC653</f>
        <v>AWBR-3317815078-01</v>
      </c>
      <c r="B676" s="24" t="str">
        <f>'DE ( Tarik barang retur )'!F653</f>
        <v>Apotek Medina Pantai Mekar Muara Gebong Inactive</v>
      </c>
      <c r="C676" s="35">
        <f>'DE ( Tarik barang retur )'!G653</f>
        <v>6.28151E+17</v>
      </c>
      <c r="D676" s="24" t="str">
        <f>'DE ( Tarik barang retur )'!H653</f>
        <v>Kp. Biyombong RT. 001 RW. 005 Kel. Pantai Mekar Kec. Muaragebong Kab. Bekasi 17730</v>
      </c>
      <c r="E676" s="24" t="str">
        <f>'DE ( Tarik barang retur )'!D653</f>
        <v>TMP-INV-2026/05/26/ 2786489</v>
      </c>
      <c r="F676" s="24" t="str">
        <f>'DE ( Tarik barang retur )'!R653</f>
        <v>Invoice: TMP-INV-2026/05/26/ 2786489
3x SGM EKSPLOR GAIN OPTIGROW Sarihusada Tarik Barang Retur</v>
      </c>
      <c r="G676" s="36">
        <f>'DE ( Tarik barang retur )'!AF653</f>
        <v>46184</v>
      </c>
      <c r="H676" s="22">
        <v>46185.0</v>
      </c>
      <c r="I676" s="22">
        <v>46185.0</v>
      </c>
      <c r="J676" s="21" t="s">
        <v>5294</v>
      </c>
      <c r="K676" s="24"/>
      <c r="L676" s="24"/>
      <c r="M676" s="24"/>
      <c r="N676" s="24"/>
      <c r="O676" s="24"/>
      <c r="P676" s="25"/>
      <c r="Q676" s="25"/>
      <c r="R676" s="25"/>
      <c r="S676" s="25"/>
      <c r="T676" s="25"/>
      <c r="U676" s="25"/>
      <c r="V676" s="25"/>
      <c r="W676" s="25"/>
      <c r="X676" s="25"/>
      <c r="Y676" s="25"/>
      <c r="Z676" s="25"/>
      <c r="AA676" s="25"/>
      <c r="AB676" s="25"/>
      <c r="AC676" s="25"/>
    </row>
    <row r="677">
      <c r="A677" s="24" t="str">
        <f>'DE ( Tarik barang retur )'!AC654</f>
        <v>AWBR-3317750465-01</v>
      </c>
      <c r="B677" s="24" t="str">
        <f>'DE ( Tarik barang retur )'!F654</f>
        <v>Apotek Farriz Farma Jejalenjaya Tambun Utara</v>
      </c>
      <c r="C677" s="35">
        <f>'DE ( Tarik barang retur )'!G654</f>
        <v>82112600948</v>
      </c>
      <c r="D677" s="24" t="str">
        <f>'DE ( Tarik barang retur )'!H654</f>
        <v>Perum Tambun 16B Kios No. 2 Jl. Raya Villa Bekasi Desa Jejalenjaya Kec. Tambun Utara Kab. Bekasi 17511</v>
      </c>
      <c r="E677" s="24" t="str">
        <f>'DE ( Tarik barang retur )'!D654</f>
        <v>TMP-INV-2026/05/04/ 2707204</v>
      </c>
      <c r="F677" s="24" t="str">
        <f>'DE ( Tarik barang retur )'!R654</f>
        <v>Invoice: TMP-INV-2026/05/04/ 2707204
1x CAL-95 Lapi KAPLET Tarik Barang Retur</v>
      </c>
      <c r="G677" s="36">
        <f>'DE ( Tarik barang retur )'!AF654</f>
        <v>46184</v>
      </c>
      <c r="H677" s="22">
        <v>46185.0</v>
      </c>
      <c r="I677" s="22">
        <v>46186.0</v>
      </c>
      <c r="J677" s="21" t="s">
        <v>5294</v>
      </c>
      <c r="K677" s="24"/>
      <c r="L677" s="24"/>
      <c r="M677" s="24"/>
      <c r="N677" s="24"/>
      <c r="O677" s="24"/>
      <c r="P677" s="25"/>
      <c r="Q677" s="25"/>
      <c r="R677" s="25"/>
      <c r="S677" s="25"/>
      <c r="T677" s="25"/>
      <c r="U677" s="25"/>
      <c r="V677" s="25"/>
      <c r="W677" s="25"/>
      <c r="X677" s="25"/>
      <c r="Y677" s="25"/>
      <c r="Z677" s="25"/>
      <c r="AA677" s="25"/>
      <c r="AB677" s="25"/>
      <c r="AC677" s="25"/>
    </row>
    <row r="678">
      <c r="A678" s="24" t="str">
        <f>'DE ( Tarik barang retur )'!AC655</f>
        <v>AWBR-3317785062-01</v>
      </c>
      <c r="B678" s="24" t="str">
        <f>'DE ( Tarik barang retur )'!F655</f>
        <v>Apotek Citangkil Farma Kebonsari Citangkil</v>
      </c>
      <c r="C678" s="35">
        <f>'DE ( Tarik barang retur )'!G655</f>
        <v>6.28982E+16</v>
      </c>
      <c r="D678" s="24" t="str">
        <f>'DE ( Tarik barang retur )'!H655</f>
        <v>Lingkungan Delingseng, Jalan KH. Agus Salim, ??Kelurahan Kebonsari, Kecamatan Citangkil, Kota Cilegon, Banten 42442</v>
      </c>
      <c r="E678" s="24" t="str">
        <f>'DE ( Tarik barang retur )'!D655</f>
        <v>TMP-INV-2026/05/09/ 2728625, TMP-INV-2026/05/09/ 2728203, TMP-INV-2026/05/09/ 2728533</v>
      </c>
      <c r="F678" s="24" t="str">
        <f>'DE ( Tarik barang retur )'!R655</f>
        <v>Invoice: TMP-INV-2026/05/09/ 2728625
Complete Return
----------------------------------------
Invoice: TMP-INV-2026/05/09/ 2728203
Complete Return
----------------------------------------
Invoice: TMP-INV-2026/05/09/ 2728533
Complete Return Tarik Barang Retur</v>
      </c>
      <c r="G678" s="36">
        <f>'DE ( Tarik barang retur )'!AF655</f>
        <v>46184</v>
      </c>
      <c r="H678" s="22">
        <v>46184.0</v>
      </c>
      <c r="I678" s="22">
        <v>46185.0</v>
      </c>
      <c r="J678" s="21" t="s">
        <v>5294</v>
      </c>
      <c r="K678" s="24"/>
      <c r="L678" s="24"/>
      <c r="M678" s="24"/>
      <c r="N678" s="24"/>
      <c r="O678" s="24"/>
      <c r="P678" s="25"/>
      <c r="Q678" s="25"/>
      <c r="R678" s="25"/>
      <c r="S678" s="25"/>
      <c r="T678" s="25"/>
      <c r="U678" s="25"/>
      <c r="V678" s="25"/>
      <c r="W678" s="25"/>
      <c r="X678" s="25"/>
      <c r="Y678" s="25"/>
      <c r="Z678" s="25"/>
      <c r="AA678" s="25"/>
      <c r="AB678" s="25"/>
      <c r="AC678" s="25"/>
    </row>
    <row r="679">
      <c r="A679" s="24" t="str">
        <f>'DE ( Tarik barang retur )'!AC656</f>
        <v>AWBR-3317811003-01</v>
      </c>
      <c r="B679" s="24" t="str">
        <f>'DE ( Tarik barang retur )'!F656</f>
        <v>Apotek Nawasena Wargaluyu Arjasari</v>
      </c>
      <c r="C679" s="35">
        <f>'DE ( Tarik barang retur )'!G656</f>
        <v>82121494535</v>
      </c>
      <c r="D679" s="24" t="str">
        <f>'DE ( Tarik barang retur )'!H656</f>
        <v>Kios No.3 Perumahan Prima Swarga Residence Kampung Bunisakti RT 02 RW 03, Desa Wargaluyu, Kec. Arjasari, Kab. Bandung</v>
      </c>
      <c r="E679" s="24" t="str">
        <f>'DE ( Tarik barang retur )'!D656</f>
        <v>TMP-INV-2026/05/07/ 2718835</v>
      </c>
      <c r="F679" s="24" t="str">
        <f>'DE ( Tarik barang retur )'!R656</f>
        <v>Invoice: TMP-INV-2026/05/07/ 2718835
1x FLIMTY Anugrah Original BLACKCURRANT Tarik Barang Retur</v>
      </c>
      <c r="G679" s="36">
        <f>'DE ( Tarik barang retur )'!AF656</f>
        <v>46184</v>
      </c>
      <c r="H679" s="22">
        <v>46185.0</v>
      </c>
      <c r="I679" s="22">
        <v>46187.0</v>
      </c>
      <c r="J679" s="21" t="s">
        <v>5294</v>
      </c>
      <c r="K679" s="24"/>
      <c r="L679" s="24"/>
      <c r="M679" s="24"/>
      <c r="N679" s="24"/>
      <c r="O679" s="24"/>
      <c r="P679" s="25"/>
      <c r="Q679" s="25"/>
      <c r="R679" s="25"/>
      <c r="S679" s="25"/>
      <c r="T679" s="25"/>
      <c r="U679" s="25"/>
      <c r="V679" s="25"/>
      <c r="W679" s="25"/>
      <c r="X679" s="25"/>
      <c r="Y679" s="25"/>
      <c r="Z679" s="25"/>
      <c r="AA679" s="25"/>
      <c r="AB679" s="25"/>
      <c r="AC679" s="25"/>
    </row>
    <row r="680">
      <c r="A680" s="24" t="str">
        <f>'DE ( Tarik barang retur )'!AC657</f>
        <v>AWBR-3317761115-01</v>
      </c>
      <c r="B680" s="24" t="str">
        <f>'DE ( Tarik barang retur )'!F657</f>
        <v>Apotek Peduli Sukatani Sukaraya Karangbahagia Inactive</v>
      </c>
      <c r="C680" s="35">
        <f>'DE ( Tarik barang retur )'!G657</f>
        <v>81211606276</v>
      </c>
      <c r="D680" s="24" t="str">
        <f>'DE ( Tarik barang retur )'!H657</f>
        <v>Jl. Raya Sukatani Sukamantri, RT. 003 RW. 003 No. 73 Desa Sukaraya Kec. Karangbahagia Kab. Bekasi 17535</v>
      </c>
      <c r="E680" s="24" t="str">
        <f>'DE ( Tarik barang retur )'!D657</f>
        <v>TMP-INV-2026/05/30/ 2799400</v>
      </c>
      <c r="F680" s="24" t="str">
        <f>'DE ( Tarik barang retur )'!R657</f>
        <v>Invoice: TMP-INV-2026/05/30/ 2799400
Complete Return Tarik Barang Retur</v>
      </c>
      <c r="G680" s="36">
        <f>'DE ( Tarik barang retur )'!AF657</f>
        <v>46184</v>
      </c>
      <c r="H680" s="22">
        <v>46188.0</v>
      </c>
      <c r="I680" s="22">
        <v>46189.0</v>
      </c>
      <c r="J680" s="21" t="s">
        <v>5294</v>
      </c>
      <c r="K680" s="24"/>
      <c r="L680" s="24"/>
      <c r="M680" s="24"/>
      <c r="N680" s="24"/>
      <c r="O680" s="24"/>
      <c r="P680" s="25"/>
      <c r="Q680" s="25"/>
      <c r="R680" s="25"/>
      <c r="S680" s="25"/>
      <c r="T680" s="25"/>
      <c r="U680" s="25"/>
      <c r="V680" s="25"/>
      <c r="W680" s="25"/>
      <c r="X680" s="25"/>
      <c r="Y680" s="25"/>
      <c r="Z680" s="25"/>
      <c r="AA680" s="25"/>
      <c r="AB680" s="25"/>
      <c r="AC680" s="25"/>
    </row>
    <row r="681">
      <c r="A681" s="24" t="str">
        <f>'DE ( Tarik barang retur )'!AC658</f>
        <v>AWBR-3317079869-01</v>
      </c>
      <c r="B681" s="24" t="str">
        <f>'DE ( Tarik barang retur )'!F658</f>
        <v>Apotek Panghegar 2 Jatihandap Mandalajati</v>
      </c>
      <c r="C681" s="35">
        <f>'DE ( Tarik barang retur )'!G658</f>
        <v>6.28132E+17</v>
      </c>
      <c r="D681" s="24" t="str">
        <f>'DE ( Tarik barang retur )'!H658</f>
        <v>Jalan Jatihandap No. 68 RT. 04 RW. 08 Kelurahan Jatihandap, Kecamatan Mandalajati, Kota Bandung, Jawa Barat 40195</v>
      </c>
      <c r="E681" s="24" t="str">
        <f>'DE ( Tarik barang retur )'!D658</f>
        <v>TMP-INV-2026/06/08/ 2829207</v>
      </c>
      <c r="F681" s="24" t="str">
        <f>'DE ( Tarik barang retur )'!R658</f>
        <v>Invoice: TMP-INV-2026/06/08/ 2829207
1x XENICAL Tunggal Idaman KAPSUL 120 MG Tarik Barang Retur</v>
      </c>
      <c r="G681" s="36">
        <f>'DE ( Tarik barang retur )'!AF658</f>
        <v>46184</v>
      </c>
      <c r="H681" s="22">
        <v>46184.0</v>
      </c>
      <c r="I681" s="22">
        <v>46185.0</v>
      </c>
      <c r="J681" s="21" t="s">
        <v>5294</v>
      </c>
      <c r="K681" s="24"/>
      <c r="L681" s="24"/>
      <c r="M681" s="24"/>
      <c r="N681" s="24"/>
      <c r="O681" s="24"/>
      <c r="P681" s="25"/>
      <c r="Q681" s="25"/>
      <c r="R681" s="25"/>
      <c r="S681" s="25"/>
      <c r="T681" s="25"/>
      <c r="U681" s="25"/>
      <c r="V681" s="25"/>
      <c r="W681" s="25"/>
      <c r="X681" s="25"/>
      <c r="Y681" s="25"/>
      <c r="Z681" s="25"/>
      <c r="AA681" s="25"/>
      <c r="AB681" s="25"/>
      <c r="AC681" s="25"/>
    </row>
    <row r="682">
      <c r="A682" s="24" t="str">
        <f>'DE ( Tarik barang retur )'!AC659</f>
        <v>AWBR-3317731872-01</v>
      </c>
      <c r="B682" s="24" t="str">
        <f>'DE ( Tarik barang retur )'!F659</f>
        <v>Apotek K24 Citra Indah 2 Sukamaju Jonggol</v>
      </c>
      <c r="C682" s="35">
        <f>'DE ( Tarik barang retur )'!G659</f>
        <v>6.28139E+17</v>
      </c>
      <c r="D682" s="24" t="str">
        <f>'DE ( Tarik barang retur )'!H659</f>
        <v>Ruko Citra Indah Jonggol Blok SS 05 No. 3, Perum Citra Indah Desa/Kelurahan Sukamaju, Kecamatan Jonggol, Kabupaten Bogor, Jawa Barat 16830</v>
      </c>
      <c r="E682" s="24" t="str">
        <f>'DE ( Tarik barang retur )'!D659</f>
        <v>TMP-INV-2026/06/08/ 2829130</v>
      </c>
      <c r="F682" s="24" t="str">
        <f>'DE ( Tarik barang retur )'!R659</f>
        <v>Invoice: TMP-INV-2026/06/08/ 2829130
15x ANDALAN Harsen TABLET 0.15/0.03 MG Tarik Barang Retur</v>
      </c>
      <c r="G682" s="36">
        <f>'DE ( Tarik barang retur )'!AF659</f>
        <v>46184</v>
      </c>
      <c r="H682" s="22">
        <v>46184.0</v>
      </c>
      <c r="I682" s="22">
        <v>46185.0</v>
      </c>
      <c r="J682" s="21" t="s">
        <v>5294</v>
      </c>
      <c r="K682" s="24"/>
      <c r="L682" s="24"/>
      <c r="M682" s="24"/>
      <c r="N682" s="24"/>
      <c r="O682" s="24"/>
      <c r="P682" s="25"/>
      <c r="Q682" s="25"/>
      <c r="R682" s="25"/>
      <c r="S682" s="25"/>
      <c r="T682" s="25"/>
      <c r="U682" s="25"/>
      <c r="V682" s="25"/>
      <c r="W682" s="25"/>
      <c r="X682" s="25"/>
      <c r="Y682" s="25"/>
      <c r="Z682" s="25"/>
      <c r="AA682" s="25"/>
      <c r="AB682" s="25"/>
      <c r="AC682" s="25"/>
    </row>
    <row r="683">
      <c r="A683" s="24" t="str">
        <f>'DE ( Tarik barang retur )'!AC660</f>
        <v>AWBR-3317778952-01</v>
      </c>
      <c r="B683" s="24" t="str">
        <f>'DE ( Tarik barang retur )'!F660</f>
        <v>Apotek Celeste Citaringgul Babakan Madang</v>
      </c>
      <c r="C683" s="35">
        <f>'DE ( Tarik barang retur )'!G660</f>
        <v>6.28139E+17</v>
      </c>
      <c r="D683" s="24" t="str">
        <f>'DE ( Tarik barang retur )'!H660</f>
        <v>Pasar Sentul City Blok J No.16 Desa Citanggul Kecamatan  Babakan Madang Kabupaten Bogor 16810</v>
      </c>
      <c r="E683" s="24" t="str">
        <f>'DE ( Tarik barang retur )'!D660</f>
        <v>TMP-INV-2024/12/31/ 1246238</v>
      </c>
      <c r="F683" s="24" t="str">
        <f>'DE ( Tarik barang retur )'!R660</f>
        <v>Invoice: TMP-INV-2024/12/31/ 1246238
1x ETORICOXIB Interbat TABLET 90 MG Tarik Barang Retur</v>
      </c>
      <c r="G683" s="36">
        <f>'DE ( Tarik barang retur )'!AF660</f>
        <v>46184</v>
      </c>
      <c r="H683" s="22">
        <v>46184.0</v>
      </c>
      <c r="I683" s="22">
        <v>46185.0</v>
      </c>
      <c r="J683" s="21" t="s">
        <v>5294</v>
      </c>
      <c r="K683" s="24"/>
      <c r="L683" s="24"/>
      <c r="M683" s="24"/>
      <c r="N683" s="24"/>
      <c r="O683" s="24"/>
      <c r="P683" s="25"/>
      <c r="Q683" s="25"/>
      <c r="R683" s="25"/>
      <c r="S683" s="25"/>
      <c r="T683" s="25"/>
      <c r="U683" s="25"/>
      <c r="V683" s="25"/>
      <c r="W683" s="25"/>
      <c r="X683" s="25"/>
      <c r="Y683" s="25"/>
      <c r="Z683" s="25"/>
      <c r="AA683" s="25"/>
      <c r="AB683" s="25"/>
      <c r="AC683" s="25"/>
    </row>
    <row r="684">
      <c r="A684" s="24" t="str">
        <f>'DE ( Tarik barang retur )'!AC661</f>
        <v>AWBR-3317123495-01</v>
      </c>
      <c r="B684" s="24" t="str">
        <f>'DE ( Tarik barang retur )'!F661</f>
        <v>Apotek Tumbuh Sehat Mekar Jaya Sukmajaya</v>
      </c>
      <c r="C684" s="35">
        <f>'DE ( Tarik barang retur )'!G661</f>
        <v>6.28132E+17</v>
      </c>
      <c r="D684" s="24" t="str">
        <f>'DE ( Tarik barang retur )'!H661</f>
        <v>Jl. Tole iskandar No 12A RT 001/001 Kel. Mekarjaya Kec. Sukmajaya Depok 16411</v>
      </c>
      <c r="E684" s="24" t="str">
        <f>'DE ( Tarik barang retur )'!D661</f>
        <v>TMP-INV-2024/03/27/ 700069</v>
      </c>
      <c r="F684" s="24" t="str">
        <f>'DE ( Tarik barang retur )'!R661</f>
        <v>Invoice: TMP-INV-2024/03/27/ 700069
1x PANADOL ANAK 1-6 Thn Gsk SIRUP 160 MG/5 ML Tarik Barang Retur</v>
      </c>
      <c r="G684" s="36">
        <f>'DE ( Tarik barang retur )'!AF661</f>
        <v>46184</v>
      </c>
      <c r="H684" s="22">
        <v>46184.0</v>
      </c>
      <c r="I684" s="22">
        <v>46186.0</v>
      </c>
      <c r="J684" s="21" t="s">
        <v>5294</v>
      </c>
      <c r="K684" s="24"/>
      <c r="L684" s="24"/>
      <c r="M684" s="24"/>
      <c r="N684" s="24"/>
      <c r="O684" s="24"/>
      <c r="P684" s="25"/>
      <c r="Q684" s="25"/>
      <c r="R684" s="25"/>
      <c r="S684" s="25"/>
      <c r="T684" s="25"/>
      <c r="U684" s="25"/>
      <c r="V684" s="25"/>
      <c r="W684" s="25"/>
      <c r="X684" s="25"/>
      <c r="Y684" s="25"/>
      <c r="Z684" s="25"/>
      <c r="AA684" s="25"/>
      <c r="AB684" s="25"/>
      <c r="AC684" s="25"/>
    </row>
    <row r="685">
      <c r="A685" s="24" t="str">
        <f>'DE ( Tarik barang retur )'!AC662</f>
        <v>AWBR-3317131659-01</v>
      </c>
      <c r="B685" s="24" t="str">
        <f>'DE ( Tarik barang retur )'!F662</f>
        <v>Apotek A Plus Telagamurni Cikarang Barat</v>
      </c>
      <c r="C685" s="35">
        <f>'DE ( Tarik barang retur )'!G662</f>
        <v>6.2881E+17</v>
      </c>
      <c r="D685" s="24" t="str">
        <f>'DE ( Tarik barang retur )'!H662</f>
        <v>Kampung Bojong Koneng, RT 01/RW 02, Desa/Kel. Telagamurni, Kec. Cikarang Barat, Kab. Bekasi</v>
      </c>
      <c r="E685" s="24" t="str">
        <f>'DE ( Tarik barang retur )'!D662</f>
        <v>TMP-INV-2025/04/23/ 1520443, TMP-INV-2025/05/04/ 1548567</v>
      </c>
      <c r="F685" s="24" t="str">
        <f>'DE ( Tarik barang retur )'!R662</f>
        <v>Invoice: TMP-INV-2025/04/23/ 1520443
3x ZINC SULFATE MONOHYDRATE Combiphar DROPS
----------------------------------------
Invoice: TMP-INV-2025/05/04/ 1548567
1x ASTRIA Pertiwi Agung KAPSUL 4 MG Tarik Barang Retur</v>
      </c>
      <c r="G685" s="36">
        <f>'DE ( Tarik barang retur )'!AF662</f>
        <v>46184</v>
      </c>
      <c r="H685" s="22">
        <v>46184.0</v>
      </c>
      <c r="I685" s="22">
        <v>46185.0</v>
      </c>
      <c r="J685" s="21" t="s">
        <v>5294</v>
      </c>
      <c r="K685" s="24"/>
      <c r="L685" s="24"/>
      <c r="M685" s="24"/>
      <c r="N685" s="24"/>
      <c r="O685" s="24"/>
      <c r="P685" s="25"/>
      <c r="Q685" s="25"/>
      <c r="R685" s="25"/>
      <c r="S685" s="25"/>
      <c r="T685" s="25"/>
      <c r="U685" s="25"/>
      <c r="V685" s="25"/>
      <c r="W685" s="25"/>
      <c r="X685" s="25"/>
      <c r="Y685" s="25"/>
      <c r="Z685" s="25"/>
      <c r="AA685" s="25"/>
      <c r="AB685" s="25"/>
      <c r="AC685" s="25"/>
    </row>
    <row r="686">
      <c r="A686" s="24" t="str">
        <f>'DE ( Tarik barang retur )'!AC663</f>
        <v>AWBR-3317356806-01</v>
      </c>
      <c r="B686" s="24" t="str">
        <f>'DE ( Tarik barang retur )'!F663</f>
        <v>Apotek Karunia Sehat Cipondoh Indah Cipondoh</v>
      </c>
      <c r="C686" s="35">
        <f>'DE ( Tarik barang retur )'!G663</f>
        <v>62811887183</v>
      </c>
      <c r="D686" s="24" t="str">
        <f>'DE ( Tarik barang retur )'!H663</f>
        <v>Perumahan Poris Indah Jalan Poris Indah Raya Blok C No.656B, Desa/Kel. Cipondoh Indah, Kec. Cipondoh, Kota Tangerang</v>
      </c>
      <c r="E686" s="24" t="str">
        <f>'DE ( Tarik barang retur )'!D663</f>
        <v>TMP-INV-2024/11/25/ 1160736</v>
      </c>
      <c r="F686" s="24" t="str">
        <f>'DE ( Tarik barang retur )'!R663</f>
        <v>Invoice: TMP-INV-2024/11/25/ 1160736
1x ENERVON GOLD Darya-Varia KAPSUL Tarik Barang Retur</v>
      </c>
      <c r="G686" s="36">
        <f>'DE ( Tarik barang retur )'!AF663</f>
        <v>46184</v>
      </c>
      <c r="H686" s="22">
        <v>46184.0</v>
      </c>
      <c r="I686" s="22">
        <v>46185.0</v>
      </c>
      <c r="J686" s="21" t="s">
        <v>5294</v>
      </c>
      <c r="K686" s="24"/>
      <c r="L686" s="24"/>
      <c r="M686" s="24"/>
      <c r="N686" s="24"/>
      <c r="O686" s="24"/>
      <c r="P686" s="25"/>
      <c r="Q686" s="25"/>
      <c r="R686" s="25"/>
      <c r="S686" s="25"/>
      <c r="T686" s="25"/>
      <c r="U686" s="25"/>
      <c r="V686" s="25"/>
      <c r="W686" s="25"/>
      <c r="X686" s="25"/>
      <c r="Y686" s="25"/>
      <c r="Z686" s="25"/>
      <c r="AA686" s="25"/>
      <c r="AB686" s="25"/>
      <c r="AC686" s="25"/>
    </row>
    <row r="687">
      <c r="A687" s="24" t="str">
        <f>'DE ( Tarik barang retur )'!AC664</f>
        <v>AWBR-3317131492-01</v>
      </c>
      <c r="B687" s="24" t="str">
        <f>'DE ( Tarik barang retur )'!F664</f>
        <v>Apotek Sinar Kasih Pekalipan Pekalipan</v>
      </c>
      <c r="C687" s="35">
        <f>'DE ( Tarik barang retur )'!G664</f>
        <v>6.28789E+17</v>
      </c>
      <c r="D687" s="24" t="str">
        <f>'DE ( Tarik barang retur )'!H664</f>
        <v>Jl. Pekiringan No 107, Desa/Kelurahan Pekalipan, Kec. Pekalipan, Kota Cirebon,</v>
      </c>
      <c r="E687" s="24" t="str">
        <f>'DE ( Tarik barang retur )'!D664</f>
        <v>TMP-INV-2025/04/03/ 1470367</v>
      </c>
      <c r="F687" s="24" t="str">
        <f>'DE ( Tarik barang retur )'!R664</f>
        <v>Invoice: TMP-INV-2025/04/03/ 1470367
1x ALCO Interbat DROPS Tarik Barang Retur</v>
      </c>
      <c r="G687" s="36">
        <f>'DE ( Tarik barang retur )'!AF664</f>
        <v>46184</v>
      </c>
      <c r="H687" s="22">
        <v>46184.0</v>
      </c>
      <c r="I687" s="22">
        <v>46186.0</v>
      </c>
      <c r="J687" s="21" t="s">
        <v>5294</v>
      </c>
      <c r="K687" s="24"/>
      <c r="L687" s="24"/>
      <c r="M687" s="24"/>
      <c r="N687" s="24"/>
      <c r="O687" s="24"/>
      <c r="P687" s="25"/>
      <c r="Q687" s="25"/>
      <c r="R687" s="25"/>
      <c r="S687" s="25"/>
      <c r="T687" s="25"/>
      <c r="U687" s="25"/>
      <c r="V687" s="25"/>
      <c r="W687" s="25"/>
      <c r="X687" s="25"/>
      <c r="Y687" s="25"/>
      <c r="Z687" s="25"/>
      <c r="AA687" s="25"/>
      <c r="AB687" s="25"/>
      <c r="AC687" s="25"/>
    </row>
    <row r="688">
      <c r="A688" s="24" t="str">
        <f>'DE ( Tarik barang retur )'!AC665</f>
        <v>AWBR-3317112458-01</v>
      </c>
      <c r="B688" s="24" t="str">
        <f>'DE ( Tarik barang retur )'!F665</f>
        <v>Apotek Emha Cibubur Ciracas</v>
      </c>
      <c r="C688" s="35">
        <f>'DE ( Tarik barang retur )'!G665</f>
        <v>6.28528E+17</v>
      </c>
      <c r="D688" s="24" t="str">
        <f>'DE ( Tarik barang retur )'!H665</f>
        <v>Jalan Raya Lapangan Tembak No. 04 RT 005 RW 001, Desa/Kel. Cibubur, Kec. Ciracas, Kota Jakarta Timur</v>
      </c>
      <c r="E688" s="24" t="str">
        <f>'DE ( Tarik barang retur )'!D665</f>
        <v>TMP-INV-2025/02/14/ 1354103</v>
      </c>
      <c r="F688" s="24" t="str">
        <f>'DE ( Tarik barang retur )'!R665</f>
        <v>Invoice: TMP-INV-2025/02/14/ 1354103
1x SR12 GOMILKU Putra Primaa RASA ORIGINAL Tarik Barang Retur</v>
      </c>
      <c r="G688" s="36">
        <f>'DE ( Tarik barang retur )'!AF665</f>
        <v>46184</v>
      </c>
      <c r="H688" s="22">
        <v>46184.0</v>
      </c>
      <c r="I688" s="22">
        <v>46186.0</v>
      </c>
      <c r="J688" s="21" t="s">
        <v>5294</v>
      </c>
      <c r="K688" s="24"/>
      <c r="L688" s="24"/>
      <c r="M688" s="24"/>
      <c r="N688" s="24"/>
      <c r="O688" s="24"/>
      <c r="P688" s="25"/>
      <c r="Q688" s="25"/>
      <c r="R688" s="25"/>
      <c r="S688" s="25"/>
      <c r="T688" s="25"/>
      <c r="U688" s="25"/>
      <c r="V688" s="25"/>
      <c r="W688" s="25"/>
      <c r="X688" s="25"/>
      <c r="Y688" s="25"/>
      <c r="Z688" s="25"/>
      <c r="AA688" s="25"/>
      <c r="AB688" s="25"/>
      <c r="AC688" s="25"/>
    </row>
    <row r="689">
      <c r="A689" s="24" t="str">
        <f>'DE ( Tarik barang retur )'!AC666</f>
        <v>AWBR-3317153705-01</v>
      </c>
      <c r="B689" s="24" t="str">
        <f>'DE ( Tarik barang retur )'!F666</f>
        <v>Apotek EL Madani Kmp Melayu Tim Teluknaga</v>
      </c>
      <c r="C689" s="35">
        <f>'DE ( Tarik barang retur )'!G666</f>
        <v>6.28221E+17</v>
      </c>
      <c r="D689" s="24" t="str">
        <f>'DE ( Tarik barang retur )'!H666</f>
        <v>Jalan Raya Kampung Melayu, Desa/Kel. Kmp Melayu Tim, Kec. Teluknaga, Kab. Tangerang</v>
      </c>
      <c r="E689" s="24" t="str">
        <f>'DE ( Tarik barang retur )'!D666</f>
        <v>TMP-INV-2025/03/10/ 1413536</v>
      </c>
      <c r="F689" s="24" t="str">
        <f>'DE ( Tarik barang retur )'!R666</f>
        <v>Invoice: TMP-INV-2025/03/10/ 1413536
2x CURLIV PLUS Soho SIRUP Tarik Barang Retur</v>
      </c>
      <c r="G689" s="36">
        <f>'DE ( Tarik barang retur )'!AF666</f>
        <v>46184</v>
      </c>
      <c r="H689" s="22">
        <v>46184.0</v>
      </c>
      <c r="I689" s="22">
        <v>46186.0</v>
      </c>
      <c r="J689" s="21" t="s">
        <v>5294</v>
      </c>
      <c r="K689" s="24"/>
      <c r="L689" s="24"/>
      <c r="M689" s="24"/>
      <c r="N689" s="24"/>
      <c r="O689" s="24"/>
      <c r="P689" s="25"/>
      <c r="Q689" s="25"/>
      <c r="R689" s="25"/>
      <c r="S689" s="25"/>
      <c r="T689" s="25"/>
      <c r="U689" s="25"/>
      <c r="V689" s="25"/>
      <c r="W689" s="25"/>
      <c r="X689" s="25"/>
      <c r="Y689" s="25"/>
      <c r="Z689" s="25"/>
      <c r="AA689" s="25"/>
      <c r="AB689" s="25"/>
      <c r="AC689" s="25"/>
    </row>
    <row r="690">
      <c r="A690" s="24" t="str">
        <f>'DE ( Tarik barang retur )'!AC667</f>
        <v>AWBR-3317311816-01</v>
      </c>
      <c r="B690" s="24" t="str">
        <f>'DE ( Tarik barang retur )'!F667</f>
        <v>Apotek Mulya 2 Taraju Taraju</v>
      </c>
      <c r="C690" s="35">
        <f>'DE ( Tarik barang retur )'!G667</f>
        <v>6.2824E+16</v>
      </c>
      <c r="D690" s="24" t="str">
        <f>'DE ( Tarik barang retur )'!H667</f>
        <v>Jl. Raya Taraju RT. 003 RW. 004 Desa Taraju, Kecamatan Taraju, Kabupaten Tasikmalaya</v>
      </c>
      <c r="E690" s="24" t="str">
        <f>'DE ( Tarik barang retur )'!D667</f>
        <v>TMP-INV-2026/06/03/ 2811621</v>
      </c>
      <c r="F690" s="24" t="str">
        <f>'DE ( Tarik barang retur )'!R667</f>
        <v>TMP-INV-2026/06/03/ 2811621 Invoice: Apotek Mulya 2 Taraju Taraju
 10x CONTREXYN DEMAM (RASA JERUK) Supra Ferbindo DROPS Tarik Barang Retur</v>
      </c>
      <c r="G690" s="36">
        <f>'DE ( Tarik barang retur )'!AF667</f>
        <v>46184</v>
      </c>
      <c r="H690" s="22">
        <v>46184.0</v>
      </c>
      <c r="I690" s="22">
        <v>46186.0</v>
      </c>
      <c r="J690" s="21" t="s">
        <v>5294</v>
      </c>
      <c r="K690" s="24"/>
      <c r="L690" s="24"/>
      <c r="M690" s="24"/>
      <c r="N690" s="24"/>
      <c r="O690" s="24"/>
      <c r="P690" s="25"/>
      <c r="Q690" s="25"/>
      <c r="R690" s="25"/>
      <c r="S690" s="25"/>
      <c r="T690" s="25"/>
      <c r="U690" s="25"/>
      <c r="V690" s="25"/>
      <c r="W690" s="25"/>
      <c r="X690" s="25"/>
      <c r="Y690" s="25"/>
      <c r="Z690" s="25"/>
      <c r="AA690" s="25"/>
      <c r="AB690" s="25"/>
      <c r="AC690" s="25"/>
    </row>
    <row r="691">
      <c r="A691" s="24" t="str">
        <f>'DE ( Tarik barang retur )'!AC668</f>
        <v>AWBR-12625-2026-6-11-01</v>
      </c>
      <c r="B691" s="24" t="str">
        <f>'DE ( Tarik barang retur )'!F668</f>
        <v>Apotek Hugo Farma Cilebut Barat Sukaraja</v>
      </c>
      <c r="C691" s="35">
        <f>'DE ( Tarik barang retur )'!G668</f>
        <v>6.28217E+17</v>
      </c>
      <c r="D691" s="24" t="str">
        <f>'DE ( Tarik barang retur )'!H668</f>
        <v>Ruko Komplek Permata Bogor Residence Blok A2 No.2, Desa/Kelurahan Cilebut Barat, Kec. Sukaraja, Kab. Bogor</v>
      </c>
      <c r="E691" s="24" t="str">
        <f>'DE ( Tarik barang retur )'!D668</f>
        <v>TMP-INV-2026/05/26/ 2787423</v>
      </c>
      <c r="F691" s="24" t="str">
        <f>'DE ( Tarik barang retur )'!R668</f>
        <v>TMP-INV-2026/05/26/ 2787423 HOLISTICARE ESTER C 1000 Indocare TABLET DUS, BOTOL PLASTIK @ 30 TABLET SALUT SELAPUT Tarik Barang Retur</v>
      </c>
      <c r="G691" s="36">
        <f>'DE ( Tarik barang retur )'!AF668</f>
        <v>46184</v>
      </c>
      <c r="H691" s="22">
        <v>46184.0</v>
      </c>
      <c r="I691" s="22">
        <v>46186.0</v>
      </c>
      <c r="J691" s="21" t="s">
        <v>5294</v>
      </c>
      <c r="K691" s="24"/>
      <c r="L691" s="24"/>
      <c r="M691" s="24"/>
      <c r="N691" s="24"/>
      <c r="O691" s="24"/>
      <c r="P691" s="25"/>
      <c r="Q691" s="25"/>
      <c r="R691" s="25"/>
      <c r="S691" s="25"/>
      <c r="T691" s="25"/>
      <c r="U691" s="25"/>
      <c r="V691" s="25"/>
      <c r="W691" s="25"/>
      <c r="X691" s="25"/>
      <c r="Y691" s="25"/>
      <c r="Z691" s="25"/>
      <c r="AA691" s="25"/>
      <c r="AB691" s="25"/>
      <c r="AC691" s="25"/>
    </row>
    <row r="692">
      <c r="A692" s="24" t="str">
        <f>'DE ( Tarik barang retur )'!AC669</f>
        <v>AWBR-14004-2026-6-11-01</v>
      </c>
      <c r="B692" s="24" t="str">
        <f>'DE ( Tarik barang retur )'!F669</f>
        <v>Apotek Inofarma Kalisari</v>
      </c>
      <c r="C692" s="35">
        <f>'DE ( Tarik barang retur )'!G669</f>
        <v>6.28001E+17</v>
      </c>
      <c r="D692" s="24" t="str">
        <f>'DE ( Tarik barang retur )'!H669</f>
        <v>Jl. Kalisari III Nomor 69 RT 003 RW 03, Kel. Kalisari, Kec. Pasar Rebo, Jakarta Timur</v>
      </c>
      <c r="E692" s="24" t="str">
        <f>'DE ( Tarik barang retur )'!D669</f>
        <v>TMP-INV-2026/06/09/ 2832341</v>
      </c>
      <c r="F692" s="24" t="str">
        <f>'DE ( Tarik barang retur )'!R669</f>
        <v>TMP-INV-2026/05/26/ 2787423 PROMINA PUFFS RASA PISANG POUCH, 15 G Tarik Barang Retur</v>
      </c>
      <c r="G692" s="36">
        <f>'DE ( Tarik barang retur )'!AF669</f>
        <v>46184</v>
      </c>
      <c r="H692" s="22">
        <v>46184.0</v>
      </c>
      <c r="I692" s="22">
        <v>46186.0</v>
      </c>
      <c r="J692" s="21" t="s">
        <v>5294</v>
      </c>
      <c r="K692" s="24"/>
      <c r="L692" s="24"/>
      <c r="M692" s="24"/>
      <c r="N692" s="24"/>
      <c r="O692" s="24"/>
      <c r="P692" s="25"/>
      <c r="Q692" s="25"/>
      <c r="R692" s="25"/>
      <c r="S692" s="25"/>
      <c r="T692" s="25"/>
      <c r="U692" s="25"/>
      <c r="V692" s="25"/>
      <c r="W692" s="25"/>
      <c r="X692" s="25"/>
      <c r="Y692" s="25"/>
      <c r="Z692" s="25"/>
      <c r="AA692" s="25"/>
      <c r="AB692" s="25"/>
      <c r="AC692" s="25"/>
    </row>
    <row r="693">
      <c r="A693" s="24" t="str">
        <f>'DE ( Tarik barang retur )'!AC670</f>
        <v>AWBR-5092-2026-6-11-01</v>
      </c>
      <c r="B693" s="24" t="str">
        <f>'DE ( Tarik barang retur )'!F670</f>
        <v>Apotek Timmy Farma</v>
      </c>
      <c r="C693" s="35">
        <f>'DE ( Tarik barang retur )'!G670</f>
        <v>816806328</v>
      </c>
      <c r="D693" s="24" t="str">
        <f>'DE ( Tarik barang retur )'!H670</f>
        <v>Rukan Gading Park View Jalan Boulevard Timur Blok ZC1 No.29, RT 05 RW 11, Kelurahan Pegangsaan Dua Kecamatan Kelapa Gading, Kota Jakarta Utara 14250</v>
      </c>
      <c r="E693" s="24" t="str">
        <f>'DE ( Tarik barang retur )'!D670</f>
        <v>TMP-INV-2024/12/31/ 1245596 / TMP-INV-2025/04/05/ 1474972</v>
      </c>
      <c r="F693" s="24" t="str">
        <f>'DE ( Tarik barang retur )'!R670</f>
        <v>TMP-INV-2026/06/09/ 2832341 CURCUMA PLUS EMULSION GROW RASA ORANGE Soho EMULSI DUS, BOTOL PLASTIK @ 200 ML / STERO-BAC HAND SANTIZIER Indonesia Bersih Cemerlang BOTOL @ 40 ML Tarik Barang Retur</v>
      </c>
      <c r="G693" s="36">
        <f>'DE ( Tarik barang retur )'!AF670</f>
        <v>46184</v>
      </c>
      <c r="H693" s="22">
        <v>46188.0</v>
      </c>
      <c r="I693" s="22">
        <v>46189.0</v>
      </c>
      <c r="J693" s="21" t="s">
        <v>5294</v>
      </c>
      <c r="K693" s="24"/>
      <c r="L693" s="24"/>
      <c r="M693" s="24"/>
      <c r="N693" s="24"/>
      <c r="O693" s="24"/>
      <c r="P693" s="25"/>
      <c r="Q693" s="25"/>
      <c r="R693" s="25"/>
      <c r="S693" s="25"/>
      <c r="T693" s="25"/>
      <c r="U693" s="25"/>
      <c r="V693" s="25"/>
      <c r="W693" s="25"/>
      <c r="X693" s="25"/>
      <c r="Y693" s="25"/>
      <c r="Z693" s="25"/>
      <c r="AA693" s="25"/>
      <c r="AB693" s="25"/>
      <c r="AC693" s="25"/>
    </row>
    <row r="694">
      <c r="A694" s="24" t="str">
        <f>'DE ( Tarik barang retur )'!AC671</f>
        <v>AWBR-13554-2026-6-11-01</v>
      </c>
      <c r="B694" s="24" t="str">
        <f>'DE ( Tarik barang retur )'!F671</f>
        <v>Apotek Varenhel Pisangan Timur Pulo Gadung</v>
      </c>
      <c r="C694" s="35">
        <f>'DE ( Tarik barang retur )'!G671</f>
        <v>6.28131E+17</v>
      </c>
      <c r="D694" s="24" t="str">
        <f>'DE ( Tarik barang retur )'!H671</f>
        <v>Jl. Gading Raya No. 10, RT.011/RW.010, Desa/Kel. Pisangan Timur, Kec. Pulogadung, Kota Jakarta Timur</v>
      </c>
      <c r="E694" s="24" t="str">
        <f>'DE ( Tarik barang retur )'!D671</f>
        <v>TMP-INV-2025/12/29/ 2274813</v>
      </c>
      <c r="F694" s="24" t="str">
        <f>'DE ( Tarik barang retur )'!R671</f>
        <v>TMP-INV-2024/12/31/ 1245596 / TMP-INV-2025/04/05/ 1474972 TRINORDIOL-28 Sunthi TABLET DUS, 2 BLISTER @ 28 TABLET SALUT GULA Tarik Barang Retur</v>
      </c>
      <c r="G694" s="36">
        <f>'DE ( Tarik barang retur )'!AF671</f>
        <v>46184</v>
      </c>
      <c r="H694" s="22">
        <v>46184.0</v>
      </c>
      <c r="I694" s="22">
        <v>46185.0</v>
      </c>
      <c r="J694" s="21" t="s">
        <v>5294</v>
      </c>
      <c r="K694" s="24"/>
      <c r="L694" s="24"/>
      <c r="M694" s="24"/>
      <c r="N694" s="24"/>
      <c r="O694" s="24"/>
      <c r="P694" s="25"/>
      <c r="Q694" s="25"/>
      <c r="R694" s="25"/>
      <c r="S694" s="25"/>
      <c r="T694" s="25"/>
      <c r="U694" s="25"/>
      <c r="V694" s="25"/>
      <c r="W694" s="25"/>
      <c r="X694" s="25"/>
      <c r="Y694" s="25"/>
      <c r="Z694" s="25"/>
      <c r="AA694" s="25"/>
      <c r="AB694" s="25"/>
      <c r="AC694" s="25"/>
    </row>
    <row r="695">
      <c r="A695" s="24" t="str">
        <f>'DE ( Tarik barang retur )'!AC672</f>
        <v>AWBR-13458-2026-6-11-01</v>
      </c>
      <c r="B695" s="24" t="str">
        <f>'DE ( Tarik barang retur )'!F672</f>
        <v>Apotek Zafran Medika Karang Timur Karang Tengah</v>
      </c>
      <c r="C695" s="35">
        <f>'DE ( Tarik barang retur )'!G672</f>
        <v>6.28961E+17</v>
      </c>
      <c r="D695" s="24" t="str">
        <f>'DE ( Tarik barang retur )'!H672</f>
        <v>Jalan Dr. Sutomo RT 003 RW 009, Desa/Kelurahan Karang Timur, Kec. Karang Tengah, Kota Tangerang</v>
      </c>
      <c r="E695" s="24" t="str">
        <f>'DE ( Tarik barang retur )'!D672</f>
        <v>TMP-INV-2024/12/22/ 1223560</v>
      </c>
      <c r="F695" s="24" t="str">
        <f>'DE ( Tarik barang retur )'!R672</f>
        <v>TMP-INV-2025/12/29/ 2274813 FRESHLIVING BEBIO TUMMY Ultra Sakti DUS, BOTOL KACA ROL ON 9 ML / FRESHLIVING BEBIO ITCHY Ultra Sakti DUS, BOTOL KACA ROL ON 9 ML Tarik Barang Retur</v>
      </c>
      <c r="G695" s="36">
        <f>'DE ( Tarik barang retur )'!AF672</f>
        <v>46184</v>
      </c>
      <c r="H695" s="22">
        <v>46189.0</v>
      </c>
      <c r="I695" s="22">
        <v>46190.0</v>
      </c>
      <c r="J695" s="21" t="s">
        <v>5294</v>
      </c>
      <c r="K695" s="24"/>
      <c r="L695" s="24"/>
      <c r="M695" s="24"/>
      <c r="N695" s="24"/>
      <c r="O695" s="24"/>
      <c r="P695" s="25"/>
      <c r="Q695" s="25"/>
      <c r="R695" s="25"/>
      <c r="S695" s="25"/>
      <c r="T695" s="25"/>
      <c r="U695" s="25"/>
      <c r="V695" s="25"/>
      <c r="W695" s="25"/>
      <c r="X695" s="25"/>
      <c r="Y695" s="25"/>
      <c r="Z695" s="25"/>
      <c r="AA695" s="25"/>
      <c r="AB695" s="25"/>
      <c r="AC695" s="25"/>
    </row>
    <row r="696">
      <c r="A696" s="24" t="str">
        <f>'DE ( Tarik barang retur )'!AC673</f>
        <v>AWBR-3315268353-01</v>
      </c>
      <c r="B696" s="24" t="str">
        <f>'DE ( Tarik barang retur )'!F673</f>
        <v>Apotek Kana Sehat</v>
      </c>
      <c r="C696" s="35">
        <f>'DE ( Tarik barang retur )'!G673</f>
        <v>215703335</v>
      </c>
      <c r="D696" s="24" t="str">
        <f>'DE ( Tarik barang retur )'!H673</f>
        <v>Ruko Villa Bintaro Indah Blok F2 No.5 Kelurahan Jombang Kecamatan Ciputat Kota Tangerang Selatan 15414</v>
      </c>
      <c r="E696" s="24" t="str">
        <f>'DE ( Tarik barang retur )'!D673</f>
        <v>TMP-INV-2026/06/04/ 2816922</v>
      </c>
      <c r="F696" s="24" t="str">
        <f>'DE ( Tarik barang retur )'!R673</f>
        <v>Invoice: TMP-INV-2026/06/04/ 2816922
1x LASERIN Mecosin SIRUP
1x LASERIN Mecosin SIRUP Tarik Barang Retur</v>
      </c>
      <c r="G696" s="36">
        <f>'DE ( Tarik barang retur )'!AF673</f>
        <v>46185</v>
      </c>
      <c r="H696" s="22">
        <v>46185.0</v>
      </c>
      <c r="I696" s="22">
        <v>46186.0</v>
      </c>
      <c r="J696" s="21" t="s">
        <v>5294</v>
      </c>
      <c r="K696" s="24"/>
      <c r="L696" s="24"/>
      <c r="M696" s="24"/>
      <c r="N696" s="24"/>
      <c r="O696" s="24"/>
      <c r="P696" s="25"/>
      <c r="Q696" s="25"/>
      <c r="R696" s="25"/>
      <c r="S696" s="25"/>
      <c r="T696" s="25"/>
      <c r="U696" s="25"/>
      <c r="V696" s="25"/>
      <c r="W696" s="25"/>
      <c r="X696" s="25"/>
      <c r="Y696" s="25"/>
      <c r="Z696" s="25"/>
      <c r="AA696" s="25"/>
      <c r="AB696" s="25"/>
      <c r="AC696" s="25"/>
    </row>
    <row r="697">
      <c r="A697" s="24" t="str">
        <f>'DE ( Tarik barang retur )'!AC674</f>
        <v>AWBR-3314539539-01</v>
      </c>
      <c r="B697" s="24" t="str">
        <f>'DE ( Tarik barang retur )'!F674</f>
        <v>Apotek Alvadent Cihuni Pagedangan</v>
      </c>
      <c r="C697" s="35">
        <f>'DE ( Tarik barang retur )'!G674</f>
        <v>6.28829E+17</v>
      </c>
      <c r="D697" s="24" t="str">
        <f>'DE ( Tarik barang retur )'!H674</f>
        <v>Ruko Maggiore Grande Blok H No. 62 Desa/Kel. Cihuni Kec. Pagedangan Kabupaten Tangerang</v>
      </c>
      <c r="E697" s="24" t="str">
        <f>'DE ( Tarik barang retur )'!D674</f>
        <v>TMP-INV-2025/09/18/ 1941278</v>
      </c>
      <c r="F697" s="24" t="str">
        <f>'DE ( Tarik barang retur )'!R674</f>
        <v>Invoice: TMP-INV-2025/09/18/ 1941278
1x NEW TAY PIN SAN CAP KUPU-KUPU Bintang Kupu-Kupu SERBUK Tarik Barang Retur</v>
      </c>
      <c r="G697" s="36">
        <f>'DE ( Tarik barang retur )'!AF674</f>
        <v>46185</v>
      </c>
      <c r="H697" s="22">
        <v>46186.0</v>
      </c>
      <c r="I697" s="22">
        <v>46187.0</v>
      </c>
      <c r="J697" s="21" t="s">
        <v>5294</v>
      </c>
      <c r="K697" s="24"/>
      <c r="L697" s="24"/>
      <c r="M697" s="24"/>
      <c r="N697" s="24"/>
      <c r="O697" s="24"/>
      <c r="P697" s="25"/>
      <c r="Q697" s="25"/>
      <c r="R697" s="25"/>
      <c r="S697" s="25"/>
      <c r="T697" s="25"/>
      <c r="U697" s="25"/>
      <c r="V697" s="25"/>
      <c r="W697" s="25"/>
      <c r="X697" s="25"/>
      <c r="Y697" s="25"/>
      <c r="Z697" s="25"/>
      <c r="AA697" s="25"/>
      <c r="AB697" s="25"/>
      <c r="AC697" s="25"/>
    </row>
    <row r="698">
      <c r="A698" s="24" t="str">
        <f>'DE ( Tarik barang retur )'!AC675</f>
        <v>AWBR-3317773032-01</v>
      </c>
      <c r="B698" s="24" t="str">
        <f>'DE ( Tarik barang retur )'!F675</f>
        <v>Apotek Imani</v>
      </c>
      <c r="C698" s="35">
        <f>'DE ( Tarik barang retur )'!G675</f>
        <v>8176684929</v>
      </c>
      <c r="D698" s="24" t="str">
        <f>'DE ( Tarik barang retur )'!H675</f>
        <v>Jalan KH. M. Usman No. 17 RT 004 RW 002 Kelurahan Kukusan Kecamatan Beji Kota Depok 16425</v>
      </c>
      <c r="E698" s="24" t="str">
        <f>'DE ( Tarik barang retur )'!D675</f>
        <v>TMP-INV-2026/06/04/ 2817904</v>
      </c>
      <c r="F698" s="24" t="str">
        <f>'DE ( Tarik barang retur )'!R675</f>
        <v>Invoice: TMP-INV-2026/06/04/ 2817904
1x IMBOOST FORCE FCT+ Soho KAPLET Tarik Barang Retur</v>
      </c>
      <c r="G698" s="36">
        <f>'DE ( Tarik barang retur )'!AF675</f>
        <v>46185</v>
      </c>
      <c r="H698" s="22">
        <v>46185.0</v>
      </c>
      <c r="I698" s="22">
        <v>46186.0</v>
      </c>
      <c r="J698" s="21" t="s">
        <v>5294</v>
      </c>
      <c r="K698" s="24"/>
      <c r="L698" s="24"/>
      <c r="M698" s="24"/>
      <c r="N698" s="24"/>
      <c r="O698" s="24"/>
      <c r="P698" s="25"/>
      <c r="Q698" s="25"/>
      <c r="R698" s="25"/>
      <c r="S698" s="25"/>
      <c r="T698" s="25"/>
      <c r="U698" s="25"/>
      <c r="V698" s="25"/>
      <c r="W698" s="25"/>
      <c r="X698" s="25"/>
      <c r="Y698" s="25"/>
      <c r="Z698" s="25"/>
      <c r="AA698" s="25"/>
      <c r="AB698" s="25"/>
      <c r="AC698" s="25"/>
    </row>
    <row r="699">
      <c r="A699" s="24" t="str">
        <f>'DE ( Tarik barang retur )'!AC676</f>
        <v>AWBR-3315243036-01</v>
      </c>
      <c r="B699" s="24" t="str">
        <f>'DE ( Tarik barang retur )'!F676</f>
        <v>Apotek MMK24 Abadi Jaya Sukmajaya</v>
      </c>
      <c r="C699" s="35">
        <f>'DE ( Tarik barang retur )'!G676</f>
        <v>6.28125E+17</v>
      </c>
      <c r="D699" s="24" t="str">
        <f>'DE ( Tarik barang retur )'!H676</f>
        <v>Jl. Kejayaan Blok 10 No. 10, Desa/Kelurahan Abadi Jaya, Kec.Sukmajaya, Kota Depok,</v>
      </c>
      <c r="E699" s="24" t="str">
        <f>'DE ( Tarik barang retur )'!D676</f>
        <v>TMP-INV-2025/11/05/ 2094477</v>
      </c>
      <c r="F699" s="24" t="str">
        <f>'DE ( Tarik barang retur )'!R676</f>
        <v>Invoice: TMP-INV-2025/11/05/ 2094477
1x REDOXON FORTIMUN Bayer TABLET EFFERVESCENT Tarik Barang Retur</v>
      </c>
      <c r="G699" s="36">
        <f>'DE ( Tarik barang retur )'!AF676</f>
        <v>46185</v>
      </c>
      <c r="H699" s="22">
        <v>46185.0</v>
      </c>
      <c r="I699" s="22">
        <v>46187.0</v>
      </c>
      <c r="J699" s="21" t="s">
        <v>5294</v>
      </c>
      <c r="K699" s="24"/>
      <c r="L699" s="24"/>
      <c r="M699" s="24"/>
      <c r="N699" s="24"/>
      <c r="O699" s="24"/>
      <c r="P699" s="25"/>
      <c r="Q699" s="25"/>
      <c r="R699" s="25"/>
      <c r="S699" s="25"/>
      <c r="T699" s="25"/>
      <c r="U699" s="25"/>
      <c r="V699" s="25"/>
      <c r="W699" s="25"/>
      <c r="X699" s="25"/>
      <c r="Y699" s="25"/>
      <c r="Z699" s="25"/>
      <c r="AA699" s="25"/>
      <c r="AB699" s="25"/>
      <c r="AC699" s="25"/>
    </row>
    <row r="700">
      <c r="A700" s="24" t="str">
        <f>'DE ( Tarik barang retur )'!AC677</f>
        <v>AWBR-3315241603-01</v>
      </c>
      <c r="B700" s="24" t="str">
        <f>'DE ( Tarik barang retur )'!F677</f>
        <v>Apotek Marlasria 2 Jatirangga Jatisampurna</v>
      </c>
      <c r="C700" s="35">
        <f>'DE ( Tarik barang retur )'!G677</f>
        <v>6.2813E+16</v>
      </c>
      <c r="D700" s="24" t="str">
        <f>'DE ( Tarik barang retur )'!H677</f>
        <v>Jl. Kranggan Permai Raya S6 No.13, RT.011/RW.015, Desa/Kel. Jatirangga, Kec. Jatisampurna, Kota Bekasi, 17433</v>
      </c>
      <c r="E700" s="24" t="str">
        <f>'DE ( Tarik barang retur )'!D677</f>
        <v>TMP-INV-2026/06/04/ 2818140</v>
      </c>
      <c r="F700" s="24" t="str">
        <f>'DE ( Tarik barang retur )'!R677</f>
        <v>Invoice: TMP-INV-2026/06/04/ 2818140
1x VITAMIN C+COLLAGEN VIT C 1000 MG+COLLAGEN TRIPEPTIDA 500 MG D3+ZINC DENGAN EKSTRAK STRAWBERRY LEMONADE SidoMuncul Tarik Barang Retur</v>
      </c>
      <c r="G700" s="36">
        <f>'DE ( Tarik barang retur )'!AF677</f>
        <v>46185</v>
      </c>
      <c r="H700" s="22">
        <v>46186.0</v>
      </c>
      <c r="I700" s="22">
        <v>46186.0</v>
      </c>
      <c r="J700" s="21" t="s">
        <v>5294</v>
      </c>
      <c r="K700" s="24"/>
      <c r="L700" s="24"/>
      <c r="M700" s="24"/>
      <c r="N700" s="24"/>
      <c r="O700" s="24"/>
      <c r="P700" s="25"/>
      <c r="Q700" s="25"/>
      <c r="R700" s="25"/>
      <c r="S700" s="25"/>
      <c r="T700" s="25"/>
      <c r="U700" s="25"/>
      <c r="V700" s="25"/>
      <c r="W700" s="25"/>
      <c r="X700" s="25"/>
      <c r="Y700" s="25"/>
      <c r="Z700" s="25"/>
      <c r="AA700" s="25"/>
      <c r="AB700" s="25"/>
      <c r="AC700" s="25"/>
    </row>
    <row r="701">
      <c r="A701" s="24" t="str">
        <f>'DE ( Tarik barang retur )'!AC678</f>
        <v>AWBR-3317812635-01</v>
      </c>
      <c r="B701" s="24" t="str">
        <f>'DE ( Tarik barang retur )'!F678</f>
        <v>Apotek Afiat</v>
      </c>
      <c r="C701" s="35">
        <f>'DE ( Tarik barang retur )'!G678</f>
        <v>85832080340</v>
      </c>
      <c r="D701" s="24" t="str">
        <f>'DE ( Tarik barang retur )'!H678</f>
        <v>Jalan Raya Taman Pagelaran Blok FF 1 No. 11 Kelurahan Padasuka Kecamatan Ciomas Kabupaten Bogor 16610</v>
      </c>
      <c r="E701" s="24" t="str">
        <f>'DE ( Tarik barang retur )'!D678</f>
        <v>TMP-INV-2026/05/22/ 2771983</v>
      </c>
      <c r="F701" s="24" t="str">
        <f>'DE ( Tarik barang retur )'!R678</f>
        <v>Invoice: TMP-INV-2026/05/22/ 2771983
Full Return Tarik Barang Retur</v>
      </c>
      <c r="G701" s="36">
        <f>'DE ( Tarik barang retur )'!AF678</f>
        <v>46185</v>
      </c>
      <c r="H701" s="22">
        <v>46186.0</v>
      </c>
      <c r="I701" s="22">
        <v>46188.0</v>
      </c>
      <c r="J701" s="21" t="s">
        <v>5294</v>
      </c>
      <c r="K701" s="24"/>
      <c r="L701" s="24"/>
      <c r="M701" s="24"/>
      <c r="N701" s="24"/>
      <c r="O701" s="24"/>
      <c r="P701" s="25"/>
      <c r="Q701" s="25"/>
      <c r="R701" s="25"/>
      <c r="S701" s="25"/>
      <c r="T701" s="25"/>
      <c r="U701" s="25"/>
      <c r="V701" s="25"/>
      <c r="W701" s="25"/>
      <c r="X701" s="25"/>
      <c r="Y701" s="25"/>
      <c r="Z701" s="25"/>
      <c r="AA701" s="25"/>
      <c r="AB701" s="25"/>
      <c r="AC701" s="25"/>
    </row>
    <row r="702">
      <c r="A702" s="24" t="str">
        <f>'DE ( Tarik barang retur )'!AC679</f>
        <v>AWBR-3315443262-01</v>
      </c>
      <c r="B702" s="24" t="str">
        <f>'DE ( Tarik barang retur )'!F679</f>
        <v>Apotek Evita Gunung Sindur Gunung Sindur</v>
      </c>
      <c r="C702" s="35">
        <f>'DE ( Tarik barang retur )'!G679</f>
        <v>6.28141E+17</v>
      </c>
      <c r="D702" s="24" t="str">
        <f>'DE ( Tarik barang retur )'!H679</f>
        <v>Kp. Prumpung Jl. Atma Asnawi RT. 02 RW. 03 Desa Gunung Sindur Kec. Gunung Sindur Kab. Bogor</v>
      </c>
      <c r="E702" s="24" t="str">
        <f>'DE ( Tarik barang retur )'!D679</f>
        <v>TMP-INV-2026/06/04/ 2817602</v>
      </c>
      <c r="F702" s="24" t="str">
        <f>'DE ( Tarik barang retur )'!R679</f>
        <v>Invoice: TMP-INV-2026/06/04/ 2817602
2x SILADEX MUCOLYTIC and EXPECTORANT Konimex SIRUP
1x KULDON PANAS DALAM dan SARIAWAN Deltomed TABLET Tarik Barang Retur</v>
      </c>
      <c r="G702" s="36">
        <f>'DE ( Tarik barang retur )'!AF679</f>
        <v>46185</v>
      </c>
      <c r="H702" s="22">
        <v>46185.0</v>
      </c>
      <c r="I702" s="22">
        <v>46186.0</v>
      </c>
      <c r="J702" s="21" t="s">
        <v>5294</v>
      </c>
      <c r="K702" s="24"/>
      <c r="L702" s="24"/>
      <c r="M702" s="24"/>
      <c r="N702" s="24"/>
      <c r="O702" s="24"/>
      <c r="P702" s="25"/>
      <c r="Q702" s="25"/>
      <c r="R702" s="25"/>
      <c r="S702" s="25"/>
      <c r="T702" s="25"/>
      <c r="U702" s="25"/>
      <c r="V702" s="25"/>
      <c r="W702" s="25"/>
      <c r="X702" s="25"/>
      <c r="Y702" s="25"/>
      <c r="Z702" s="25"/>
      <c r="AA702" s="25"/>
      <c r="AB702" s="25"/>
      <c r="AC702" s="25"/>
    </row>
    <row r="703">
      <c r="A703" s="24" t="str">
        <f>'DE ( Tarik barang retur )'!AC680</f>
        <v>AWBR-3312614498-01</v>
      </c>
      <c r="B703" s="24" t="str">
        <f>'DE ( Tarik barang retur )'!F680</f>
        <v>Apotek Arthra Farma Mustika Jaya Mustika Jaya</v>
      </c>
      <c r="C703" s="35">
        <f>'DE ( Tarik barang retur )'!G680</f>
        <v>85770790006</v>
      </c>
      <c r="D703" s="24" t="str">
        <f>'DE ( Tarik barang retur )'!H680</f>
        <v>Mutiara Gading Timur Blok C-16 No. 28B, Kel. Mustika Jaya, Kec. Mustika Jaya, Kota Bekasi, 17155</v>
      </c>
      <c r="E703" s="24" t="str">
        <f>'DE ( Tarik barang retur )'!D680</f>
        <v>TMP-INV-2025/07/03/ 1707991, TMP-INV-2025/02/09/ 1340818</v>
      </c>
      <c r="F703" s="24" t="str">
        <f>'DE ( Tarik barang retur )'!R680</f>
        <v>Invoice: TMP-INV-2025/07/03/ 1707991
1x WOODS PEPPERMINT ANTITUSSIVE Kalbe SIRUP
----------------------------------------
Invoice: TMP-INV-2025/02/09/ 1340818
2x CURCUMA PLUS FRUIT and VEGGIE RASA ORANGE Soho CAIRAN ORAL Tarik Barang Retur</v>
      </c>
      <c r="G703" s="36">
        <f>'DE ( Tarik barang retur )'!AF680</f>
        <v>46185</v>
      </c>
      <c r="H703" s="22">
        <v>46186.0</v>
      </c>
      <c r="I703" s="22">
        <v>46186.0</v>
      </c>
      <c r="J703" s="21" t="s">
        <v>5294</v>
      </c>
      <c r="K703" s="24"/>
      <c r="L703" s="24"/>
      <c r="M703" s="24"/>
      <c r="N703" s="24"/>
      <c r="O703" s="24"/>
      <c r="P703" s="25"/>
      <c r="Q703" s="25"/>
      <c r="R703" s="25"/>
      <c r="S703" s="25"/>
      <c r="T703" s="25"/>
      <c r="U703" s="25"/>
      <c r="V703" s="25"/>
      <c r="W703" s="25"/>
      <c r="X703" s="25"/>
      <c r="Y703" s="25"/>
      <c r="Z703" s="25"/>
      <c r="AA703" s="25"/>
      <c r="AB703" s="25"/>
      <c r="AC703" s="25"/>
    </row>
    <row r="704">
      <c r="A704" s="24" t="str">
        <f>'DE ( Tarik barang retur )'!AC681</f>
        <v>AWBR-3315300866-01</v>
      </c>
      <c r="B704" s="24" t="str">
        <f>'DE ( Tarik barang retur )'!F681</f>
        <v>Apotek Plus Serpong Farma Babakan Setu</v>
      </c>
      <c r="C704" s="35">
        <f>'DE ( Tarik barang retur )'!G681</f>
        <v>85299456766</v>
      </c>
      <c r="D704" s="24" t="str">
        <f>'DE ( Tarik barang retur )'!H681</f>
        <v>Jl. Raya Pasar jengkol No. 63 Kel. Babakan Kec. Setu Kota Tangerang Selatan 15315</v>
      </c>
      <c r="E704" s="24" t="str">
        <f>'DE ( Tarik barang retur )'!D681</f>
        <v>TMP-INV-2026/06/03/ 2813396</v>
      </c>
      <c r="F704" s="24" t="str">
        <f>'DE ( Tarik barang retur )'!R681</f>
        <v>Invoice: TMP-INV-2026/06/03/ 2813396
2x MOMETASONE FUROATE Etercon KRIM 0.1 % Tarik Barang Retur</v>
      </c>
      <c r="G704" s="36">
        <f>'DE ( Tarik barang retur )'!AF681</f>
        <v>46185</v>
      </c>
      <c r="H704" s="22">
        <v>46185.0</v>
      </c>
      <c r="I704" s="22">
        <v>46186.0</v>
      </c>
      <c r="J704" s="21" t="s">
        <v>5294</v>
      </c>
      <c r="K704" s="24"/>
      <c r="L704" s="24"/>
      <c r="M704" s="24"/>
      <c r="N704" s="24"/>
      <c r="O704" s="24"/>
      <c r="P704" s="25"/>
      <c r="Q704" s="25"/>
      <c r="R704" s="25"/>
      <c r="S704" s="25"/>
      <c r="T704" s="25"/>
      <c r="U704" s="25"/>
      <c r="V704" s="25"/>
      <c r="W704" s="25"/>
      <c r="X704" s="25"/>
      <c r="Y704" s="25"/>
      <c r="Z704" s="25"/>
      <c r="AA704" s="25"/>
      <c r="AB704" s="25"/>
      <c r="AC704" s="25"/>
    </row>
    <row r="705">
      <c r="A705" s="24" t="str">
        <f>'DE ( Tarik barang retur )'!AC682</f>
        <v>AWBR-3312490692-01</v>
      </c>
      <c r="B705" s="24" t="str">
        <f>'DE ( Tarik barang retur )'!F682</f>
        <v>Apotek Cespleng Sehat Ciganjur Jagakarsa</v>
      </c>
      <c r="C705" s="35">
        <f>'DE ( Tarik barang retur )'!G682</f>
        <v>6.28218E+17</v>
      </c>
      <c r="D705" s="24" t="str">
        <f>'DE ( Tarik barang retur )'!H682</f>
        <v>Jalan Sirsak Raya No.99 RT 02/RW 02, Desa/Kelurahan Jagakarsa, Kec. Jagakarsa, Kota Adm. Jakarta Selatan</v>
      </c>
      <c r="E705" s="24" t="str">
        <f>'DE ( Tarik barang retur )'!D682</f>
        <v>TMP-INV-2026/05/30/ 2799929, TMP-INV-2026/05/30/ 2799444</v>
      </c>
      <c r="F705" s="24" t="str">
        <f>'DE ( Tarik barang retur )'!R682</f>
        <v>Invoice: TMP-INV-2026/05/30/ 2799929
2x MADU TJ JAHE MINT Ultrasakti
----------------------------------------
Invoice: TMP-INV-2026/05/30/ 2799444
2x DECOLGEN KIDS Darya-Varia SIRUP Tarik Barang Retur</v>
      </c>
      <c r="G705" s="36">
        <f>'DE ( Tarik barang retur )'!AF682</f>
        <v>46185</v>
      </c>
      <c r="H705" s="22">
        <v>46185.0</v>
      </c>
      <c r="I705" s="22">
        <v>46187.0</v>
      </c>
      <c r="J705" s="21" t="s">
        <v>5294</v>
      </c>
      <c r="K705" s="24"/>
      <c r="L705" s="24"/>
      <c r="M705" s="24"/>
      <c r="N705" s="24"/>
      <c r="O705" s="24"/>
      <c r="P705" s="25"/>
      <c r="Q705" s="25"/>
      <c r="R705" s="25"/>
      <c r="S705" s="25"/>
      <c r="T705" s="25"/>
      <c r="U705" s="25"/>
      <c r="V705" s="25"/>
      <c r="W705" s="25"/>
      <c r="X705" s="25"/>
      <c r="Y705" s="25"/>
      <c r="Z705" s="25"/>
      <c r="AA705" s="25"/>
      <c r="AB705" s="25"/>
      <c r="AC705" s="25"/>
    </row>
    <row r="706">
      <c r="A706" s="24" t="str">
        <f>'DE ( Tarik barang retur )'!AC683</f>
        <v>AWBR-3317767963-01</v>
      </c>
      <c r="B706" s="24" t="str">
        <f>'DE ( Tarik barang retur )'!F683</f>
        <v>Apotek Talita</v>
      </c>
      <c r="C706" s="35">
        <f>'DE ( Tarik barang retur )'!G683</f>
        <v>2129337555</v>
      </c>
      <c r="D706" s="24" t="str">
        <f>'DE ( Tarik barang retur )'!H683</f>
        <v>Jl. Dr.Muwardi I no 18 D Grogol</v>
      </c>
      <c r="E706" s="24" t="str">
        <f>'DE ( Tarik barang retur )'!D683</f>
        <v>TMP-INV-2026/05/29/ 2795616</v>
      </c>
      <c r="F706" s="24" t="str">
        <f>'DE ( Tarik barang retur )'!R683</f>
        <v>Invoice: TMP-INV-2026/05/29/ 2795616
1x INCLOVIR Interbat KAPLET 500 MG
1x ZOVIRAX Gsk KRIM 5 % Tarik Barang Retur</v>
      </c>
      <c r="G706" s="36">
        <f>'DE ( Tarik barang retur )'!AF683</f>
        <v>46185</v>
      </c>
      <c r="H706" s="22">
        <v>46186.0</v>
      </c>
      <c r="I706" s="22">
        <v>46187.0</v>
      </c>
      <c r="J706" s="21" t="s">
        <v>5294</v>
      </c>
      <c r="K706" s="24"/>
      <c r="L706" s="24"/>
      <c r="M706" s="24"/>
      <c r="N706" s="24"/>
      <c r="O706" s="24"/>
      <c r="P706" s="25"/>
      <c r="Q706" s="25"/>
      <c r="R706" s="25"/>
      <c r="S706" s="25"/>
      <c r="T706" s="25"/>
      <c r="U706" s="25"/>
      <c r="V706" s="25"/>
      <c r="W706" s="25"/>
      <c r="X706" s="25"/>
      <c r="Y706" s="25"/>
      <c r="Z706" s="25"/>
      <c r="AA706" s="25"/>
      <c r="AB706" s="25"/>
      <c r="AC706" s="25"/>
    </row>
    <row r="707">
      <c r="A707" s="24" t="str">
        <f>'DE ( Tarik barang retur )'!AC684</f>
        <v>AWBR-3314545769-01</v>
      </c>
      <c r="B707" s="24" t="str">
        <f>'DE ( Tarik barang retur )'!F684</f>
        <v>Apotek Assyaffa Lagoa Koja</v>
      </c>
      <c r="C707" s="35">
        <f>'DE ( Tarik barang retur )'!G684</f>
        <v>6.28125E+17</v>
      </c>
      <c r="D707" s="24" t="str">
        <f>'DE ( Tarik barang retur )'!H684</f>
        <v>Jl. Mundu Luar No. 12 RT/RW 11/11 , Desa/Kelurahan Lagoa, Kec. Koja, Kota Adm. Jakarta Utara 14270</v>
      </c>
      <c r="E707" s="24" t="str">
        <f>'DE ( Tarik barang retur )'!D684</f>
        <v>TMP-INV-2024/03/17/ 681873, TMP-INV-2024/03/29/ 703170</v>
      </c>
      <c r="F707" s="24" t="str">
        <f>'DE ( Tarik barang retur )'!R684</f>
        <v>Invoice: TMP-INV-2024/03/17/ 681873
1x SILADEX DMP Konimex SIRUP
----------------------------------------
Invoice: TMP-INV-2024/03/29/ 703170
4x VERILE AKTIF ACNE GEL Medikon Tarik Barang Retur</v>
      </c>
      <c r="G707" s="36">
        <f>'DE ( Tarik barang retur )'!AF684</f>
        <v>46185</v>
      </c>
      <c r="H707" s="22">
        <v>46186.0</v>
      </c>
      <c r="I707" s="22">
        <v>46186.0</v>
      </c>
      <c r="J707" s="21" t="s">
        <v>5294</v>
      </c>
      <c r="K707" s="24"/>
      <c r="L707" s="24"/>
      <c r="M707" s="24"/>
      <c r="N707" s="24"/>
      <c r="O707" s="24"/>
      <c r="P707" s="25"/>
      <c r="Q707" s="25"/>
      <c r="R707" s="25"/>
      <c r="S707" s="25"/>
      <c r="T707" s="25"/>
      <c r="U707" s="25"/>
      <c r="V707" s="25"/>
      <c r="W707" s="25"/>
      <c r="X707" s="25"/>
      <c r="Y707" s="25"/>
      <c r="Z707" s="25"/>
      <c r="AA707" s="25"/>
      <c r="AB707" s="25"/>
      <c r="AC707" s="25"/>
    </row>
    <row r="708">
      <c r="A708" s="24" t="str">
        <f>'DE ( Tarik barang retur )'!AC685</f>
        <v>AWBR-3317133516-01</v>
      </c>
      <c r="B708" s="24" t="str">
        <f>'DE ( Tarik barang retur )'!F685</f>
        <v>Apotek Camoyo Sudimara Pinang Pinang</v>
      </c>
      <c r="C708" s="35">
        <f>'DE ( Tarik barang retur )'!G685</f>
        <v>6.28132E+17</v>
      </c>
      <c r="D708" s="24" t="str">
        <f>'DE ( Tarik barang retur )'!H685</f>
        <v>Ruko Pinang Graha 2 Blok PG 5/ B-10, Jl. Boulevard Graha Raya, Desa/Kelurahan Sudimara Pinang, Kec. Pinang, Kota Tangerang</v>
      </c>
      <c r="E708" s="24" t="str">
        <f>'DE ( Tarik barang retur )'!D685</f>
        <v>TMP-INV-2026/05/21/ 2770403</v>
      </c>
      <c r="F708" s="24" t="str">
        <f>'DE ( Tarik barang retur )'!R685</f>
        <v>Invoice: TMP-INV-2026/05/21/ 2770403
6x LAMBUCID Hexpharm SUSPENSI
2x TRINORDIOL-28 Sunthi TABLET
1x VITAMAM 2 Novell KAPSUL Tarik Barang Retur</v>
      </c>
      <c r="G708" s="36">
        <f>'DE ( Tarik barang retur )'!AF685</f>
        <v>46185</v>
      </c>
      <c r="H708" s="22">
        <v>46185.0</v>
      </c>
      <c r="I708" s="22">
        <v>46186.0</v>
      </c>
      <c r="J708" s="21" t="s">
        <v>5294</v>
      </c>
      <c r="K708" s="24"/>
      <c r="L708" s="24"/>
      <c r="M708" s="24"/>
      <c r="N708" s="24"/>
      <c r="O708" s="24"/>
      <c r="P708" s="25"/>
      <c r="Q708" s="25"/>
      <c r="R708" s="25"/>
      <c r="S708" s="25"/>
      <c r="T708" s="25"/>
      <c r="U708" s="25"/>
      <c r="V708" s="25"/>
      <c r="W708" s="25"/>
      <c r="X708" s="25"/>
      <c r="Y708" s="25"/>
      <c r="Z708" s="25"/>
      <c r="AA708" s="25"/>
      <c r="AB708" s="25"/>
      <c r="AC708" s="25"/>
    </row>
    <row r="709">
      <c r="A709" s="24" t="str">
        <f>'DE ( Tarik barang retur )'!AC686</f>
        <v>AWBR-3316417026-01</v>
      </c>
      <c r="B709" s="24" t="str">
        <f>'DE ( Tarik barang retur )'!F686</f>
        <v>Apotek Sehat Sentosa Medika Kamal Kalideres</v>
      </c>
      <c r="C709" s="35">
        <f>'DE ( Tarik barang retur )'!G686</f>
        <v>6.28228E+17</v>
      </c>
      <c r="D709" s="24" t="str">
        <f>'DE ( Tarik barang retur )'!H686</f>
        <v>Jl. Benda Raya No. 65 RT001/RW 005, Desa/Kelurahan Kamal, Kec. Kalideres, Kota Jakarta Barat</v>
      </c>
      <c r="E709" s="24" t="str">
        <f>'DE ( Tarik barang retur )'!D686</f>
        <v>TMP-INV-2025/06/20/ 1674404, TMP-INV-2025/06/20/ 1673883, TMP-INV-2025/06/25/ 1687475, TMP-INV-2025/06/22/ 1677094, TMP-INV-2025/06/21/ 1676688, TMP-INV-2025/07/08/ 1721785, TMP-INV-2025/06/25/ 1687145, TMP-INV-2025/06/25/ 1687477</v>
      </c>
      <c r="F709" s="24" t="str">
        <f>'DE ( Tarik barang retur )'!R686</f>
        <v>Invoice: TMP-INV-2025/06/20/ 1674404
1x SAKATONIK ABC RASA JERUK Saka Farma
1x STIMUNO RASA JERUK BERI Dexa Medica SIRUP
----------------------------------------
Invoice: TMP-INV-2025/06/20/ 1673883
1x BLACKMORES ODOURLESS FISH OIL 1000 Kalbe KAPSUL
----------------------------------------
Invoice: TMP-INV-2025/06/25/ 1687475
2x DUS, ALUMINIUM FOIL 180 G (3 Sachet @ 60 g)
1x PUREBB TONGUE GUM WIPES ORIGINAL Etercon
1x DUS, TUBE 100 G
2x NEPHRISOL D Kalbe RASA VANILA
1x PUREBB TONGUE GUM WIPES STRAWBERRY FLAVOUR Etercon
2x SECRETCLEAN PROPOLIS ANTISEPTIC MOUTHWASH ORANGE MINT Victoria Care
----------------------------------------
Invoice: TMP-INV-2025/06/22/ 1677094
2x FRESHLIVING BEBIO ITCHY Ultra Sakti
2x CDR FORTOS Bayer TABLET EFFERVESCENT
----------------------------------------
Invoice: TMP-INV-2025/06/21/ 1676688
2x ANDALAN NUTRIFEMME FOLAMOM Hermed KAPLET
2x SAKATONIK ABC CURCUMA MADU Saka Farma TABLET
----------------------------------------
Invoice: TMP-INV-2025/07/08/ 1721785
2x ANDALAN FEMININE CARE INTIMATE WIPES FRESH Freshening
----------------------------------------
Invoice: TMP-INV-2025/06/25/ 1687145
1x NOROID DERMA RASH Soho KRIM
1x SCOTTS EMULSION VITA ORANGE Sterling EMULSI
----------------------------------------
Invoice: TMP-INV-2025/06/25/ 1687477
1x PUREBB BODY LOTION Etercon Tarik Barang Retur</v>
      </c>
      <c r="G709" s="36">
        <f>'DE ( Tarik barang retur )'!AF686</f>
        <v>46185</v>
      </c>
      <c r="H709" s="22">
        <v>46190.0</v>
      </c>
      <c r="I709" s="24"/>
      <c r="J709" s="21" t="s">
        <v>5295</v>
      </c>
      <c r="K709" s="24"/>
      <c r="L709" s="24"/>
      <c r="M709" s="25"/>
      <c r="N709" s="25"/>
      <c r="O709" s="25"/>
      <c r="P709" s="25"/>
      <c r="Q709" s="25"/>
      <c r="R709" s="25"/>
      <c r="S709" s="25"/>
      <c r="T709" s="25"/>
      <c r="U709" s="25"/>
      <c r="V709" s="25"/>
      <c r="W709" s="25"/>
      <c r="X709" s="25"/>
      <c r="Y709" s="25"/>
      <c r="Z709" s="25"/>
      <c r="AA709" s="25"/>
      <c r="AB709" s="25"/>
      <c r="AC709" s="25"/>
    </row>
    <row r="710">
      <c r="A710" s="24" t="str">
        <f>'DE ( Tarik barang retur )'!AC687</f>
        <v>AWBR-3314556865-01</v>
      </c>
      <c r="B710" s="24" t="str">
        <f>'DE ( Tarik barang retur )'!F687</f>
        <v>Apotek Handaya Mulia Kebon Jeruk Kebon Jeruk</v>
      </c>
      <c r="C710" s="35">
        <f>'DE ( Tarik barang retur )'!G687</f>
        <v>6.28572E+17</v>
      </c>
      <c r="D710" s="24" t="str">
        <f>'DE ( Tarik barang retur )'!H687</f>
        <v>Graha Handaya Unit C lantai 1, Jalan Pejuangan, RT.001, RW.007, Desa/Kelurahan Kebon Jeruk, Kec. Kebon Jeruk, Kota Adm. Jakarta Barat</v>
      </c>
      <c r="E710" s="24" t="str">
        <f>'DE ( Tarik barang retur )'!D687</f>
        <v>TMP-INV-2026/06/03/ 2813129</v>
      </c>
      <c r="F710" s="24" t="str">
        <f>'DE ( Tarik barang retur )'!R687</f>
        <v>Invoice: TMP-INV-2026/06/03/ 2813129
4x SUSU BEAR BRAND Nestle Tarik Barang Retur</v>
      </c>
      <c r="G710" s="36">
        <f>'DE ( Tarik barang retur )'!AF687</f>
        <v>46185</v>
      </c>
      <c r="H710" s="22">
        <v>46186.0</v>
      </c>
      <c r="I710" s="22">
        <v>46187.0</v>
      </c>
      <c r="J710" s="21" t="s">
        <v>5294</v>
      </c>
      <c r="K710" s="24"/>
      <c r="L710" s="24"/>
      <c r="M710" s="24"/>
      <c r="N710" s="24"/>
      <c r="O710" s="24"/>
      <c r="P710" s="25"/>
      <c r="Q710" s="25"/>
      <c r="R710" s="25"/>
      <c r="S710" s="25"/>
      <c r="T710" s="25"/>
      <c r="U710" s="25"/>
      <c r="V710" s="25"/>
      <c r="W710" s="25"/>
      <c r="X710" s="25"/>
      <c r="Y710" s="25"/>
      <c r="Z710" s="25"/>
      <c r="AA710" s="25"/>
      <c r="AB710" s="25"/>
      <c r="AC710" s="25"/>
    </row>
    <row r="711">
      <c r="A711" s="24" t="str">
        <f>'DE ( Tarik barang retur )'!AC688</f>
        <v>AWBR-3312601854-01</v>
      </c>
      <c r="B711" s="24" t="str">
        <f>'DE ( Tarik barang retur )'!F688</f>
        <v>Apotek Fajar Utama</v>
      </c>
      <c r="C711" s="35">
        <f>'DE ( Tarik barang retur )'!G688</f>
        <v>82112829338</v>
      </c>
      <c r="D711" s="24" t="str">
        <f>'DE ( Tarik barang retur )'!H688</f>
        <v>Jalan Bangun Nusa Raya III RT 007 RW 002,Desa/Kelurahan Cengkareng Timur,Kecamatan Cengkareng Jakarta Barat,11730</v>
      </c>
      <c r="E711" s="24" t="str">
        <f>'DE ( Tarik barang retur )'!D688</f>
        <v>TMP-INV-2026/05/29/ 2795560</v>
      </c>
      <c r="F711" s="24" t="str">
        <f>'DE ( Tarik barang retur )'!R688</f>
        <v>Invoice: TMP-INV-2026/05/29/ 2795560
1x MINYAK GOSOK CAP TAWON Jaya Makassar (EE) Tarik Barang Retur</v>
      </c>
      <c r="G711" s="36">
        <f>'DE ( Tarik barang retur )'!AF688</f>
        <v>46185</v>
      </c>
      <c r="H711" s="22">
        <v>46185.0</v>
      </c>
      <c r="I711" s="22">
        <v>46186.0</v>
      </c>
      <c r="J711" s="21" t="s">
        <v>5294</v>
      </c>
      <c r="K711" s="24"/>
      <c r="L711" s="24"/>
      <c r="M711" s="24"/>
      <c r="N711" s="24"/>
      <c r="O711" s="24"/>
      <c r="P711" s="25"/>
      <c r="Q711" s="25"/>
      <c r="R711" s="25"/>
      <c r="S711" s="25"/>
      <c r="T711" s="25"/>
      <c r="U711" s="25"/>
      <c r="V711" s="25"/>
      <c r="W711" s="25"/>
      <c r="X711" s="25"/>
      <c r="Y711" s="25"/>
      <c r="Z711" s="25"/>
      <c r="AA711" s="25"/>
      <c r="AB711" s="25"/>
      <c r="AC711" s="25"/>
    </row>
    <row r="712">
      <c r="A712" s="24" t="str">
        <f>'DE ( Tarik barang retur )'!AC689</f>
        <v>AWBR-3314630287-01</v>
      </c>
      <c r="B712" s="24" t="str">
        <f>'DE ( Tarik barang retur )'!F689</f>
        <v>Apotek Padma Medica Jatisari Jatiasih</v>
      </c>
      <c r="C712" s="35">
        <f>'DE ( Tarik barang retur )'!G689</f>
        <v>6.28819E+16</v>
      </c>
      <c r="D712" s="24" t="str">
        <f>'DE ( Tarik barang retur )'!H689</f>
        <v>Jl. Suryadarma No. BQ8 Taman Jatisari Permai, Desa/Kelurahan Jatisari,Kecamatan Jatiasih, Kota Bekasi,Jawa Barat,17426</v>
      </c>
      <c r="E712" s="24" t="str">
        <f>'DE ( Tarik barang retur )'!D689</f>
        <v>TMP-INV-2026/06/04/ 2816723</v>
      </c>
      <c r="F712" s="24" t="str">
        <f>'DE ( Tarik barang retur )'!R689</f>
        <v>Invoice: TMP-INV-2026/06/04/ 2816723
1x DETTOL ANTISEPTIK CAIR Tarik Barang Retur</v>
      </c>
      <c r="G712" s="36">
        <f>'DE ( Tarik barang retur )'!AF689</f>
        <v>46185</v>
      </c>
      <c r="H712" s="22">
        <v>46186.0</v>
      </c>
      <c r="I712" s="22">
        <v>46186.0</v>
      </c>
      <c r="J712" s="21" t="s">
        <v>5294</v>
      </c>
      <c r="K712" s="24"/>
      <c r="L712" s="24"/>
      <c r="M712" s="24"/>
      <c r="N712" s="24"/>
      <c r="O712" s="24"/>
      <c r="P712" s="25"/>
      <c r="Q712" s="25"/>
      <c r="R712" s="25"/>
      <c r="S712" s="25"/>
      <c r="T712" s="25"/>
      <c r="U712" s="25"/>
      <c r="V712" s="25"/>
      <c r="W712" s="25"/>
      <c r="X712" s="25"/>
      <c r="Y712" s="25"/>
      <c r="Z712" s="25"/>
      <c r="AA712" s="25"/>
      <c r="AB712" s="25"/>
      <c r="AC712" s="25"/>
    </row>
    <row r="713">
      <c r="A713" s="24" t="str">
        <f>'DE ( Tarik barang retur )'!AC690</f>
        <v>AWBR-3314618334-01</v>
      </c>
      <c r="B713" s="24" t="str">
        <f>'DE ( Tarik barang retur )'!F690</f>
        <v>Apotek Farma DR17 Jatikramat Jati Asih</v>
      </c>
      <c r="C713" s="35">
        <f>'DE ( Tarik barang retur )'!G690</f>
        <v>6.28121E+16</v>
      </c>
      <c r="D713" s="24" t="str">
        <f>'DE ( Tarik barang retur )'!H690</f>
        <v>Jl. KH. Moh Seman No.01 Kp. Cikunir RT 01/ RW 08 Kel. Jatikramat Kec. Jati Asih Kota Bekasi</v>
      </c>
      <c r="E713" s="24" t="str">
        <f>'DE ( Tarik barang retur )'!D690</f>
        <v>TMP-INV-2026/06/04/ 2815856</v>
      </c>
      <c r="F713" s="24" t="str">
        <f>'DE ( Tarik barang retur )'!R690</f>
        <v>Invoice: TMP-INV-2026/06/04/ 2815856
6x ID110297-1 Tarik Barang Retur</v>
      </c>
      <c r="G713" s="36">
        <f>'DE ( Tarik barang retur )'!AF690</f>
        <v>46185</v>
      </c>
      <c r="H713" s="22">
        <v>46186.0</v>
      </c>
      <c r="I713" s="22">
        <v>46186.0</v>
      </c>
      <c r="J713" s="21" t="s">
        <v>5294</v>
      </c>
      <c r="K713" s="24"/>
      <c r="L713" s="24"/>
      <c r="M713" s="24"/>
      <c r="N713" s="24"/>
      <c r="O713" s="24"/>
      <c r="P713" s="25"/>
      <c r="Q713" s="25"/>
      <c r="R713" s="25"/>
      <c r="S713" s="25"/>
      <c r="T713" s="25"/>
      <c r="U713" s="25"/>
      <c r="V713" s="25"/>
      <c r="W713" s="25"/>
      <c r="X713" s="25"/>
      <c r="Y713" s="25"/>
      <c r="Z713" s="25"/>
      <c r="AA713" s="25"/>
      <c r="AB713" s="25"/>
      <c r="AC713" s="25"/>
    </row>
    <row r="714">
      <c r="A714" s="24" t="str">
        <f>'DE ( Tarik barang retur )'!AC691</f>
        <v>AWBR-3317841267-01</v>
      </c>
      <c r="B714" s="24" t="str">
        <f>'DE ( Tarik barang retur )'!F691</f>
        <v>Apotek Sesama Curug</v>
      </c>
      <c r="C714" s="35">
        <f>'DE ( Tarik barang retur )'!G691</f>
        <v>82120390139</v>
      </c>
      <c r="D714" s="24" t="str">
        <f>'DE ( Tarik barang retur )'!H691</f>
        <v>Perumahan Citra Raya, Ruko Taman Puspa Blok D-A/11-R Desa/Kelurahan Cikupa Kecamatan Cikupa Kabupaten Tangerang 15710</v>
      </c>
      <c r="E714" s="24" t="str">
        <f>'DE ( Tarik barang retur )'!D691</f>
        <v>TMP-INV-2026/04/23/ 2669593, TMP-INV-2026/03/18/ 2547896, TMP-INV-2026/03/18/ 2547876, TMP-INV-2026/03/17/ 2543009, TMP-INV-2026/03/17/ 2542191</v>
      </c>
      <c r="F714" s="24" t="str">
        <f>'DE ( Tarik barang retur )'!R691</f>
        <v>Invoice: TMP-INV-2026/04/23/ 2669593
1x NUTRIMORE MELATONIN Prima Medika TABLET
----------------------------------------
Invoice: TMP-INV-2026/03/18/ 2547896
Full Return
----------------------------------------
Invoice: TMP-INV-2026/03/18/ 2547876
Full Return
----------------------------------------
Invoice: TMP-INV-2026/03/17/ 2543009
Full Return
----------------------------------------
Invoice: TMP-INV-2026/03/17/ 2542191
Full Return Tarik Barang Retur</v>
      </c>
      <c r="G714" s="36">
        <f>'DE ( Tarik barang retur )'!AF691</f>
        <v>46185</v>
      </c>
      <c r="H714" s="22">
        <v>46186.0</v>
      </c>
      <c r="I714" s="22">
        <v>46187.0</v>
      </c>
      <c r="J714" s="21" t="s">
        <v>5294</v>
      </c>
      <c r="K714" s="24"/>
      <c r="L714" s="24"/>
      <c r="M714" s="24"/>
      <c r="N714" s="24"/>
      <c r="O714" s="24"/>
      <c r="P714" s="25"/>
      <c r="Q714" s="25"/>
      <c r="R714" s="25"/>
      <c r="S714" s="25"/>
      <c r="T714" s="25"/>
      <c r="U714" s="25"/>
      <c r="V714" s="25"/>
      <c r="W714" s="25"/>
      <c r="X714" s="25"/>
      <c r="Y714" s="25"/>
      <c r="Z714" s="25"/>
      <c r="AA714" s="25"/>
      <c r="AB714" s="25"/>
      <c r="AC714" s="25"/>
    </row>
    <row r="715">
      <c r="A715" s="24" t="str">
        <f>'DE ( Tarik barang retur )'!AC692</f>
        <v>AWBR-3317806491-01</v>
      </c>
      <c r="B715" s="24" t="str">
        <f>'DE ( Tarik barang retur )'!F692</f>
        <v>Apotek K24 Serua Makmur</v>
      </c>
      <c r="C715" s="35">
        <f>'DE ( Tarik barang retur )'!G692</f>
        <v>8989874843</v>
      </c>
      <c r="D715" s="24" t="str">
        <f>'DE ( Tarik barang retur )'!H692</f>
        <v>Jl. Serua Raya Ruko CAMS Corner No. 7, Kelurahan Serua, Kecamatan Ciputat, Tangerang Selatan, Banten 15414</v>
      </c>
      <c r="E715" s="24" t="str">
        <f>'DE ( Tarik barang retur )'!D692</f>
        <v>TMP-INV-2026/05/24/ 2780112</v>
      </c>
      <c r="F715" s="24" t="str">
        <f>'DE ( Tarik barang retur )'!R692</f>
        <v>Invoice: TMP-INV-2026/05/24/ 2780112
3x PUREKIDS ITCHY CREAM Etercon Tarik Barang Retur</v>
      </c>
      <c r="G715" s="36">
        <f>'DE ( Tarik barang retur )'!AF692</f>
        <v>46185</v>
      </c>
      <c r="H715" s="22">
        <v>46185.0</v>
      </c>
      <c r="I715" s="22">
        <v>46186.0</v>
      </c>
      <c r="J715" s="21" t="s">
        <v>5294</v>
      </c>
      <c r="K715" s="24"/>
      <c r="L715" s="24"/>
      <c r="M715" s="24"/>
      <c r="N715" s="24"/>
      <c r="O715" s="24"/>
      <c r="P715" s="25"/>
      <c r="Q715" s="25"/>
      <c r="R715" s="25"/>
      <c r="S715" s="25"/>
      <c r="T715" s="25"/>
      <c r="U715" s="25"/>
      <c r="V715" s="25"/>
      <c r="W715" s="25"/>
      <c r="X715" s="25"/>
      <c r="Y715" s="25"/>
      <c r="Z715" s="25"/>
      <c r="AA715" s="25"/>
      <c r="AB715" s="25"/>
      <c r="AC715" s="25"/>
    </row>
    <row r="716">
      <c r="A716" s="24" t="str">
        <f>'DE ( Tarik barang retur )'!AC693</f>
        <v>AWBR-3317315242-01</v>
      </c>
      <c r="B716" s="24" t="str">
        <f>'DE ( Tarik barang retur )'!F693</f>
        <v>Apotek Viola Farma Pasir Nangka Tigaraksa</v>
      </c>
      <c r="C716" s="35">
        <f>'DE ( Tarik barang retur )'!G693</f>
        <v>6.28218E+17</v>
      </c>
      <c r="D716" s="24" t="str">
        <f>'DE ( Tarik barang retur )'!H693</f>
        <v>Ruko Sudirman Indah F2A No. 25 Kelurahan/Desa Pasir Nangka Kecamatan Tigaraksa Kabupaten Tangerang</v>
      </c>
      <c r="E716" s="24" t="str">
        <f>'DE ( Tarik barang retur )'!D693</f>
        <v>TMP-INV-2026/06/07/ 2826714</v>
      </c>
      <c r="F716" s="24" t="str">
        <f>'DE ( Tarik barang retur )'!R693</f>
        <v>Invoice: TMP-INV-2026/06/07/ 2826714
3x PROPEPSA Gracia SUSPENSI Tarik Barang Retur</v>
      </c>
      <c r="G716" s="36">
        <f>'DE ( Tarik barang retur )'!AF693</f>
        <v>46185</v>
      </c>
      <c r="H716" s="22">
        <v>46186.0</v>
      </c>
      <c r="I716" s="22">
        <v>46187.0</v>
      </c>
      <c r="J716" s="21" t="s">
        <v>5294</v>
      </c>
      <c r="K716" s="24"/>
      <c r="L716" s="24"/>
      <c r="M716" s="24"/>
      <c r="N716" s="24"/>
      <c r="O716" s="24"/>
      <c r="P716" s="25"/>
      <c r="Q716" s="25"/>
      <c r="R716" s="25"/>
      <c r="S716" s="25"/>
      <c r="T716" s="25"/>
      <c r="U716" s="25"/>
      <c r="V716" s="25"/>
      <c r="W716" s="25"/>
      <c r="X716" s="25"/>
      <c r="Y716" s="25"/>
      <c r="Z716" s="25"/>
      <c r="AA716" s="25"/>
      <c r="AB716" s="25"/>
      <c r="AC716" s="25"/>
    </row>
    <row r="717">
      <c r="A717" s="24" t="str">
        <f>'DE ( Tarik barang retur )'!AC694</f>
        <v>AWBR-3315337862-01</v>
      </c>
      <c r="B717" s="24" t="str">
        <f>'DE ( Tarik barang retur )'!F694</f>
        <v>Apotek Al Fatih Farma Ciakar Panongan</v>
      </c>
      <c r="C717" s="35">
        <f>'DE ( Tarik barang retur )'!G694</f>
        <v>6.28213E+17</v>
      </c>
      <c r="D717" s="24" t="str">
        <f>'DE ( Tarik barang retur )'!H694</f>
        <v>Kampung Cukanggalih, RT 01/02 Kelurahan/Desa Ciakar Kecamatan Panongan Kabupaten Tangerang</v>
      </c>
      <c r="E717" s="24" t="str">
        <f>'DE ( Tarik barang retur )'!D694</f>
        <v>TMP-INV-2026/06/04/ 2815125</v>
      </c>
      <c r="F717" s="24" t="str">
        <f>'DE ( Tarik barang retur )'!R694</f>
        <v>Invoice: TMP-INV-2026/06/04/ 2815125
1x FARSORBID 5 Pratapa Nirmala TABLET SUBLINGUAL Tarik Barang Retur</v>
      </c>
      <c r="G717" s="36">
        <f>'DE ( Tarik barang retur )'!AF694</f>
        <v>46185</v>
      </c>
      <c r="H717" s="22">
        <v>46186.0</v>
      </c>
      <c r="I717" s="22">
        <v>46187.0</v>
      </c>
      <c r="J717" s="21" t="s">
        <v>5294</v>
      </c>
      <c r="K717" s="24"/>
      <c r="L717" s="24"/>
      <c r="M717" s="24"/>
      <c r="N717" s="24"/>
      <c r="O717" s="24"/>
      <c r="P717" s="25"/>
      <c r="Q717" s="25"/>
      <c r="R717" s="25"/>
      <c r="S717" s="25"/>
      <c r="T717" s="25"/>
      <c r="U717" s="25"/>
      <c r="V717" s="25"/>
      <c r="W717" s="25"/>
      <c r="X717" s="25"/>
      <c r="Y717" s="25"/>
      <c r="Z717" s="25"/>
      <c r="AA717" s="25"/>
      <c r="AB717" s="25"/>
      <c r="AC717" s="25"/>
    </row>
    <row r="718">
      <c r="A718" s="24" t="str">
        <f>'DE ( Tarik barang retur )'!AC695</f>
        <v>AWBR-3315219797-01</v>
      </c>
      <c r="B718" s="24" t="str">
        <f>'DE ( Tarik barang retur )'!F695</f>
        <v>Apotek K24 Bumi Indah City Sukamantri Pasar Kemis</v>
      </c>
      <c r="C718" s="35">
        <f>'DE ( Tarik barang retur )'!G695</f>
        <v>6.28131E+17</v>
      </c>
      <c r="D718" s="24" t="str">
        <f>'DE ( Tarik barang retur )'!H695</f>
        <v>Ruko RMR 08 Bumi Indah City, Desa/Kel Sukamantri Kec. Pasar Kemis Kab. Tangerang</v>
      </c>
      <c r="E718" s="24" t="str">
        <f>'DE ( Tarik barang retur )'!D695</f>
        <v>TMP-INV-2026/03/28/ 2575188, TMP-INV-2026/03/29/ 2578029</v>
      </c>
      <c r="F718" s="24" t="str">
        <f>'DE ( Tarik barang retur )'!R695</f>
        <v>Invoice: TMP-INV-2026/03/28/ 2575188
1x BIOLYSIN ACTIVE RASA JERUK Bernofarm TABLET
1x SNAKE BRAND PRICKLY HEAT POWDER LAVENDER Mitra Bersama
----------------------------------------
Invoice: TMP-INV-2026/03/29/ 2578029
1x PEPTISOL Sanghiang Perkasa FRENCH VANILLA Tarik Barang Retur</v>
      </c>
      <c r="G718" s="36">
        <f>'DE ( Tarik barang retur )'!AF695</f>
        <v>46185</v>
      </c>
      <c r="H718" s="22">
        <v>46185.0</v>
      </c>
      <c r="I718" s="22">
        <v>46186.0</v>
      </c>
      <c r="J718" s="21" t="s">
        <v>5294</v>
      </c>
      <c r="K718" s="24"/>
      <c r="L718" s="24"/>
      <c r="M718" s="24"/>
      <c r="N718" s="24"/>
      <c r="O718" s="24"/>
      <c r="P718" s="25"/>
      <c r="Q718" s="25"/>
      <c r="R718" s="25"/>
      <c r="S718" s="25"/>
      <c r="T718" s="25"/>
      <c r="U718" s="25"/>
      <c r="V718" s="25"/>
      <c r="W718" s="25"/>
      <c r="X718" s="25"/>
      <c r="Y718" s="25"/>
      <c r="Z718" s="25"/>
      <c r="AA718" s="25"/>
      <c r="AB718" s="25"/>
      <c r="AC718" s="25"/>
    </row>
    <row r="719">
      <c r="A719" s="24" t="str">
        <f>'DE ( Tarik barang retur )'!AC696</f>
        <v>AWBR-3317746738-01</v>
      </c>
      <c r="B719" s="24" t="str">
        <f>'DE ( Tarik barang retur )'!F696</f>
        <v>Apotek Sinar Mawar Farma Jatimulya Cilodong</v>
      </c>
      <c r="C719" s="35">
        <f>'DE ( Tarik barang retur )'!G696</f>
        <v>6.28211E+17</v>
      </c>
      <c r="D719" s="24" t="str">
        <f>'DE ( Tarik barang retur )'!H696</f>
        <v>Jl. Raya Kampung Sawah No. 33 Kel. Jatimulya Kec. Cilodong Kota Depok</v>
      </c>
      <c r="E719" s="24" t="str">
        <f>'DE ( Tarik barang retur )'!D696</f>
        <v>TMP-INV-2026/05/16/ 2752974</v>
      </c>
      <c r="F719" s="24" t="str">
        <f>'DE ( Tarik barang retur )'!R696</f>
        <v>Invoice: TMP-INV-2026/05/16/ 2752974
5x RHINOFED Dexa Medica SIRUP Tarik Barang Retur</v>
      </c>
      <c r="G719" s="36">
        <f>'DE ( Tarik barang retur )'!AF696</f>
        <v>46185</v>
      </c>
      <c r="H719" s="22">
        <v>46185.0</v>
      </c>
      <c r="I719" s="22">
        <v>46186.0</v>
      </c>
      <c r="J719" s="21" t="s">
        <v>5294</v>
      </c>
      <c r="K719" s="24"/>
      <c r="L719" s="24"/>
      <c r="M719" s="24"/>
      <c r="N719" s="24"/>
      <c r="O719" s="24"/>
      <c r="P719" s="25"/>
      <c r="Q719" s="25"/>
      <c r="R719" s="25"/>
      <c r="S719" s="25"/>
      <c r="T719" s="25"/>
      <c r="U719" s="25"/>
      <c r="V719" s="25"/>
      <c r="W719" s="25"/>
      <c r="X719" s="25"/>
      <c r="Y719" s="25"/>
      <c r="Z719" s="25"/>
      <c r="AA719" s="25"/>
      <c r="AB719" s="25"/>
      <c r="AC719" s="25"/>
    </row>
    <row r="720">
      <c r="A720" s="24" t="str">
        <f>'DE ( Tarik barang retur )'!AC697</f>
        <v>AWBR-3314678323-01</v>
      </c>
      <c r="B720" s="24" t="str">
        <f>'DE ( Tarik barang retur )'!F697</f>
        <v>Apotek Nola Farma Lubang Buaya Cipayung</v>
      </c>
      <c r="C720" s="35">
        <f>'DE ( Tarik barang retur )'!G697</f>
        <v>6.28126E+17</v>
      </c>
      <c r="D720" s="24" t="str">
        <f>'DE ( Tarik barang retur )'!H697</f>
        <v>Jl. Monumen Pancasila Sakti RT 003 RW 006, Desa/Kelurahan LubangBuaya, Kec. Cipayung, Kota Adm. Jakarta Timur</v>
      </c>
      <c r="E720" s="24" t="str">
        <f>'DE ( Tarik barang retur )'!D697</f>
        <v>TMP-INV-2026/06/04/ 2818194</v>
      </c>
      <c r="F720" s="24" t="str">
        <f>'DE ( Tarik barang retur )'!R697</f>
        <v>Invoice: TMP-INV-2026/06/04/ 2818194
1x MINOSEP RED Minorock OBAT KUMUR Tarik Barang Retur</v>
      </c>
      <c r="G720" s="36">
        <f>'DE ( Tarik barang retur )'!AF697</f>
        <v>46185</v>
      </c>
      <c r="H720" s="22">
        <v>46186.0</v>
      </c>
      <c r="I720" s="22">
        <v>46186.0</v>
      </c>
      <c r="J720" s="21" t="s">
        <v>5294</v>
      </c>
      <c r="K720" s="24"/>
      <c r="L720" s="24"/>
      <c r="M720" s="24"/>
      <c r="N720" s="24"/>
      <c r="O720" s="24"/>
      <c r="P720" s="25"/>
      <c r="Q720" s="25"/>
      <c r="R720" s="25"/>
      <c r="S720" s="25"/>
      <c r="T720" s="25"/>
      <c r="U720" s="25"/>
      <c r="V720" s="25"/>
      <c r="W720" s="25"/>
      <c r="X720" s="25"/>
      <c r="Y720" s="25"/>
      <c r="Z720" s="25"/>
      <c r="AA720" s="25"/>
      <c r="AB720" s="25"/>
      <c r="AC720" s="25"/>
    </row>
    <row r="721">
      <c r="A721" s="24" t="str">
        <f>'DE ( Tarik barang retur )'!AC698</f>
        <v>AWBR-3317080943-01</v>
      </c>
      <c r="B721" s="24" t="str">
        <f>'DE ( Tarik barang retur )'!F698</f>
        <v>Apotek Sinar Mutiara</v>
      </c>
      <c r="C721" s="35">
        <f>'DE ( Tarik barang retur )'!G698</f>
        <v>82297469623</v>
      </c>
      <c r="D721" s="24" t="str">
        <f>'DE ( Tarik barang retur )'!H698</f>
        <v>Jalan Pemuda No. 28 Pasar Prumpung RT. 01 RW. 03 Desa Gunung Sindur Kec. Gunung Sindur Kab. Bogor 16340</v>
      </c>
      <c r="E721" s="24" t="str">
        <f>'DE ( Tarik barang retur )'!D698</f>
        <v>TMP-INV-2026/06/08/ 2831343</v>
      </c>
      <c r="F721" s="24" t="str">
        <f>'DE ( Tarik barang retur )'!R698</f>
        <v>Invoice: TMP-INV-2026/06/08/ 2831343
2x IMBOOST KIDS Soho SIRUP Tarik Barang Retur</v>
      </c>
      <c r="G721" s="36">
        <f>'DE ( Tarik barang retur )'!AF698</f>
        <v>46185</v>
      </c>
      <c r="H721" s="22">
        <v>46185.0</v>
      </c>
      <c r="I721" s="22">
        <v>46186.0</v>
      </c>
      <c r="J721" s="21" t="s">
        <v>5294</v>
      </c>
      <c r="K721" s="24"/>
      <c r="L721" s="24"/>
      <c r="M721" s="24"/>
      <c r="N721" s="24"/>
      <c r="O721" s="24"/>
      <c r="P721" s="25"/>
      <c r="Q721" s="25"/>
      <c r="R721" s="25"/>
      <c r="S721" s="25"/>
      <c r="T721" s="25"/>
      <c r="U721" s="25"/>
      <c r="V721" s="25"/>
      <c r="W721" s="25"/>
      <c r="X721" s="25"/>
      <c r="Y721" s="25"/>
      <c r="Z721" s="25"/>
      <c r="AA721" s="25"/>
      <c r="AB721" s="25"/>
      <c r="AC721" s="25"/>
    </row>
    <row r="722">
      <c r="A722" s="24" t="str">
        <f>'DE ( Tarik barang retur )'!AC699</f>
        <v>AWBR-3317768878-01</v>
      </c>
      <c r="B722" s="24" t="str">
        <f>'DE ( Tarik barang retur )'!F699</f>
        <v>Apotek Yovita Farma</v>
      </c>
      <c r="C722" s="35">
        <f>'DE ( Tarik barang retur )'!G699</f>
        <v>81221565672</v>
      </c>
      <c r="D722" s="24" t="str">
        <f>'DE ( Tarik barang retur )'!H699</f>
        <v>Jl. Inhoftank Ruko Jati Permai No.70 Kel.Pelindung Hewan Kec.Astana Anyar Bandung Jawa Barat 40243</v>
      </c>
      <c r="E722" s="24" t="str">
        <f>'DE ( Tarik barang retur )'!D699</f>
        <v>TMP-INV-2026/05/28/ 2792788</v>
      </c>
      <c r="F722" s="24" t="str">
        <f>'DE ( Tarik barang retur )'!R699</f>
        <v>Invoice: TMP-INV-2026/05/28/ 2792788
1x RENOVIT Konimex KAPLET Tarik Barang Retur</v>
      </c>
      <c r="G722" s="36">
        <f>'DE ( Tarik barang retur )'!AF699</f>
        <v>46185</v>
      </c>
      <c r="H722" s="22">
        <v>46185.0</v>
      </c>
      <c r="I722" s="22">
        <v>46187.0</v>
      </c>
      <c r="J722" s="21" t="s">
        <v>5294</v>
      </c>
      <c r="K722" s="24"/>
      <c r="L722" s="24"/>
      <c r="M722" s="24"/>
      <c r="N722" s="24"/>
      <c r="O722" s="24"/>
      <c r="P722" s="25"/>
      <c r="Q722" s="25"/>
      <c r="R722" s="25"/>
      <c r="S722" s="25"/>
      <c r="T722" s="25"/>
      <c r="U722" s="25"/>
      <c r="V722" s="25"/>
      <c r="W722" s="25"/>
      <c r="X722" s="25"/>
      <c r="Y722" s="25"/>
      <c r="Z722" s="25"/>
      <c r="AA722" s="25"/>
      <c r="AB722" s="25"/>
      <c r="AC722" s="25"/>
    </row>
    <row r="723">
      <c r="A723" s="24" t="str">
        <f>'DE ( Tarik barang retur )'!AC700</f>
        <v>AWBR-3318495890-01</v>
      </c>
      <c r="B723" s="24" t="str">
        <f>'DE ( Tarik barang retur )'!F700</f>
        <v>Apotek Wijayakusuma</v>
      </c>
      <c r="C723" s="35">
        <f>'DE ( Tarik barang retur )'!G700</f>
        <v>6.28132E+17</v>
      </c>
      <c r="D723" s="24" t="str">
        <f>'DE ( Tarik barang retur )'!H700</f>
        <v>Perum Dasana Indah Blok RD 1 No. 18 A Kelurahan/Desa Bojong Nangka,Kecamatan Kelapa Dua,Kabupaten Tangerang,Banten,15810</v>
      </c>
      <c r="E723" s="24" t="str">
        <f>'DE ( Tarik barang retur )'!D700</f>
        <v>TMP-INV-2026/06/10/ 2839063</v>
      </c>
      <c r="F723" s="24" t="str">
        <f>'DE ( Tarik barang retur )'!R700</f>
        <v>Invoice: TMP-INV-2026/06/10/ 2839063
1x TOBROSON Cendo TETES MATA Tarik Barang Retur</v>
      </c>
      <c r="G723" s="36">
        <f>'DE ( Tarik barang retur )'!AF700</f>
        <v>46185</v>
      </c>
      <c r="H723" s="22">
        <v>46186.0</v>
      </c>
      <c r="I723" s="22">
        <v>46187.0</v>
      </c>
      <c r="J723" s="21" t="s">
        <v>5294</v>
      </c>
      <c r="K723" s="24"/>
      <c r="L723" s="24"/>
      <c r="M723" s="24"/>
      <c r="N723" s="24"/>
      <c r="O723" s="24"/>
      <c r="P723" s="25"/>
      <c r="Q723" s="25"/>
      <c r="R723" s="25"/>
      <c r="S723" s="25"/>
      <c r="T723" s="25"/>
      <c r="U723" s="25"/>
      <c r="V723" s="25"/>
      <c r="W723" s="25"/>
      <c r="X723" s="25"/>
      <c r="Y723" s="25"/>
      <c r="Z723" s="25"/>
      <c r="AA723" s="25"/>
      <c r="AB723" s="25"/>
      <c r="AC723" s="25"/>
    </row>
    <row r="724">
      <c r="A724" s="24" t="str">
        <f>'DE ( Tarik barang retur )'!AC701</f>
        <v>AWBR-3318487084-01</v>
      </c>
      <c r="B724" s="24" t="str">
        <f>'DE ( Tarik barang retur )'!F701</f>
        <v>Klinik Cata Medical Kota Sutera Sindangsari Pasar Kemis</v>
      </c>
      <c r="C724" s="35">
        <f>'DE ( Tarik barang retur )'!G701</f>
        <v>6.28124E+17</v>
      </c>
      <c r="D724" s="24" t="str">
        <f>'DE ( Tarik barang retur )'!H701</f>
        <v>Jl. Raya Kota Sutera Cluster Albizia - Kota Sutera No. 12 RT. 003 RW. 008, Desa/Kel. Sindangsari, Kec. Pasar Kemis, Kab. Tangerang</v>
      </c>
      <c r="E724" s="24" t="str">
        <f>'DE ( Tarik barang retur )'!D701</f>
        <v>TMP-INV-2025/04/22/ 1519015</v>
      </c>
      <c r="F724" s="24" t="str">
        <f>'DE ( Tarik barang retur )'!R701</f>
        <v>Invoice: TMP-INV-2025/04/22/ 1519015
1x CYCLOPROGYNOVA Bayer TABLET 2/0.5 MG Tarik Barang Retur</v>
      </c>
      <c r="G724" s="36">
        <f>'DE ( Tarik barang retur )'!AF701</f>
        <v>46185</v>
      </c>
      <c r="H724" s="22">
        <v>46185.0</v>
      </c>
      <c r="I724" s="22">
        <v>46186.0</v>
      </c>
      <c r="J724" s="21" t="s">
        <v>5294</v>
      </c>
      <c r="K724" s="24"/>
      <c r="L724" s="24"/>
      <c r="M724" s="24"/>
      <c r="N724" s="24"/>
      <c r="O724" s="24"/>
      <c r="P724" s="25"/>
      <c r="Q724" s="25"/>
      <c r="R724" s="25"/>
      <c r="S724" s="25"/>
      <c r="T724" s="25"/>
      <c r="U724" s="25"/>
      <c r="V724" s="25"/>
      <c r="W724" s="25"/>
      <c r="X724" s="25"/>
      <c r="Y724" s="25"/>
      <c r="Z724" s="25"/>
      <c r="AA724" s="25"/>
      <c r="AB724" s="25"/>
      <c r="AC724" s="25"/>
    </row>
    <row r="725">
      <c r="A725" s="24" t="str">
        <f>'DE ( Tarik barang retur )'!AC702</f>
        <v>AWBR-3318461310-01</v>
      </c>
      <c r="B725" s="24" t="str">
        <f>'DE ( Tarik barang retur )'!F702</f>
        <v>Apotek Unggul Jaya</v>
      </c>
      <c r="C725" s="35">
        <f>'DE ( Tarik barang retur )'!G702</f>
        <v>6.28132E+17</v>
      </c>
      <c r="D725" s="24" t="str">
        <f>'DE ( Tarik barang retur )'!H702</f>
        <v>Kp. Kadu RT/RW 001/001 Kel. Kadu, Kec. Curug, Kab. Tangerang 15810</v>
      </c>
      <c r="E725" s="24" t="str">
        <f>'DE ( Tarik barang retur )'!D702</f>
        <v>TMP-INV-2026/05/01/ 2697171</v>
      </c>
      <c r="F725" s="24" t="str">
        <f>'DE ( Tarik barang retur )'!R702</f>
        <v>Invoice: TMP-INV-2026/05/01/ 2697171
Full Return
----------------------------------------
Invoice: TMP-INV-2026/03/12/ 2523661
1x CENDO XITROL Cendo TETES MATA Tarik Barang Retur</v>
      </c>
      <c r="G725" s="36">
        <f>'DE ( Tarik barang retur )'!AF702</f>
        <v>46185</v>
      </c>
      <c r="H725" s="22">
        <v>46186.0</v>
      </c>
      <c r="I725" s="22">
        <v>46187.0</v>
      </c>
      <c r="J725" s="21" t="s">
        <v>5294</v>
      </c>
      <c r="K725" s="24"/>
      <c r="L725" s="24"/>
      <c r="M725" s="24"/>
      <c r="N725" s="24"/>
      <c r="O725" s="24"/>
      <c r="P725" s="25"/>
      <c r="Q725" s="25"/>
      <c r="R725" s="25"/>
      <c r="S725" s="25"/>
      <c r="T725" s="25"/>
      <c r="U725" s="25"/>
      <c r="V725" s="25"/>
      <c r="W725" s="25"/>
      <c r="X725" s="25"/>
      <c r="Y725" s="25"/>
      <c r="Z725" s="25"/>
      <c r="AA725" s="25"/>
      <c r="AB725" s="25"/>
      <c r="AC725" s="25"/>
    </row>
    <row r="726">
      <c r="A726" s="24" t="str">
        <f>'DE ( Tarik barang retur )'!AC703</f>
        <v>AWBR-3318460358-01</v>
      </c>
      <c r="B726" s="24" t="str">
        <f>'DE ( Tarik barang retur )'!F703</f>
        <v>Apotek Terang Embun</v>
      </c>
      <c r="C726" s="35">
        <f>'DE ( Tarik barang retur )'!G703</f>
        <v>6.28129E+17</v>
      </c>
      <c r="D726" s="24" t="str">
        <f>'DE ( Tarik barang retur )'!H703</f>
        <v>Cluster Jesisca 3, Blk. R No.3, Peusar, Kec. Panongan, Kab. Tangerang 15710</v>
      </c>
      <c r="E726" s="24" t="str">
        <f>'DE ( Tarik barang retur )'!D703</f>
        <v>TMP-INV-2026/03/25/ 2562821</v>
      </c>
      <c r="F726" s="24" t="str">
        <f>'DE ( Tarik barang retur )'!R703</f>
        <v>Invoice: TMP-INV-2026/03/25/ 2562821
2x RHINOFED Dexa Medica SIRUP Tarik Barang Retur</v>
      </c>
      <c r="G726" s="36">
        <f>'DE ( Tarik barang retur )'!AF703</f>
        <v>46185</v>
      </c>
      <c r="H726" s="22">
        <v>46186.0</v>
      </c>
      <c r="I726" s="22">
        <v>46187.0</v>
      </c>
      <c r="J726" s="21" t="s">
        <v>5294</v>
      </c>
      <c r="K726" s="24"/>
      <c r="L726" s="24"/>
      <c r="M726" s="24"/>
      <c r="N726" s="24"/>
      <c r="O726" s="24"/>
      <c r="P726" s="25"/>
      <c r="Q726" s="25"/>
      <c r="R726" s="25"/>
      <c r="S726" s="25"/>
      <c r="T726" s="25"/>
      <c r="U726" s="25"/>
      <c r="V726" s="25"/>
      <c r="W726" s="25"/>
      <c r="X726" s="25"/>
      <c r="Y726" s="25"/>
      <c r="Z726" s="25"/>
      <c r="AA726" s="25"/>
      <c r="AB726" s="25"/>
      <c r="AC726" s="25"/>
    </row>
    <row r="727">
      <c r="A727" s="24" t="str">
        <f>'DE ( Tarik barang retur )'!AC704</f>
        <v>AWBR-3318444979-01</v>
      </c>
      <c r="B727" s="24" t="str">
        <f>'DE ( Tarik barang retur )'!F704</f>
        <v>Apotek Finna</v>
      </c>
      <c r="C727" s="35">
        <f>'DE ( Tarik barang retur )'!G704</f>
        <v>6.28137E+17</v>
      </c>
      <c r="D727" s="24" t="str">
        <f>'DE ( Tarik barang retur )'!H704</f>
        <v>JL. Jombang Raya Komplek Pondok Pucung Indah I Blok D-3/21</v>
      </c>
      <c r="E727" s="24" t="str">
        <f>'DE ( Tarik barang retur )'!D704</f>
        <v>TMP-INV-2026/03/28/ 2573511</v>
      </c>
      <c r="F727" s="24" t="str">
        <f>'DE ( Tarik barang retur )'!R704</f>
        <v>Invoice: TMP-INV-2026/03/28/ 2573511
Full Return
----------------------------------------
Invoice: TMP-INV-2026/03/26/ 2567147
1x CATAFLAM D Novartis TABLET DISPERSIBLE
----------------------------------------
Invoice: TMP-INV-2026/02/21/ 2457046
1x NEUROBION 5000 Darya-Varia CAIRAN INJEKSI
1x ORALIT 200 Phapros SERBUK Tarik Barang Retur</v>
      </c>
      <c r="G727" s="36">
        <f>'DE ( Tarik barang retur )'!AF704</f>
        <v>46185</v>
      </c>
      <c r="H727" s="22">
        <v>46186.0</v>
      </c>
      <c r="I727" s="22">
        <v>46187.0</v>
      </c>
      <c r="J727" s="21" t="s">
        <v>5294</v>
      </c>
      <c r="K727" s="24"/>
      <c r="L727" s="24"/>
      <c r="M727" s="24"/>
      <c r="N727" s="24"/>
      <c r="O727" s="24"/>
      <c r="P727" s="25"/>
      <c r="Q727" s="25"/>
      <c r="R727" s="25"/>
      <c r="S727" s="25"/>
      <c r="T727" s="25"/>
      <c r="U727" s="25"/>
      <c r="V727" s="25"/>
      <c r="W727" s="25"/>
      <c r="X727" s="25"/>
      <c r="Y727" s="25"/>
      <c r="Z727" s="25"/>
      <c r="AA727" s="25"/>
      <c r="AB727" s="25"/>
      <c r="AC727" s="25"/>
    </row>
    <row r="728">
      <c r="A728" s="24" t="str">
        <f>'DE ( Tarik barang retur )'!AC705</f>
        <v>AWBR-3318116645-01</v>
      </c>
      <c r="B728" s="24" t="str">
        <f>'DE ( Tarik barang retur )'!F705</f>
        <v>Apotek Esta Sehat</v>
      </c>
      <c r="C728" s="35">
        <f>'DE ( Tarik barang retur )'!G705</f>
        <v>8161964940</v>
      </c>
      <c r="D728" s="24" t="str">
        <f>'DE ( Tarik barang retur )'!H705</f>
        <v>Jakarta Gems Centre Lantai 2 los AKS No 095, 096, 102 Pasar Rawa Bening Kelurahan Rawa Bunga Kecamatan Jatinegara Jakarta Timur, DKI Jakarta 13350</v>
      </c>
      <c r="E728" s="24" t="str">
        <f>'DE ( Tarik barang retur )'!D705</f>
        <v>TMP-INV-2026/06/05/ 2820451</v>
      </c>
      <c r="F728" s="24" t="str">
        <f>'DE ( Tarik barang retur )'!R705</f>
        <v>Invoice: TMP-INV-2026/06/05/ 2820451
2x LUKAJEL ANTISEPTIC Meccaya GEL Tarik Barang Retur</v>
      </c>
      <c r="G728" s="36">
        <f>'DE ( Tarik barang retur )'!AF705</f>
        <v>46185</v>
      </c>
      <c r="H728" s="22">
        <v>46186.0</v>
      </c>
      <c r="I728" s="22">
        <v>46186.0</v>
      </c>
      <c r="J728" s="21" t="s">
        <v>5294</v>
      </c>
      <c r="K728" s="24"/>
      <c r="L728" s="24"/>
      <c r="M728" s="24"/>
      <c r="N728" s="24"/>
      <c r="O728" s="24"/>
      <c r="P728" s="25"/>
      <c r="Q728" s="25"/>
      <c r="R728" s="25"/>
      <c r="S728" s="25"/>
      <c r="T728" s="25"/>
      <c r="U728" s="25"/>
      <c r="V728" s="25"/>
      <c r="W728" s="25"/>
      <c r="X728" s="25"/>
      <c r="Y728" s="25"/>
      <c r="Z728" s="25"/>
      <c r="AA728" s="25"/>
      <c r="AB728" s="25"/>
      <c r="AC728" s="25"/>
    </row>
    <row r="729">
      <c r="A729" s="24" t="str">
        <f>'DE ( Tarik barang retur )'!AC706</f>
        <v>AWBR-3318494049-01</v>
      </c>
      <c r="B729" s="24" t="str">
        <f>'DE ( Tarik barang retur )'!F706</f>
        <v>Apotek Timmy Farma</v>
      </c>
      <c r="C729" s="35">
        <f>'DE ( Tarik barang retur )'!G706</f>
        <v>816806328</v>
      </c>
      <c r="D729" s="24" t="str">
        <f>'DE ( Tarik barang retur )'!H706</f>
        <v>Rukan Gading Park View Jalan Boulevard Timur Blok ZC1 No.29, RT 05 RW 11, Kelurahan Pegangsaan Dua Kecamatan Kelapa Gading, Kota Jakarta Utara 14250</v>
      </c>
      <c r="E729" s="24" t="str">
        <f>'DE ( Tarik barang retur )'!D706</f>
        <v>TMP-INV-2025/04/05/ 1474972</v>
      </c>
      <c r="F729" s="24" t="str">
        <f>'DE ( Tarik barang retur )'!R706</f>
        <v>Invoice: TMP-INV-2025/04/05/ 1474972
3x STERO-BAC HAND SANTIZIER Indonesia Bersih Cemerlang Tarik Barang Retur</v>
      </c>
      <c r="G729" s="36">
        <f>'DE ( Tarik barang retur )'!AF706</f>
        <v>46185</v>
      </c>
      <c r="H729" s="22">
        <v>46186.0</v>
      </c>
      <c r="I729" s="22">
        <v>46186.0</v>
      </c>
      <c r="J729" s="21" t="s">
        <v>5294</v>
      </c>
      <c r="K729" s="24"/>
      <c r="L729" s="24"/>
      <c r="M729" s="24"/>
      <c r="N729" s="24"/>
      <c r="O729" s="24"/>
      <c r="P729" s="25"/>
      <c r="Q729" s="25"/>
      <c r="R729" s="25"/>
      <c r="S729" s="25"/>
      <c r="T729" s="25"/>
      <c r="U729" s="25"/>
      <c r="V729" s="25"/>
      <c r="W729" s="25"/>
      <c r="X729" s="25"/>
      <c r="Y729" s="25"/>
      <c r="Z729" s="25"/>
      <c r="AA729" s="25"/>
      <c r="AB729" s="25"/>
      <c r="AC729" s="25"/>
    </row>
    <row r="730">
      <c r="A730" s="24" t="str">
        <f>'DE ( Tarik barang retur )'!AC707</f>
        <v>AWBR-3318452941-01</v>
      </c>
      <c r="B730" s="24" t="str">
        <f>'DE ( Tarik barang retur )'!F707</f>
        <v>Apotek Dunia Sehat</v>
      </c>
      <c r="C730" s="35">
        <f>'DE ( Tarik barang retur )'!G707</f>
        <v>82111234473</v>
      </c>
      <c r="D730" s="24" t="str">
        <f>'DE ( Tarik barang retur )'!H707</f>
        <v>Jalan Muara Karang Raya no 4</v>
      </c>
      <c r="E730" s="24" t="str">
        <f>'DE ( Tarik barang retur )'!D707</f>
        <v>TMP-INV-2026/03/04/ 2496113</v>
      </c>
      <c r="F730" s="24" t="str">
        <f>'DE ( Tarik barang retur )'!R707</f>
        <v>Invoice: TMP-INV-2026/03/04/ 2496113
Full Return
----------------------------------------
Invoice: TMP-INV-2026/03/04/ 2494398
Full Return
----------------------------------------
Invoice: TMP-INV-2026/03/04/ 2496520
7x BODREXIN DEMAM Tempo Scan TABLET 120 MG
----------------------------------------
Invoice: TMP-INV-2026/03/04/ 2494937
1x BURNAZIN PLUS Darya-Varia KRIM
----------------------------------------
Invoice: TMP-INV-2026/03/04/ 2496479
1x TELFAST Aventis TABLET 60 MG
1x VENTOLIN NEBULES Gsk CAIRAN INHALASI 2.5 MG Tarik Barang Retur</v>
      </c>
      <c r="G730" s="36">
        <f>'DE ( Tarik barang retur )'!AF707</f>
        <v>46185</v>
      </c>
      <c r="H730" s="22">
        <v>46186.0</v>
      </c>
      <c r="I730" s="22">
        <v>46187.0</v>
      </c>
      <c r="J730" s="21" t="s">
        <v>5294</v>
      </c>
      <c r="K730" s="24"/>
      <c r="L730" s="24"/>
      <c r="M730" s="24"/>
      <c r="N730" s="24"/>
      <c r="O730" s="24"/>
      <c r="P730" s="25"/>
      <c r="Q730" s="25"/>
      <c r="R730" s="25"/>
      <c r="S730" s="25"/>
      <c r="T730" s="25"/>
      <c r="U730" s="25"/>
      <c r="V730" s="25"/>
      <c r="W730" s="25"/>
      <c r="X730" s="25"/>
      <c r="Y730" s="25"/>
      <c r="Z730" s="25"/>
      <c r="AA730" s="25"/>
      <c r="AB730" s="25"/>
      <c r="AC730" s="25"/>
    </row>
    <row r="731">
      <c r="A731" s="24" t="str">
        <f>'DE ( Tarik barang retur )'!AC708</f>
        <v>AWBR-3318126346-01</v>
      </c>
      <c r="B731" s="24" t="str">
        <f>'DE ( Tarik barang retur )'!F708</f>
        <v>Apotek K24 Anggrek Cikarang Baru</v>
      </c>
      <c r="C731" s="35">
        <f>'DE ( Tarik barang retur )'!G708</f>
        <v>87877209076</v>
      </c>
      <c r="D731" s="24" t="str">
        <f>'DE ( Tarik barang retur )'!H708</f>
        <v>Jalan Anggrek Kaviling B1 No.23 Kelurahan Mekarmukti Kecamatan Cikarang Utara Kabupaten Bekasi 17530</v>
      </c>
      <c r="E731" s="24" t="str">
        <f>'DE ( Tarik barang retur )'!D708</f>
        <v>TMP-INV-2026/04/17/ 2647355</v>
      </c>
      <c r="F731" s="24" t="str">
        <f>'DE ( Tarik barang retur )'!R708</f>
        <v>Invoice: TMP-INV-2026/04/17/ 2647355
1x KETOSTERIL Fresenius Kabi KAPLET Tarik Barang Retur</v>
      </c>
      <c r="G731" s="36">
        <f>'DE ( Tarik barang retur )'!AF708</f>
        <v>46185</v>
      </c>
      <c r="H731" s="22">
        <v>46186.0</v>
      </c>
      <c r="I731" s="22">
        <v>46186.0</v>
      </c>
      <c r="J731" s="21" t="s">
        <v>5294</v>
      </c>
      <c r="K731" s="24"/>
      <c r="L731" s="24"/>
      <c r="M731" s="24"/>
      <c r="N731" s="24"/>
      <c r="O731" s="24"/>
      <c r="P731" s="25"/>
      <c r="Q731" s="25"/>
      <c r="R731" s="25"/>
      <c r="S731" s="25"/>
      <c r="T731" s="25"/>
      <c r="U731" s="25"/>
      <c r="V731" s="25"/>
      <c r="W731" s="25"/>
      <c r="X731" s="25"/>
      <c r="Y731" s="25"/>
      <c r="Z731" s="25"/>
      <c r="AA731" s="25"/>
      <c r="AB731" s="25"/>
      <c r="AC731" s="25"/>
    </row>
    <row r="732">
      <c r="A732" s="24" t="str">
        <f>'DE ( Tarik barang retur )'!AC709</f>
        <v>AWBR-3317850149-01</v>
      </c>
      <c r="B732" s="24" t="str">
        <f>'DE ( Tarik barang retur )'!F709</f>
        <v>Apotek K24 Villa Mutiara</v>
      </c>
      <c r="C732" s="35">
        <f>'DE ( Tarik barang retur )'!G709</f>
        <v>85277074887</v>
      </c>
      <c r="D732" s="24" t="str">
        <f>'DE ( Tarik barang retur )'!H709</f>
        <v>Ruko Cifest Blok T No.9B Desa Ciantra Kecamatan Cikarang Selatan Kabupaten Bekasi 17530</v>
      </c>
      <c r="E732" s="24" t="str">
        <f>'DE ( Tarik barang retur )'!D709</f>
        <v>TMP-INV-2026/05/30/ 2798997</v>
      </c>
      <c r="F732" s="24" t="str">
        <f>'DE ( Tarik barang retur )'!R709</f>
        <v>Invoice: TMP-INV-2026/05/30/ 2798997
1x ENERVON C Medifarma TABLET Tarik Barang Retur</v>
      </c>
      <c r="G732" s="36">
        <f>'DE ( Tarik barang retur )'!AF709</f>
        <v>46185</v>
      </c>
      <c r="H732" s="22">
        <v>46186.0</v>
      </c>
      <c r="I732" s="22">
        <v>46186.0</v>
      </c>
      <c r="J732" s="21" t="s">
        <v>5294</v>
      </c>
      <c r="K732" s="24"/>
      <c r="L732" s="24"/>
      <c r="M732" s="24"/>
      <c r="N732" s="24"/>
      <c r="O732" s="24"/>
      <c r="P732" s="25"/>
      <c r="Q732" s="25"/>
      <c r="R732" s="25"/>
      <c r="S732" s="25"/>
      <c r="T732" s="25"/>
      <c r="U732" s="25"/>
      <c r="V732" s="25"/>
      <c r="W732" s="25"/>
      <c r="X732" s="25"/>
      <c r="Y732" s="25"/>
      <c r="Z732" s="25"/>
      <c r="AA732" s="25"/>
      <c r="AB732" s="25"/>
      <c r="AC732" s="25"/>
    </row>
    <row r="733">
      <c r="A733" s="24" t="str">
        <f>'DE ( Tarik barang retur )'!AC710</f>
        <v>AWBR-3318478965-01</v>
      </c>
      <c r="B733" s="24" t="str">
        <f>'DE ( Tarik barang retur )'!F710</f>
        <v>Apotek Auliya Farma Banjar Sari Ciawi</v>
      </c>
      <c r="C733" s="35">
        <f>'DE ( Tarik barang retur )'!G710</f>
        <v>81318305911</v>
      </c>
      <c r="D733" s="24" t="str">
        <f>'DE ( Tarik barang retur )'!H710</f>
        <v>Jl. Veteran III RT. 13 RW. 03 Desa Banjar Sari Kec. Ciawi Kab. Bogor 16720</v>
      </c>
      <c r="E733" s="24" t="str">
        <f>'DE ( Tarik barang retur )'!D710</f>
        <v>TMP-INV-2026/06/10/ 2839625</v>
      </c>
      <c r="F733" s="24" t="str">
        <f>'DE ( Tarik barang retur )'!R710</f>
        <v>Invoice: TMP-INV-2026/06/10/ 2839625
10x NEO RHEUMACYL NEURO Tempo Scan KAPLET Tarik Barang Retur</v>
      </c>
      <c r="G733" s="36">
        <f>'DE ( Tarik barang retur )'!AF710</f>
        <v>46185</v>
      </c>
      <c r="H733" s="22">
        <v>46185.0</v>
      </c>
      <c r="I733" s="22">
        <v>46187.0</v>
      </c>
      <c r="J733" s="21" t="s">
        <v>5294</v>
      </c>
      <c r="K733" s="24"/>
      <c r="L733" s="24"/>
      <c r="M733" s="24"/>
      <c r="N733" s="24"/>
      <c r="O733" s="24"/>
      <c r="P733" s="25"/>
      <c r="Q733" s="25"/>
      <c r="R733" s="25"/>
      <c r="S733" s="25"/>
      <c r="T733" s="25"/>
      <c r="U733" s="25"/>
      <c r="V733" s="25"/>
      <c r="W733" s="25"/>
      <c r="X733" s="25"/>
      <c r="Y733" s="25"/>
      <c r="Z733" s="25"/>
      <c r="AA733" s="25"/>
      <c r="AB733" s="25"/>
      <c r="AC733" s="25"/>
    </row>
    <row r="734">
      <c r="A734" s="24" t="str">
        <f>'DE ( Tarik barang retur )'!AC711</f>
        <v>AWBR-3318453939-01</v>
      </c>
      <c r="B734" s="24" t="str">
        <f>'DE ( Tarik barang retur )'!F711</f>
        <v>Apotek Sinar Mutiara</v>
      </c>
      <c r="C734" s="35">
        <f>'DE ( Tarik barang retur )'!G711</f>
        <v>82297469623</v>
      </c>
      <c r="D734" s="24" t="str">
        <f>'DE ( Tarik barang retur )'!H711</f>
        <v>Jalan Pemuda No. 28 Pasar Prumpung RT. 01 RW. 03 Desa Gunung Sindur Kec. Gunung Sindur Kab. Bogor 16340</v>
      </c>
      <c r="E734" s="24" t="str">
        <f>'DE ( Tarik barang retur )'!D711</f>
        <v>TMP-INV-2026/04/08/ 2614312</v>
      </c>
      <c r="F734" s="24" t="str">
        <f>'DE ( Tarik barang retur )'!R711</f>
        <v>Invoice: TMP-INV-2026/04/08/ 2614312
6x RHEMAFAR 16 Ifars KAPLET 16 MG Tarik Barang Retur</v>
      </c>
      <c r="G734" s="36">
        <f>'DE ( Tarik barang retur )'!AF711</f>
        <v>46185</v>
      </c>
      <c r="H734" s="22">
        <v>46185.0</v>
      </c>
      <c r="I734" s="22">
        <v>46186.0</v>
      </c>
      <c r="J734" s="21" t="s">
        <v>5294</v>
      </c>
      <c r="K734" s="24"/>
      <c r="L734" s="24"/>
      <c r="M734" s="24"/>
      <c r="N734" s="24"/>
      <c r="O734" s="24"/>
      <c r="P734" s="25"/>
      <c r="Q734" s="25"/>
      <c r="R734" s="25"/>
      <c r="S734" s="25"/>
      <c r="T734" s="25"/>
      <c r="U734" s="25"/>
      <c r="V734" s="25"/>
      <c r="W734" s="25"/>
      <c r="X734" s="25"/>
      <c r="Y734" s="25"/>
      <c r="Z734" s="25"/>
      <c r="AA734" s="25"/>
      <c r="AB734" s="25"/>
      <c r="AC734" s="25"/>
    </row>
    <row r="735">
      <c r="A735" s="24" t="str">
        <f>'DE ( Tarik barang retur )'!AC712</f>
        <v>AWBR-3318456741-01</v>
      </c>
      <c r="B735" s="24" t="str">
        <f>'DE ( Tarik barang retur )'!F712</f>
        <v>Apotek Aulia Farma 6749</v>
      </c>
      <c r="C735" s="35">
        <f>'DE ( Tarik barang retur )'!G712</f>
        <v>85222036236</v>
      </c>
      <c r="D735" s="24" t="str">
        <f>'DE ( Tarik barang retur )'!H712</f>
        <v>Jl. Pamegarsari No. 10 Kel. Tanjungsari Kec. Tanjungsari Kab. Sumedang 45362</v>
      </c>
      <c r="E735" s="24" t="str">
        <f>'DE ( Tarik barang retur )'!D712</f>
        <v>TMP-INV-2026/04/25/ 2678042</v>
      </c>
      <c r="F735" s="24" t="str">
        <f>'DE ( Tarik barang retur )'!R712</f>
        <v>Invoice: TMP-INV-2026/04/25/ 2678042
1x STREPSILS WITH HONEY and LEMON Reckitt Benckiser TABLET HISAP Tarik Barang Retur</v>
      </c>
      <c r="G735" s="36">
        <f>'DE ( Tarik barang retur )'!AF712</f>
        <v>46185</v>
      </c>
      <c r="H735" s="24"/>
      <c r="I735" s="24"/>
      <c r="J735" s="21" t="s">
        <v>5307</v>
      </c>
      <c r="K735" s="24"/>
      <c r="L735" s="24"/>
      <c r="M735" s="24"/>
      <c r="N735" s="24"/>
      <c r="O735" s="24"/>
      <c r="P735" s="25"/>
      <c r="Q735" s="25"/>
      <c r="R735" s="25"/>
      <c r="S735" s="25"/>
      <c r="T735" s="25"/>
      <c r="U735" s="25"/>
      <c r="V735" s="25"/>
      <c r="W735" s="25"/>
      <c r="X735" s="25"/>
      <c r="Y735" s="25"/>
      <c r="Z735" s="25"/>
      <c r="AA735" s="25"/>
      <c r="AB735" s="25"/>
      <c r="AC735" s="25"/>
    </row>
    <row r="736">
      <c r="A736" s="24" t="str">
        <f>'DE ( Tarik barang retur )'!AC713</f>
        <v>AWBR-3318530381-01</v>
      </c>
      <c r="B736" s="24" t="str">
        <f>'DE ( Tarik barang retur )'!F713</f>
        <v>Apotek Fadhil Farma</v>
      </c>
      <c r="C736" s="35">
        <f>'DE ( Tarik barang retur )'!G713</f>
        <v>82210423531</v>
      </c>
      <c r="D736" s="24" t="str">
        <f>'DE ( Tarik barang retur )'!H713</f>
        <v>Jalan Raya Bosih Kampung Selang Cau RT.002 RW.013 Kelurahan Wanasari, Kecamatan Cibitung, Kota Bekasi 17520</v>
      </c>
      <c r="E736" s="24" t="str">
        <f>'DE ( Tarik barang retur )'!D713</f>
        <v>TMP-INV-2026/04/12/ 2628597</v>
      </c>
      <c r="F736" s="24" t="str">
        <f>'DE ( Tarik barang retur )'!R713</f>
        <v>Invoice: TMP-INV-2026/04/12/ 2628597
2x PUREKIDS AROMA GERANIUM Novell CAIRAN Tarik Barang Retur</v>
      </c>
      <c r="G736" s="36">
        <f>'DE ( Tarik barang retur )'!AF713</f>
        <v>46185</v>
      </c>
      <c r="H736" s="22">
        <v>46186.0</v>
      </c>
      <c r="I736" s="22">
        <v>46186.0</v>
      </c>
      <c r="J736" s="21" t="s">
        <v>5294</v>
      </c>
      <c r="K736" s="24"/>
      <c r="L736" s="24"/>
      <c r="M736" s="24"/>
      <c r="N736" s="24"/>
      <c r="O736" s="24"/>
      <c r="P736" s="25"/>
      <c r="Q736" s="25"/>
      <c r="R736" s="25"/>
      <c r="S736" s="25"/>
      <c r="T736" s="25"/>
      <c r="U736" s="25"/>
      <c r="V736" s="25"/>
      <c r="W736" s="25"/>
      <c r="X736" s="25"/>
      <c r="Y736" s="25"/>
      <c r="Z736" s="25"/>
      <c r="AA736" s="25"/>
      <c r="AB736" s="25"/>
      <c r="AC736" s="25"/>
    </row>
    <row r="737">
      <c r="A737" s="24" t="str">
        <f>'DE ( Tarik barang retur )'!AC714</f>
        <v>AWBR-3318459044-01</v>
      </c>
      <c r="B737" s="24" t="str">
        <f>'DE ( Tarik barang retur )'!F714</f>
        <v>Apotek K24 Tytyan</v>
      </c>
      <c r="C737" s="35">
        <f>'DE ( Tarik barang retur )'!G714</f>
        <v>81296298310</v>
      </c>
      <c r="D737" s="24" t="str">
        <f>'DE ( Tarik barang retur )'!H714</f>
        <v>Perumahan Tytyan Indah Blok A2 No.6 Kelurahan Kalibaru, Kecamatan Medan Satria, Kota Bekasi 17133</v>
      </c>
      <c r="E737" s="24" t="str">
        <f>'DE ( Tarik barang retur )'!D714</f>
        <v>TMP-INV-2026/04/23/ 2668306</v>
      </c>
      <c r="F737" s="24" t="str">
        <f>'DE ( Tarik barang retur )'!R714</f>
        <v>Invoice: TMP-INV-2026/04/23/ 2668306
1x STREPSILS WITH HONEY and LEMON Reckitt Benckiser TABLET HISAP Tarik Barang Retur</v>
      </c>
      <c r="G737" s="36">
        <f>'DE ( Tarik barang retur )'!AF714</f>
        <v>46185</v>
      </c>
      <c r="H737" s="22">
        <v>46186.0</v>
      </c>
      <c r="I737" s="22">
        <v>46186.0</v>
      </c>
      <c r="J737" s="21" t="s">
        <v>5294</v>
      </c>
      <c r="K737" s="24"/>
      <c r="L737" s="24"/>
      <c r="M737" s="24"/>
      <c r="N737" s="24"/>
      <c r="O737" s="24"/>
      <c r="P737" s="25"/>
      <c r="Q737" s="25"/>
      <c r="R737" s="25"/>
      <c r="S737" s="25"/>
      <c r="T737" s="25"/>
      <c r="U737" s="25"/>
      <c r="V737" s="25"/>
      <c r="W737" s="25"/>
      <c r="X737" s="25"/>
      <c r="Y737" s="25"/>
      <c r="Z737" s="25"/>
      <c r="AA737" s="25"/>
      <c r="AB737" s="25"/>
      <c r="AC737" s="25"/>
    </row>
    <row r="738">
      <c r="A738" s="24" t="str">
        <f>'DE ( Tarik barang retur )'!AC715</f>
        <v>AWBR-3318458543-01</v>
      </c>
      <c r="B738" s="24" t="str">
        <f>'DE ( Tarik barang retur )'!F715</f>
        <v>Apotek Kessy</v>
      </c>
      <c r="C738" s="35">
        <f>'DE ( Tarik barang retur )'!G715</f>
        <v>81316511464</v>
      </c>
      <c r="D738" s="24" t="str">
        <f>'DE ( Tarik barang retur )'!H715</f>
        <v>Jalan Margahayu Raya Blok C No.85 RT.004 RW.015 Kelurahan Margahayu, Kecamatan Bekasi Timur, Kota Bekasi 17113</v>
      </c>
      <c r="E738" s="24" t="str">
        <f>'DE ( Tarik barang retur )'!D715</f>
        <v>TMP-INV-2026/05/07/ 2718749</v>
      </c>
      <c r="F738" s="24" t="str">
        <f>'DE ( Tarik barang retur )'!R715</f>
        <v>Invoice: TMP-INV-2026/05/07/ 2718749
2x HANSAPLAST SALEP LUKA Beiersdorf Tarik Barang Retur</v>
      </c>
      <c r="G738" s="36">
        <f>'DE ( Tarik barang retur )'!AF715</f>
        <v>46185</v>
      </c>
      <c r="H738" s="22">
        <v>46186.0</v>
      </c>
      <c r="I738" s="22">
        <v>46186.0</v>
      </c>
      <c r="J738" s="21" t="s">
        <v>5294</v>
      </c>
      <c r="K738" s="24"/>
      <c r="L738" s="24"/>
      <c r="M738" s="24"/>
      <c r="N738" s="24"/>
      <c r="O738" s="24"/>
      <c r="P738" s="25"/>
      <c r="Q738" s="25"/>
      <c r="R738" s="25"/>
      <c r="S738" s="25"/>
      <c r="T738" s="25"/>
      <c r="U738" s="25"/>
      <c r="V738" s="25"/>
      <c r="W738" s="25"/>
      <c r="X738" s="25"/>
      <c r="Y738" s="25"/>
      <c r="Z738" s="25"/>
      <c r="AA738" s="25"/>
      <c r="AB738" s="25"/>
      <c r="AC738" s="25"/>
    </row>
    <row r="739">
      <c r="A739" s="24" t="str">
        <f>'DE ( Tarik barang retur )'!AC716</f>
        <v>AWBR-3318457663-01</v>
      </c>
      <c r="B739" s="24" t="str">
        <f>'DE ( Tarik barang retur )'!F716</f>
        <v>Apotek Khalfani</v>
      </c>
      <c r="C739" s="35">
        <f>'DE ( Tarik barang retur )'!G716</f>
        <v>8971410378</v>
      </c>
      <c r="D739" s="24" t="str">
        <f>'DE ( Tarik barang retur )'!H716</f>
        <v>Jl. Wijaya Kusuma Ruko Kranggan Permai Jatisampurna No. BS.09.04/05 Kel. Jatisampurna Kec. Jatisampurna Kota Bekasi Jawa Barat 17433</v>
      </c>
      <c r="E739" s="24" t="str">
        <f>'DE ( Tarik barang retur )'!D716</f>
        <v>TMP-INV-2026/05/22/ 2774528</v>
      </c>
      <c r="F739" s="24" t="str">
        <f>'DE ( Tarik barang retur )'!R716</f>
        <v>Invoice: TMP-INV-2026/05/22/ 2774528
2x IFREE PAD TERAPI HANGAT NYERI HAID Eagle Indo
3x HANSAPLAST AQUA PROTECT Beiersdorf
1x BYEBYE FEVER DEWASA Hisamitsu PLESTER KOMPRES DEMAM Tarik Barang Retur</v>
      </c>
      <c r="G739" s="36">
        <f>'DE ( Tarik barang retur )'!AF716</f>
        <v>46185</v>
      </c>
      <c r="H739" s="22">
        <v>46186.0</v>
      </c>
      <c r="I739" s="22">
        <v>46186.0</v>
      </c>
      <c r="J739" s="21" t="s">
        <v>5294</v>
      </c>
      <c r="K739" s="24"/>
      <c r="L739" s="24"/>
      <c r="M739" s="24"/>
      <c r="N739" s="24"/>
      <c r="O739" s="24"/>
      <c r="P739" s="25"/>
      <c r="Q739" s="25"/>
      <c r="R739" s="25"/>
      <c r="S739" s="25"/>
      <c r="T739" s="25"/>
      <c r="U739" s="25"/>
      <c r="V739" s="25"/>
      <c r="W739" s="25"/>
      <c r="X739" s="25"/>
      <c r="Y739" s="25"/>
      <c r="Z739" s="25"/>
      <c r="AA739" s="25"/>
      <c r="AB739" s="25"/>
      <c r="AC739" s="25"/>
    </row>
    <row r="740">
      <c r="A740" s="24" t="str">
        <f>'DE ( Tarik barang retur )'!AC717</f>
        <v>AWBR-3318433032-01</v>
      </c>
      <c r="B740" s="24" t="str">
        <f>'DE ( Tarik barang retur )'!F717</f>
        <v>Apotek K24 Cilendek Cilendek Barat Bogor Barat</v>
      </c>
      <c r="C740" s="35">
        <f>'DE ( Tarik barang retur )'!G717</f>
        <v>6.28119E+17</v>
      </c>
      <c r="D740" s="24" t="str">
        <f>'DE ( Tarik barang retur )'!H717</f>
        <v>Jl. Brigjen Saptaji Hadiprawira No. 20 RT. 002 RW. 007. Kel.Cilendek Barat, Kec. Bogor Barat, Kota Bogor</v>
      </c>
      <c r="E740" s="24" t="str">
        <f>'DE ( Tarik barang retur )'!D717</f>
        <v>TMP-INV-2026/06/10/ 2839169</v>
      </c>
      <c r="F740" s="24" t="str">
        <f>'DE ( Tarik barang retur )'!R717</f>
        <v>Invoice: TMP-INV-2026/06/10/ 2839169
1x SYMBICORT TURBUHALER AstraZeneca SERBUK INHALASI 160 MCG /4.5 MCG Tarik Barang Retur</v>
      </c>
      <c r="G740" s="36">
        <f>'DE ( Tarik barang retur )'!AF717</f>
        <v>46185</v>
      </c>
      <c r="H740" s="22">
        <v>46186.0</v>
      </c>
      <c r="I740" s="22">
        <v>46188.0</v>
      </c>
      <c r="J740" s="21" t="s">
        <v>5294</v>
      </c>
      <c r="K740" s="24"/>
      <c r="L740" s="24"/>
      <c r="M740" s="24"/>
      <c r="N740" s="24"/>
      <c r="O740" s="24"/>
      <c r="P740" s="25"/>
      <c r="Q740" s="25"/>
      <c r="R740" s="25"/>
      <c r="S740" s="25"/>
      <c r="T740" s="25"/>
      <c r="U740" s="25"/>
      <c r="V740" s="25"/>
      <c r="W740" s="25"/>
      <c r="X740" s="25"/>
      <c r="Y740" s="25"/>
      <c r="Z740" s="25"/>
      <c r="AA740" s="25"/>
      <c r="AB740" s="25"/>
      <c r="AC740" s="25"/>
    </row>
    <row r="741">
      <c r="A741" s="24" t="str">
        <f>'DE ( Tarik barang retur )'!AC718</f>
        <v>AWBR-3318534730-01</v>
      </c>
      <c r="B741" s="24" t="str">
        <f>'DE ( Tarik barang retur )'!F718</f>
        <v>Apotek Kejayaan Abadijaya Sukmajaya</v>
      </c>
      <c r="C741" s="35">
        <f>'DE ( Tarik barang retur )'!G718</f>
        <v>6.28128E+17</v>
      </c>
      <c r="D741" s="24" t="str">
        <f>'DE ( Tarik barang retur )'!H718</f>
        <v>Jl. Kejayaan No. 1 RT. 001 RW. 008,Desa/Kelurahan Abadijaya,Kecamatan Sukmajaya,Kota Depok,Jawa Barat,16417</v>
      </c>
      <c r="E741" s="24" t="str">
        <f>'DE ( Tarik barang retur )'!D718</f>
        <v>TMP-INV-2025/06/14/ 1658113</v>
      </c>
      <c r="F741" s="24" t="str">
        <f>'DE ( Tarik barang retur )'!R718</f>
        <v>Invoice: TMP-INV-2025/06/14/ 1658113
2x LIKURMIN Dankos SIRUP Tarik Barang Retur</v>
      </c>
      <c r="G741" s="36">
        <f>'DE ( Tarik barang retur )'!AF718</f>
        <v>46185</v>
      </c>
      <c r="H741" s="22">
        <v>46185.0</v>
      </c>
      <c r="I741" s="22">
        <v>46187.0</v>
      </c>
      <c r="J741" s="21" t="s">
        <v>5294</v>
      </c>
      <c r="K741" s="24"/>
      <c r="L741" s="24"/>
      <c r="M741" s="24"/>
      <c r="N741" s="24"/>
      <c r="O741" s="24"/>
      <c r="P741" s="25"/>
      <c r="Q741" s="25"/>
      <c r="R741" s="25"/>
      <c r="S741" s="25"/>
      <c r="T741" s="25"/>
      <c r="U741" s="25"/>
      <c r="V741" s="25"/>
      <c r="W741" s="25"/>
      <c r="X741" s="25"/>
      <c r="Y741" s="25"/>
      <c r="Z741" s="25"/>
      <c r="AA741" s="25"/>
      <c r="AB741" s="25"/>
      <c r="AC741" s="25"/>
    </row>
    <row r="742">
      <c r="A742" s="24" t="str">
        <f>'DE ( Tarik barang retur )'!AC719</f>
        <v>AWBR-3318533864-01</v>
      </c>
      <c r="B742" s="24" t="str">
        <f>'DE ( Tarik barang retur )'!F719</f>
        <v>Apotek Kejayaan Abadijaya Sukmajaya</v>
      </c>
      <c r="C742" s="35">
        <f>'DE ( Tarik barang retur )'!G719</f>
        <v>6.28128E+17</v>
      </c>
      <c r="D742" s="24" t="str">
        <f>'DE ( Tarik barang retur )'!H719</f>
        <v>Jl. Kejayaan No. 1 RT. 001 RW. 008,Desa/Kelurahan Abadijaya,Kecamatan Sukmajaya,Kota Depok,Jawa Barat,16417</v>
      </c>
      <c r="E742" s="24" t="str">
        <f>'DE ( Tarik barang retur )'!D719</f>
        <v>TMP-INV-2025/06/02/ 1625956</v>
      </c>
      <c r="F742" s="24" t="str">
        <f>'DE ( Tarik barang retur )'!R719</f>
        <v>Invoice: TMP-INV-2025/06/02/ 1625956
2x BIOCREAM Merck KRIM Tarik Barang Retur</v>
      </c>
      <c r="G742" s="36">
        <f>'DE ( Tarik barang retur )'!AF719</f>
        <v>46185</v>
      </c>
      <c r="H742" s="22">
        <v>46185.0</v>
      </c>
      <c r="I742" s="22">
        <v>46187.0</v>
      </c>
      <c r="J742" s="21" t="s">
        <v>5294</v>
      </c>
      <c r="K742" s="24"/>
      <c r="L742" s="24"/>
      <c r="M742" s="24"/>
      <c r="N742" s="24"/>
      <c r="O742" s="24"/>
      <c r="P742" s="25"/>
      <c r="Q742" s="25"/>
      <c r="R742" s="25"/>
      <c r="S742" s="25"/>
      <c r="T742" s="25"/>
      <c r="U742" s="25"/>
      <c r="V742" s="25"/>
      <c r="W742" s="25"/>
      <c r="X742" s="25"/>
      <c r="Y742" s="25"/>
      <c r="Z742" s="25"/>
      <c r="AA742" s="25"/>
      <c r="AB742" s="25"/>
      <c r="AC742" s="25"/>
    </row>
    <row r="743">
      <c r="A743" s="24" t="str">
        <f>'DE ( Tarik barang retur )'!AC720</f>
        <v>AWBR-3318487606-01</v>
      </c>
      <c r="B743" s="24" t="str">
        <f>'DE ( Tarik barang retur )'!F720</f>
        <v>Apotek Prosehat Farma Tanah Baru Beji</v>
      </c>
      <c r="C743" s="35">
        <f>'DE ( Tarik barang retur )'!G720</f>
        <v>6.28588E+17</v>
      </c>
      <c r="D743" s="24" t="str">
        <f>'DE ( Tarik barang retur )'!H720</f>
        <v>Jalan Raden Sanim, Ruko Komplek Teras Legian No. 2 RT. 002 RW. 002 Kelurahan Tanah Baru, Kecamatan Beji, Kota Depok, Jawa Barat 16426</v>
      </c>
      <c r="E743" s="24" t="str">
        <f>'DE ( Tarik barang retur )'!D720</f>
        <v>TMP-INV-2026/06/06/ 2825811</v>
      </c>
      <c r="F743" s="24" t="str">
        <f>'DE ( Tarik barang retur )'!R720</f>
        <v>Invoice: TMP-INV-2026/06/06/ 2825811
1x SANGOBION Merck KAPSUL Tarik Barang Retur</v>
      </c>
      <c r="G743" s="36">
        <f>'DE ( Tarik barang retur )'!AF720</f>
        <v>46185</v>
      </c>
      <c r="H743" s="22">
        <v>46185.0</v>
      </c>
      <c r="I743" s="22">
        <v>46186.0</v>
      </c>
      <c r="J743" s="21" t="s">
        <v>5294</v>
      </c>
      <c r="K743" s="24"/>
      <c r="L743" s="24"/>
      <c r="M743" s="24"/>
      <c r="N743" s="24"/>
      <c r="O743" s="24"/>
      <c r="P743" s="25"/>
      <c r="Q743" s="25"/>
      <c r="R743" s="25"/>
      <c r="S743" s="25"/>
      <c r="T743" s="25"/>
      <c r="U743" s="25"/>
      <c r="V743" s="25"/>
      <c r="W743" s="25"/>
      <c r="X743" s="25"/>
      <c r="Y743" s="25"/>
      <c r="Z743" s="25"/>
      <c r="AA743" s="25"/>
      <c r="AB743" s="25"/>
      <c r="AC743" s="25"/>
    </row>
    <row r="744">
      <c r="A744" s="24" t="str">
        <f>'DE ( Tarik barang retur )'!AC721</f>
        <v>AWBR-3318432076-01</v>
      </c>
      <c r="B744" s="24" t="str">
        <f>'DE ( Tarik barang retur )'!F721</f>
        <v>Apotek Caringin Rangkapan Jaya Pancoran Mas</v>
      </c>
      <c r="C744" s="35">
        <f>'DE ( Tarik barang retur )'!G721</f>
        <v>6.28138E+17</v>
      </c>
      <c r="D744" s="24" t="str">
        <f>'DE ( Tarik barang retur )'!H721</f>
        <v>Jalan Caringin RT. 007 RW. 004 , Desa/Kelurahan Rangkapan Jaya,Kecamatan Pancoran Mas, Kota Depok,Jawa Barat,16435</v>
      </c>
      <c r="E744" s="24" t="str">
        <f>'DE ( Tarik barang retur )'!D721</f>
        <v>TMP-INV-2026/06/10/ 2840136</v>
      </c>
      <c r="F744" s="24" t="str">
        <f>'DE ( Tarik barang retur )'!R721</f>
        <v>Invoice: TMP-INV-2026/06/10/ 2840136
1x BABYDEX-A DIAPER RASH CREAM WITH NATURAL VITAMIN FOR BABY SKIN HEALTH Meiji Tarik Barang Retur</v>
      </c>
      <c r="G744" s="36">
        <f>'DE ( Tarik barang retur )'!AF721</f>
        <v>46185</v>
      </c>
      <c r="H744" s="22">
        <v>46185.0</v>
      </c>
      <c r="I744" s="22">
        <v>46186.0</v>
      </c>
      <c r="J744" s="21" t="s">
        <v>5294</v>
      </c>
      <c r="K744" s="24"/>
      <c r="L744" s="24"/>
      <c r="M744" s="24"/>
      <c r="N744" s="24"/>
      <c r="O744" s="24"/>
      <c r="P744" s="25"/>
      <c r="Q744" s="25"/>
      <c r="R744" s="25"/>
      <c r="S744" s="25"/>
      <c r="T744" s="25"/>
      <c r="U744" s="25"/>
      <c r="V744" s="25"/>
      <c r="W744" s="25"/>
      <c r="X744" s="25"/>
      <c r="Y744" s="25"/>
      <c r="Z744" s="25"/>
      <c r="AA744" s="25"/>
      <c r="AB744" s="25"/>
      <c r="AC744" s="25"/>
    </row>
    <row r="745">
      <c r="A745" s="24" t="str">
        <f>'DE ( Tarik barang retur )'!AC722</f>
        <v>AWBR-3318429299-01</v>
      </c>
      <c r="B745" s="24" t="str">
        <f>'DE ( Tarik barang retur )'!F722</f>
        <v>Apotek Pharmasena Cinere Cinere</v>
      </c>
      <c r="C745" s="35">
        <f>'DE ( Tarik barang retur )'!G722</f>
        <v>6.28226E+17</v>
      </c>
      <c r="D745" s="24" t="str">
        <f>'DE ( Tarik barang retur )'!H722</f>
        <v>Jl. Bukit Cinere No.5E RT/RW.001/008, Desa/Kel. Cinere, Kec. Cinere, Kota Depok</v>
      </c>
      <c r="E745" s="24" t="str">
        <f>'DE ( Tarik barang retur )'!D722</f>
        <v>TMP-INV-2026/06/10/ 2840236</v>
      </c>
      <c r="F745" s="24" t="str">
        <f>'DE ( Tarik barang retur )'!R722</f>
        <v>Invoice: TMP-INV-2026/06/10/ 2840236
1x ASTHIN FORCE 12 Soho KAPSUL Tarik Barang Retur</v>
      </c>
      <c r="G745" s="36">
        <f>'DE ( Tarik barang retur )'!AF722</f>
        <v>46185</v>
      </c>
      <c r="H745" s="22">
        <v>46185.0</v>
      </c>
      <c r="I745" s="22">
        <v>46186.0</v>
      </c>
      <c r="J745" s="21" t="s">
        <v>5294</v>
      </c>
      <c r="K745" s="24"/>
      <c r="L745" s="24"/>
      <c r="M745" s="24"/>
      <c r="N745" s="24"/>
      <c r="O745" s="24"/>
      <c r="P745" s="25"/>
      <c r="Q745" s="25"/>
      <c r="R745" s="25"/>
      <c r="S745" s="25"/>
      <c r="T745" s="25"/>
      <c r="U745" s="25"/>
      <c r="V745" s="25"/>
      <c r="W745" s="25"/>
      <c r="X745" s="25"/>
      <c r="Y745" s="25"/>
      <c r="Z745" s="25"/>
      <c r="AA745" s="25"/>
      <c r="AB745" s="25"/>
      <c r="AC745" s="25"/>
    </row>
    <row r="746">
      <c r="A746" s="24" t="str">
        <f>'DE ( Tarik barang retur )'!AC723</f>
        <v>AWBR-3318540681-01</v>
      </c>
      <c r="B746" s="24" t="str">
        <f>'DE ( Tarik barang retur )'!F723</f>
        <v>Apotek K24 Merpati</v>
      </c>
      <c r="C746" s="35">
        <f>'DE ( Tarik barang retur )'!G723</f>
        <v>2174633026</v>
      </c>
      <c r="D746" s="24" t="str">
        <f>'DE ( Tarik barang retur )'!H723</f>
        <v>Ruko Merpati Resindence Kav. No.1 Jalan Merpati Raya Kelurahan Sawah Baru, Kecamatan Ciputat, Kota Tangerang Selatan 15413</v>
      </c>
      <c r="E746" s="24" t="str">
        <f>'DE ( Tarik barang retur )'!D723</f>
        <v>TMP-INV-2026/06/02/ 2807241</v>
      </c>
      <c r="F746" s="24" t="str">
        <f>'DE ( Tarik barang retur )'!R723</f>
        <v>Invoice: TMP-INV-2026/06/02/ 2807241
1x ACTIFED GSK SIRUP
----------------------------------------
Invoice: TMP-INV-2026/05/23/ 2777102
1x FARSIFEN PLUS Ifars KAPLET Tarik Barang Retur</v>
      </c>
      <c r="G746" s="36">
        <f>'DE ( Tarik barang retur )'!AF723</f>
        <v>46185</v>
      </c>
      <c r="H746" s="22">
        <v>46185.0</v>
      </c>
      <c r="I746" s="22">
        <v>46186.0</v>
      </c>
      <c r="J746" s="21" t="s">
        <v>5294</v>
      </c>
      <c r="K746" s="24"/>
      <c r="L746" s="24"/>
      <c r="M746" s="24"/>
      <c r="N746" s="24"/>
      <c r="O746" s="24"/>
      <c r="P746" s="25"/>
      <c r="Q746" s="25"/>
      <c r="R746" s="25"/>
      <c r="S746" s="25"/>
      <c r="T746" s="25"/>
      <c r="U746" s="25"/>
      <c r="V746" s="25"/>
      <c r="W746" s="25"/>
      <c r="X746" s="25"/>
      <c r="Y746" s="25"/>
      <c r="Z746" s="25"/>
      <c r="AA746" s="25"/>
      <c r="AB746" s="25"/>
      <c r="AC746" s="25"/>
    </row>
    <row r="747">
      <c r="A747" s="24" t="str">
        <f>'DE ( Tarik barang retur )'!AC724</f>
        <v>AWBR-3317765591-01</v>
      </c>
      <c r="B747" s="24" t="str">
        <f>'DE ( Tarik barang retur )'!F724</f>
        <v>Apotek Azizah Ulujami Pesanggrahan</v>
      </c>
      <c r="C747" s="35">
        <f>'DE ( Tarik barang retur )'!G724</f>
        <v>6.2857E+16</v>
      </c>
      <c r="D747" s="24" t="str">
        <f>'DE ( Tarik barang retur )'!H724</f>
        <v>Jl. Ulujami Raya Gg. Langgar No.26 RT 012 RW 004, Kel. Ulujami, Kec. Pesanggrahan, Kota Jakarta Selatan</v>
      </c>
      <c r="E747" s="24" t="str">
        <f>'DE ( Tarik barang retur )'!D724</f>
        <v>TMP-INV-2026/06/09/ 2835537</v>
      </c>
      <c r="F747" s="24" t="str">
        <f>'DE ( Tarik barang retur )'!R724</f>
        <v>Invoice: TMP-INV-2026/06/09/ 2835537
3x ANDALAN Harsen TABLET 0.15/0.03 MG
----------------------------------------
Invoice: TMP-INV-2026/06/09/ 2835073
Full Return Tarik Barang Retur</v>
      </c>
      <c r="G747" s="36">
        <f>'DE ( Tarik barang retur )'!AF724</f>
        <v>46185</v>
      </c>
      <c r="H747" s="22">
        <v>46185.0</v>
      </c>
      <c r="I747" s="22">
        <v>46186.0</v>
      </c>
      <c r="J747" s="21" t="s">
        <v>5294</v>
      </c>
      <c r="K747" s="24"/>
      <c r="L747" s="24"/>
      <c r="M747" s="24"/>
      <c r="N747" s="24"/>
      <c r="O747" s="24"/>
      <c r="P747" s="25"/>
      <c r="Q747" s="25"/>
      <c r="R747" s="25"/>
      <c r="S747" s="25"/>
      <c r="T747" s="25"/>
      <c r="U747" s="25"/>
      <c r="V747" s="25"/>
      <c r="W747" s="25"/>
      <c r="X747" s="25"/>
      <c r="Y747" s="25"/>
      <c r="Z747" s="25"/>
      <c r="AA747" s="25"/>
      <c r="AB747" s="25"/>
      <c r="AC747" s="25"/>
    </row>
    <row r="748">
      <c r="A748" s="24" t="str">
        <f>'DE ( Tarik barang retur )'!AC725</f>
        <v>AWBR-3316481889-01</v>
      </c>
      <c r="B748" s="24" t="str">
        <f>'DE ( Tarik barang retur )'!F725</f>
        <v>Apotek Super Saver</v>
      </c>
      <c r="C748" s="35">
        <f>'DE ( Tarik barang retur )'!G725</f>
        <v>85216518363</v>
      </c>
      <c r="D748" s="24" t="str">
        <f>'DE ( Tarik barang retur )'!H725</f>
        <v>Jl. Lingkar luar selatan Blok G/A/6 - G/A/7, Kelurahan Cilandak, Kecamatan Lebak Bulus, Jakarta Selatan, DKI Jakarta, 12440</v>
      </c>
      <c r="E748" s="24" t="str">
        <f>'DE ( Tarik barang retur )'!D725</f>
        <v>TMP-INV-2025/02/14/ 1354530</v>
      </c>
      <c r="F748" s="24" t="str">
        <f>'DE ( Tarik barang retur )'!R725</f>
        <v>Invoice: TMP-INV-2025/02/14/ 1354530
1x IMBOOST KIDS Soho SIRUP
----------------------------------------
Invoice: TMP-INV-2024/12/23/ 1226467
2x POLYCROL FORTE Nicholas SUSPENSI Tarik Barang Retur</v>
      </c>
      <c r="G748" s="36">
        <f>'DE ( Tarik barang retur )'!AF725</f>
        <v>46185</v>
      </c>
      <c r="H748" s="22">
        <v>46185.0</v>
      </c>
      <c r="I748" s="22">
        <v>46186.0</v>
      </c>
      <c r="J748" s="21" t="s">
        <v>5294</v>
      </c>
      <c r="K748" s="24"/>
      <c r="L748" s="24"/>
      <c r="M748" s="24"/>
      <c r="N748" s="24"/>
      <c r="O748" s="24"/>
      <c r="P748" s="25"/>
      <c r="Q748" s="25"/>
      <c r="R748" s="25"/>
      <c r="S748" s="25"/>
      <c r="T748" s="25"/>
      <c r="U748" s="25"/>
      <c r="V748" s="25"/>
      <c r="W748" s="25"/>
      <c r="X748" s="25"/>
      <c r="Y748" s="25"/>
      <c r="Z748" s="25"/>
      <c r="AA748" s="25"/>
      <c r="AB748" s="25"/>
      <c r="AC748" s="25"/>
    </row>
    <row r="749">
      <c r="A749" s="24" t="str">
        <f>'DE ( Tarik barang retur )'!AC726</f>
        <v>AWBR-3316462543-01</v>
      </c>
      <c r="B749" s="24" t="str">
        <f>'DE ( Tarik barang retur )'!F726</f>
        <v>Apotek Shaka Farma Kertamukti Cibitung</v>
      </c>
      <c r="C749" s="35">
        <f>'DE ( Tarik barang retur )'!G726</f>
        <v>6.28217E+17</v>
      </c>
      <c r="D749" s="24" t="str">
        <f>'DE ( Tarik barang retur )'!H726</f>
        <v>Kp. Sasak Bakar, RT/RW : 001/001, Desa/Kelurahan Kertamukti, Kec. Cibitung, Kab. Bekasi</v>
      </c>
      <c r="E749" s="24" t="str">
        <f>'DE ( Tarik barang retur )'!D726</f>
        <v>TMP-INV-2026/05/21/ 2768465</v>
      </c>
      <c r="F749" s="24" t="str">
        <f>'DE ( Tarik barang retur )'!R726</f>
        <v>Invoice: TMP-INV-2026/05/21/ 2768465
1x IMBOOST FORCE COUGH Soho SIRUP
----------------------------------------
Invoice: TMP-INV-2026/06/07/ 2826824
1x VEGEBLEND Pharos KAPSUL Tarik Barang Retur</v>
      </c>
      <c r="G749" s="36">
        <f>'DE ( Tarik barang retur )'!AF726</f>
        <v>46185</v>
      </c>
      <c r="H749" s="22">
        <v>46186.0</v>
      </c>
      <c r="I749" s="22">
        <v>46186.0</v>
      </c>
      <c r="J749" s="21" t="s">
        <v>5294</v>
      </c>
      <c r="K749" s="24"/>
      <c r="L749" s="24"/>
      <c r="M749" s="24"/>
      <c r="N749" s="24"/>
      <c r="O749" s="24"/>
      <c r="P749" s="25"/>
      <c r="Q749" s="25"/>
      <c r="R749" s="25"/>
      <c r="S749" s="25"/>
      <c r="T749" s="25"/>
      <c r="U749" s="25"/>
      <c r="V749" s="25"/>
      <c r="W749" s="25"/>
      <c r="X749" s="25"/>
      <c r="Y749" s="25"/>
      <c r="Z749" s="25"/>
      <c r="AA749" s="25"/>
      <c r="AB749" s="25"/>
      <c r="AC749" s="25"/>
    </row>
    <row r="750">
      <c r="A750" s="24" t="str">
        <f>'DE ( Tarik barang retur )'!AC727</f>
        <v>AWBR-3316276533-01</v>
      </c>
      <c r="B750" s="24" t="str">
        <f>'DE ( Tarik barang retur )'!F727</f>
        <v>Apotek Gemilang Jaya Sriamur Tambun Utara</v>
      </c>
      <c r="C750" s="35">
        <f>'DE ( Tarik barang retur )'!G727</f>
        <v>6.28953E+17</v>
      </c>
      <c r="D750" s="24" t="str">
        <f>'DE ( Tarik barang retur )'!H727</f>
        <v>Jl. Pinggir Kali RT 002 RW 006 Desa Sriamur, Kec. Tambun Utara, Kabupaten Bekasi</v>
      </c>
      <c r="E750" s="24" t="str">
        <f>'DE ( Tarik barang retur )'!D727</f>
        <v>TMP-INV-2026/06/06/ 2824137</v>
      </c>
      <c r="F750" s="24" t="str">
        <f>'DE ( Tarik barang retur )'!R727</f>
        <v>Invoice: TMP-INV-2026/06/06/ 2824137
1x INSTO COOL Pharma Health TETES MATA
----------------------------------------
Invoice: TMP-INV-2026/06/05/ 2819945
Full Return
----------------------------------------
Invoice: TMP-INV-2026/06/01/ 2802609
Full Return Tarik Barang Retur</v>
      </c>
      <c r="G750" s="36">
        <f>'DE ( Tarik barang retur )'!AF727</f>
        <v>46185</v>
      </c>
      <c r="H750" s="22">
        <v>46186.0</v>
      </c>
      <c r="I750" s="22">
        <v>46186.0</v>
      </c>
      <c r="J750" s="21" t="s">
        <v>5294</v>
      </c>
      <c r="K750" s="24"/>
      <c r="L750" s="24"/>
      <c r="M750" s="24"/>
      <c r="N750" s="24"/>
      <c r="O750" s="24"/>
      <c r="P750" s="25"/>
      <c r="Q750" s="25"/>
      <c r="R750" s="25"/>
      <c r="S750" s="25"/>
      <c r="T750" s="25"/>
      <c r="U750" s="25"/>
      <c r="V750" s="25"/>
      <c r="W750" s="25"/>
      <c r="X750" s="25"/>
      <c r="Y750" s="25"/>
      <c r="Z750" s="25"/>
      <c r="AA750" s="25"/>
      <c r="AB750" s="25"/>
      <c r="AC750" s="25"/>
    </row>
    <row r="751">
      <c r="A751" s="24" t="str">
        <f>'DE ( Tarik barang retur )'!AC728</f>
        <v>AWBR-3316453453-01</v>
      </c>
      <c r="B751" s="24" t="str">
        <f>'DE ( Tarik barang retur )'!F728</f>
        <v>Apotek Fatih Jatibening Baru Pondok Gede</v>
      </c>
      <c r="C751" s="35">
        <f>'DE ( Tarik barang retur )'!G728</f>
        <v>6.28121E+17</v>
      </c>
      <c r="D751" s="24" t="str">
        <f>'DE ( Tarik barang retur )'!H728</f>
        <v>Jl. Lampiri Raya No.108 B Desa/Kelurahan Jatibening Baru,Kecamatan Pondok Gede, Kota Bekasi, Jawa Barat, 17412</v>
      </c>
      <c r="E751" s="24" t="str">
        <f>'DE ( Tarik barang retur )'!D728</f>
        <v>TMP-INV-2026/06/07/ 2827876</v>
      </c>
      <c r="F751" s="24" t="str">
        <f>'DE ( Tarik barang retur )'!R728</f>
        <v>Invoice: TMP-INV-2026/06/07/ 2827876
2x DUS, 3 BLISTER @ 10 TABLET KUNYAH
----------------------------------------
Invoice: TMP-INV-2026/06/01/ 2804717
1x BECOM C Sanbe KAPLET Tarik Barang Retur</v>
      </c>
      <c r="G751" s="36">
        <f>'DE ( Tarik barang retur )'!AF728</f>
        <v>46185</v>
      </c>
      <c r="H751" s="22">
        <v>46186.0</v>
      </c>
      <c r="I751" s="22">
        <v>46186.0</v>
      </c>
      <c r="J751" s="21" t="s">
        <v>5294</v>
      </c>
      <c r="K751" s="24"/>
      <c r="L751" s="24"/>
      <c r="M751" s="24"/>
      <c r="N751" s="24"/>
      <c r="O751" s="24"/>
      <c r="P751" s="25"/>
      <c r="Q751" s="25"/>
      <c r="R751" s="25"/>
      <c r="S751" s="25"/>
      <c r="T751" s="25"/>
      <c r="U751" s="25"/>
      <c r="V751" s="25"/>
      <c r="W751" s="25"/>
      <c r="X751" s="25"/>
      <c r="Y751" s="25"/>
      <c r="Z751" s="25"/>
      <c r="AA751" s="25"/>
      <c r="AB751" s="25"/>
      <c r="AC751" s="25"/>
    </row>
    <row r="752">
      <c r="A752" s="24" t="str">
        <f>'DE ( Tarik barang retur )'!AC729</f>
        <v>AWBR-3316468744-01</v>
      </c>
      <c r="B752" s="24" t="str">
        <f>'DE ( Tarik barang retur )'!F729</f>
        <v>Apotek Medpharm GDC Tirtajaya Sukmajaya</v>
      </c>
      <c r="C752" s="35">
        <f>'DE ( Tarik barang retur )'!G729</f>
        <v>6.28138E+17</v>
      </c>
      <c r="D752" s="24" t="str">
        <f>'DE ( Tarik barang retur )'!H729</f>
        <v>Ruko Gardenia, Grand Depok City, Grand Depok City, Jalan KSU Parung Serab, Kelurahan Tirtajaya, Kecamatan Sukmajaya, Kota Depok, Jawa Barat 16412</v>
      </c>
      <c r="E752" s="24" t="str">
        <f>'DE ( Tarik barang retur )'!D729</f>
        <v>TMP-INV-2026/05/24/ 2779678</v>
      </c>
      <c r="F752" s="24" t="str">
        <f>'DE ( Tarik barang retur )'!R729</f>
        <v>Invoice: TMP-INV-2026/05/24/ 2779678
1x NELLCO SPECIAL OBH FLU DAN BATUK SIRUP
----------------------------------------
Invoice: TMP-INV-2026/05/21/ 2770732
1x TRINORDIOL-28 Sunthi TABLET
----------------------------------------
Invoice: TMP-INV-2026/06/03/ 2813715
3x LAXING Soho KAPSUL
----------------------------------------
Invoice: TMP-INV-2026/05/30/ 2800155
1x OBH COMBI ANAK BATUK PLUS FLU (Strawberry) Combiphar SIRUP Tarik Barang Retur</v>
      </c>
      <c r="G752" s="36">
        <f>'DE ( Tarik barang retur )'!AF729</f>
        <v>46185</v>
      </c>
      <c r="H752" s="22">
        <v>46185.0</v>
      </c>
      <c r="I752" s="22">
        <v>46186.0</v>
      </c>
      <c r="J752" s="21" t="s">
        <v>5294</v>
      </c>
      <c r="K752" s="24"/>
      <c r="L752" s="24"/>
      <c r="M752" s="24"/>
      <c r="N752" s="24"/>
      <c r="O752" s="24"/>
      <c r="P752" s="25"/>
      <c r="Q752" s="25"/>
      <c r="R752" s="25"/>
      <c r="S752" s="25"/>
      <c r="T752" s="25"/>
      <c r="U752" s="25"/>
      <c r="V752" s="25"/>
      <c r="W752" s="25"/>
      <c r="X752" s="25"/>
      <c r="Y752" s="25"/>
      <c r="Z752" s="25"/>
      <c r="AA752" s="25"/>
      <c r="AB752" s="25"/>
      <c r="AC752" s="25"/>
    </row>
    <row r="753">
      <c r="A753" s="24" t="str">
        <f>'DE ( Tarik barang retur )'!AC730</f>
        <v>AWBR-3316409410-01</v>
      </c>
      <c r="B753" s="24" t="str">
        <f>'DE ( Tarik barang retur )'!F730</f>
        <v>Apotek Kalilicin Rangkapan Jaya Pancoran Mas</v>
      </c>
      <c r="C753" s="35">
        <f>'DE ( Tarik barang retur )'!G730</f>
        <v>215703335</v>
      </c>
      <c r="D753" s="24" t="str">
        <f>'DE ( Tarik barang retur )'!H730</f>
        <v>Ruko Rangkapan Jaya No 02-03, Kel. Rangkapan Jaya, Kec. Pancoran Mas, Kota Depok 16435</v>
      </c>
      <c r="E753" s="24" t="str">
        <f>'DE ( Tarik barang retur )'!D730</f>
        <v>TMP-INV-2026/05/10/ 2730572</v>
      </c>
      <c r="F753" s="24" t="str">
        <f>'DE ( Tarik barang retur )'!R730</f>
        <v>Invoice: TMP-INV-2026/05/10/ 2730572
1x FENRIS Interbat SUSPENSI
----------------------------------------
Invoice: TMP-INV-2026/05/12/ 2738592
2x TRINORDIOL-28 Sunthi TABLET Tarik Barang Retur</v>
      </c>
      <c r="G753" s="36">
        <f>'DE ( Tarik barang retur )'!AF730</f>
        <v>46185</v>
      </c>
      <c r="H753" s="22">
        <v>46185.0</v>
      </c>
      <c r="I753" s="22">
        <v>46186.0</v>
      </c>
      <c r="J753" s="21" t="s">
        <v>5294</v>
      </c>
      <c r="K753" s="24"/>
      <c r="L753" s="24"/>
      <c r="M753" s="24"/>
      <c r="N753" s="24"/>
      <c r="O753" s="24"/>
      <c r="P753" s="25"/>
      <c r="Q753" s="25"/>
      <c r="R753" s="25"/>
      <c r="S753" s="25"/>
      <c r="T753" s="25"/>
      <c r="U753" s="25"/>
      <c r="V753" s="25"/>
      <c r="W753" s="25"/>
      <c r="X753" s="25"/>
      <c r="Y753" s="25"/>
      <c r="Z753" s="25"/>
      <c r="AA753" s="25"/>
      <c r="AB753" s="25"/>
      <c r="AC753" s="25"/>
    </row>
    <row r="754">
      <c r="A754" s="24" t="str">
        <f>'DE ( Tarik barang retur )'!AC731</f>
        <v>AWBR-3318086197-01</v>
      </c>
      <c r="B754" s="24" t="str">
        <f>'DE ( Tarik barang retur )'!F731</f>
        <v>Apotek Ishaura Sejahtera Medika Sukakarya Warudoyong</v>
      </c>
      <c r="C754" s="35">
        <f>'DE ( Tarik barang retur )'!G731</f>
        <v>85703465396</v>
      </c>
      <c r="D754" s="24" t="str">
        <f>'DE ( Tarik barang retur )'!H731</f>
        <v>Jalan KH. Ahmad Sanusi RT 001 RW 002 Desa Sukakarya Kec. Warudoyong Kota Sukabumi 43135</v>
      </c>
      <c r="E754" s="24" t="str">
        <f>'DE ( Tarik barang retur )'!D731</f>
        <v>TMP-INV-2026/06/08/ 2831744</v>
      </c>
      <c r="F754" s="24" t="str">
        <f>'DE ( Tarik barang retur )'!R731</f>
        <v>Invoice: TMP-INV-2026/06/08/ 2831744
2x CATAFLAM Novartis TABLET 25 MG Tarik Barang Retur</v>
      </c>
      <c r="G754" s="36">
        <f>'DE ( Tarik barang retur )'!AF731</f>
        <v>46185</v>
      </c>
      <c r="H754" s="22">
        <v>46185.0</v>
      </c>
      <c r="I754" s="22">
        <v>46187.0</v>
      </c>
      <c r="J754" s="21" t="s">
        <v>5294</v>
      </c>
      <c r="K754" s="24"/>
      <c r="L754" s="24"/>
      <c r="M754" s="24"/>
      <c r="N754" s="24"/>
      <c r="O754" s="24"/>
      <c r="P754" s="25"/>
      <c r="Q754" s="25"/>
      <c r="R754" s="25"/>
      <c r="S754" s="25"/>
      <c r="T754" s="25"/>
      <c r="U754" s="25"/>
      <c r="V754" s="25"/>
      <c r="W754" s="25"/>
      <c r="X754" s="25"/>
      <c r="Y754" s="25"/>
      <c r="Z754" s="25"/>
      <c r="AA754" s="25"/>
      <c r="AB754" s="25"/>
      <c r="AC754" s="25"/>
    </row>
    <row r="755">
      <c r="A755" s="24" t="str">
        <f>'DE ( Tarik barang retur )'!AC732</f>
        <v>AWBR-8518-2026-6-12-01</v>
      </c>
      <c r="B755" s="24" t="str">
        <f>'DE ( Tarik barang retur )'!F732</f>
        <v>Apotek Nizam Farma Jagakarsa Jagakarsa</v>
      </c>
      <c r="C755" s="35">
        <f>'DE ( Tarik barang retur )'!G732</f>
        <v>8.95411E+16</v>
      </c>
      <c r="D755" s="24" t="str">
        <f>'DE ( Tarik barang retur )'!H732</f>
        <v>Jl. Moch. Kahfi II No.51, RT.7/RW.1, Jagakarsa, Kec. Jagakarsa, Kota Jakarta Selatan, 12620</v>
      </c>
      <c r="E755" s="24" t="str">
        <f>'DE ( Tarik barang retur )'!D732</f>
        <v>TMP-INV-2025/11/16/ 2132499</v>
      </c>
      <c r="F755" s="24" t="str">
        <f>'DE ( Tarik barang retur )'!R732</f>
        <v>TMP-INV-2025/11/16/ 2132499 THYROZOL Merck TABLET 5 MG DUS, 10 BLSITER @ 10 TABLET SALUT SELAPUT Tarik Barang Retur</v>
      </c>
      <c r="G755" s="36">
        <f>'DE ( Tarik barang retur )'!AF732</f>
        <v>46185</v>
      </c>
      <c r="H755" s="22">
        <v>46185.0</v>
      </c>
      <c r="I755" s="22">
        <v>46187.0</v>
      </c>
      <c r="J755" s="21" t="s">
        <v>5294</v>
      </c>
      <c r="K755" s="24"/>
      <c r="L755" s="24"/>
      <c r="M755" s="24"/>
      <c r="N755" s="24"/>
      <c r="O755" s="24"/>
      <c r="P755" s="25"/>
      <c r="Q755" s="25"/>
      <c r="R755" s="25"/>
      <c r="S755" s="25"/>
      <c r="T755" s="25"/>
      <c r="U755" s="25"/>
      <c r="V755" s="25"/>
      <c r="W755" s="25"/>
      <c r="X755" s="25"/>
      <c r="Y755" s="25"/>
      <c r="Z755" s="25"/>
      <c r="AA755" s="25"/>
      <c r="AB755" s="25"/>
      <c r="AC755" s="25"/>
    </row>
    <row r="756">
      <c r="A756" s="24" t="str">
        <f>'DE ( Tarik barang retur )'!AC733</f>
        <v>AWBR-3319126270-01</v>
      </c>
      <c r="B756" s="24" t="str">
        <f>'DE ( Tarik barang retur )'!F733</f>
        <v>Apotek Paten Sukabumi Utara Kebon Jeruk</v>
      </c>
      <c r="C756" s="35">
        <f>'DE ( Tarik barang retur )'!G733</f>
        <v>6.2814E+16</v>
      </c>
      <c r="D756" s="24" t="str">
        <f>'DE ( Tarik barang retur )'!H733</f>
        <v>Jl. Adam No.29 RT/RW 06/11 Kel. Sukabumi Utara Kec. Kebon jeruk Jakarta Barat</v>
      </c>
      <c r="E756" s="24" t="str">
        <f>'DE ( Tarik barang retur )'!D733</f>
        <v>TMP-INV-2026/04/16/ 2645090</v>
      </c>
      <c r="F756" s="24" t="str">
        <f>'DE ( Tarik barang retur )'!R733</f>
        <v>Invoice: TMP-INV-2026/04/16/ 2645090
2x CTM PIM TABLET 4 MG
1x FARMACROL FORTE Pratapa Nirmala TABLET
2x MADU ENAK + MANUKA HONEY STICK Herba Utama
2x MADU ENAK STICK RASA ANGGUR Herba Utama
2x MADU ENAK STICK RASA LECI Herba Utama
2x MADU TJ ORIGINAL Ultrasakti
6x MADU TJ PANAS DALAM Ultrasakti
----------------------------------------
Invoice: TMP-INV-2026/04/16/ 2645090
2x MADU TJ RASA JERUK Ultrasakti
2x MADURASA Minuman dengan Madu RASA JERUK NIPIS
12x OBH Surya Itrasal SIRUP
3x SAKATONIK ABC CURCUMA MADU Saka Farma TABLET
2x SALBUTAMOL SULFATE Mbf CAIRAN INHALASI
1x SNAKE BRAND PRICKLY HEAT POWDER LAVENDER Mitra Bersama
2x SNAKE BRAND PRICKLY HEAT POWDER OCEAN FRESH Mitra Bersama
----------------------------------------
Invoice: TMP-INV-2026/04/16/ 2645090
1x ULSAFATE Combiphar SUSPENSI
2x ZINC SULFATE MONOHYDRATE Bernofarm SIRUP 20 MG/5 ML Tarik Barang Retur</v>
      </c>
      <c r="G756" s="36">
        <f>'DE ( Tarik barang retur )'!AF733</f>
        <v>46186</v>
      </c>
      <c r="H756" s="22">
        <v>46190.0</v>
      </c>
      <c r="I756" s="24"/>
      <c r="J756" s="21" t="s">
        <v>5295</v>
      </c>
      <c r="K756" s="24"/>
      <c r="L756" s="24"/>
      <c r="M756" s="25"/>
      <c r="N756" s="25"/>
      <c r="O756" s="25"/>
      <c r="P756" s="25"/>
      <c r="Q756" s="25"/>
      <c r="R756" s="25"/>
      <c r="S756" s="25"/>
      <c r="T756" s="25"/>
      <c r="U756" s="25"/>
      <c r="V756" s="25"/>
      <c r="W756" s="25"/>
      <c r="X756" s="25"/>
      <c r="Y756" s="25"/>
      <c r="Z756" s="25"/>
      <c r="AA756" s="25"/>
      <c r="AB756" s="25"/>
      <c r="AC756" s="25"/>
    </row>
    <row r="757">
      <c r="A757" s="24" t="str">
        <f>'DE ( Tarik barang retur )'!AC734</f>
        <v>AWBR-3318633178-01</v>
      </c>
      <c r="B757" s="24" t="str">
        <f>'DE ( Tarik barang retur )'!F734</f>
        <v>Apotek Aulia Farma 1263</v>
      </c>
      <c r="C757" s="35">
        <f>'DE ( Tarik barang retur )'!G734</f>
        <v>89656440136</v>
      </c>
      <c r="D757" s="24" t="str">
        <f>'DE ( Tarik barang retur )'!H734</f>
        <v>Jalan Srengseng Raya No.77 RT 10 RW 05 Kelurahan Srengseng Kecamatan Kembangan Jakarta Barat 11510</v>
      </c>
      <c r="E757" s="24" t="str">
        <f>'DE ( Tarik barang retur )'!D734</f>
        <v>TMP-INV-2026/06/10/ 2839609</v>
      </c>
      <c r="F757" s="24" t="str">
        <f>'DE ( Tarik barang retur )'!R734</f>
        <v>Invoice: TMP-INV-2026/06/10/ 2839609
1x DEXA-M Dexa Medica TABLET 0.75 MG
2x HUFAMAG PLUS Hufa SUSPENSI
10x MICROGYNON (LIBI) Bayer TABLET
3x NEO RHEUMACYL Tempo Scan TABLET
3x SANADRYL EXPECTORANT Sanbe SIRUP
3x SILADEX MUCOLYTIC and EXPECTORANT Konimex SIRUP
2x VOLTADEX Dexa Medica GEL 1 %
----------------------------------------
Invoice: TMP-INV-2026/06/10/ 2839609
3x ZENSODERM Zenith KRIM
----------------------------------------
Invoice: TMP-INV-2026/06/10/ 2839719
1x AMOXICILLIN TRIHYDRATE Hexpharm KAPLET 500 MG
10x ANDALAN Harsen TABLET 0.15/0.03 MG
8x BETASON N Kimia Farma KRIM
1x CDR Bayer TABLET RASA JERUK MANDARIN
1x CDR FORTOS Bayer TABLET EFFERVESCENT
1x ENERVON C Medifarma TABLET
3x ESEMAG Sido Muncul
----------------------------------------
Invoice: TMP-INV-2026/06/10/ 2839719
2x FASIDOL Ifars DROPS
5x FASIDOL Ifars SIRUP
1x FOLAVIT 400 MCG Sanbe TABLET
2x FUNGIDERM Konimex KRIM
2x FUNGIDERM Konimex KRIM
5x LANSOPRAZOLE Nulab KAPSUL 30 MG
1x PARACETAMOL MEf KAPLET 500 MG
----------------------------------------
Invoice: TMP-INV-2026/06/10/ 2839719
7x PI KANG SHUANG Sano Gratia KRIM
1x VOLTAREN Gsk EMULGEL 1 %
----------------------------------------
Invoice: TMP-INV-2026/06/10/ 2837884
Full Return Tarik Barang Retur</v>
      </c>
      <c r="G757" s="36">
        <f>'DE ( Tarik barang retur )'!AF734</f>
        <v>46186</v>
      </c>
      <c r="H757" s="22">
        <v>46190.0</v>
      </c>
      <c r="I757" s="24"/>
      <c r="J757" s="21" t="s">
        <v>5295</v>
      </c>
      <c r="K757" s="24"/>
      <c r="L757" s="24"/>
      <c r="M757" s="25"/>
      <c r="N757" s="25"/>
      <c r="O757" s="25"/>
      <c r="P757" s="25"/>
      <c r="Q757" s="25"/>
      <c r="R757" s="25"/>
      <c r="S757" s="25"/>
      <c r="T757" s="25"/>
      <c r="U757" s="25"/>
      <c r="V757" s="25"/>
      <c r="W757" s="25"/>
      <c r="X757" s="25"/>
      <c r="Y757" s="25"/>
      <c r="Z757" s="25"/>
      <c r="AA757" s="25"/>
      <c r="AB757" s="25"/>
      <c r="AC757" s="25"/>
    </row>
    <row r="758">
      <c r="A758" s="24" t="str">
        <f>'DE ( Tarik barang retur )'!AC735</f>
        <v>AWBR-3319081608-01</v>
      </c>
      <c r="B758" s="24" t="str">
        <f>'DE ( Tarik barang retur )'!F735</f>
        <v>Apotek Westerindo Petogogan Kby Baru</v>
      </c>
      <c r="C758" s="35">
        <f>'DE ( Tarik barang retur )'!G735</f>
        <v>81380649551</v>
      </c>
      <c r="D758" s="24" t="str">
        <f>'DE ( Tarik barang retur )'!H735</f>
        <v>Jl. Cipaku I No.5, RT.2/RW.4, Kel. Petogogan, Kec. Kebayoran Baru, Kota Jakarta Selatan, Daerah Khusus Ibukota Jakarta 12170</v>
      </c>
      <c r="E758" s="24" t="str">
        <f>'DE ( Tarik barang retur )'!D735</f>
        <v>TMP-INV-2026/05/30/ 2799845</v>
      </c>
      <c r="F758" s="24" t="str">
        <f>'DE ( Tarik barang retur )'!R735</f>
        <v>Invoice: TMP-INV-2026/05/30/ 2799845
15x OBH COMBI BATUK BERDAHAK RASA MENTHOL Combiphar SIRUP
----------------------------------------
Invoice: TMP-INV-2026/04/22/ 2665659
1x OMEPROS Pharos KAPSUL
----------------------------------------
Invoice: TMP-INV-2026/04/22/ 2666396
27x HOLISTICARE ESTER C 1000 Indocare TABLET
----------------------------------------
Invoice: TMP-INV-2026/04/22/ 2666421
1x DULCOLAX Boehringer TABLET 5 MG
12x YOUVIT OMEGA-3 KIDS RASA PERSIK, JERUK, RASBERI Yupi - DUS
----------------------------------------
Invoice: TMP-INV-2026/02/21/ 2458593
24x BETASON N Kimia Farma KRIM
2x CAL-95 Lapi KAPLET
1x BROMIFAR Ifars KAPLET Tarik Barang Retur</v>
      </c>
      <c r="G758" s="36">
        <f>'DE ( Tarik barang retur )'!AF735</f>
        <v>46186</v>
      </c>
      <c r="H758" s="22">
        <v>46189.0</v>
      </c>
      <c r="I758" s="22">
        <v>46190.0</v>
      </c>
      <c r="J758" s="21" t="s">
        <v>5294</v>
      </c>
      <c r="K758" s="24"/>
      <c r="L758" s="24"/>
      <c r="M758" s="24"/>
      <c r="N758" s="24"/>
      <c r="O758" s="24"/>
      <c r="P758" s="25"/>
      <c r="Q758" s="25"/>
      <c r="R758" s="25"/>
      <c r="S758" s="25"/>
      <c r="T758" s="25"/>
      <c r="U758" s="25"/>
      <c r="V758" s="25"/>
      <c r="W758" s="25"/>
      <c r="X758" s="25"/>
      <c r="Y758" s="25"/>
      <c r="Z758" s="25"/>
      <c r="AA758" s="25"/>
      <c r="AB758" s="25"/>
      <c r="AC758" s="25"/>
    </row>
    <row r="759">
      <c r="A759" s="24" t="str">
        <f>'DE ( Tarik barang retur )'!AC736</f>
        <v>AWBR-3318757785-01</v>
      </c>
      <c r="B759" s="24" t="str">
        <f>'DE ( Tarik barang retur )'!F736</f>
        <v>Apotek Nusantara Kebagusan Pasar Minggu</v>
      </c>
      <c r="C759" s="35">
        <f>'DE ( Tarik barang retur )'!G736</f>
        <v>6.28127E+16</v>
      </c>
      <c r="D759" s="24" t="str">
        <f>'DE ( Tarik barang retur )'!H736</f>
        <v>Office 18 Park, Lantai Dasar JL. TB. Simatupang No. 01 , Desa/Kelurahan Kebagusan, Kec. Pasar Minggu, Kota Adm. Jakarta Selatan</v>
      </c>
      <c r="E759" s="24" t="str">
        <f>'DE ( Tarik barang retur )'!D736</f>
        <v>TMP-INV-2026/06/11/ 2842383</v>
      </c>
      <c r="F759" s="24" t="str">
        <f>'DE ( Tarik barang retur )'!R736</f>
        <v>Invoice: TMP-INV-2026/06/11/ 2842383
2x BREATHY NASAL DROPS Novell TETES HIDUNG Tarik Barang Retur</v>
      </c>
      <c r="G759" s="36">
        <f>'DE ( Tarik barang retur )'!AF736</f>
        <v>46186</v>
      </c>
      <c r="H759" s="22">
        <v>46186.0</v>
      </c>
      <c r="I759" s="22">
        <v>46188.0</v>
      </c>
      <c r="J759" s="21" t="s">
        <v>5294</v>
      </c>
      <c r="K759" s="24"/>
      <c r="L759" s="24"/>
      <c r="M759" s="24"/>
      <c r="N759" s="24"/>
      <c r="O759" s="21"/>
      <c r="P759" s="25"/>
      <c r="Q759" s="25"/>
      <c r="R759" s="25"/>
      <c r="S759" s="25"/>
      <c r="T759" s="25"/>
      <c r="U759" s="25"/>
      <c r="V759" s="25"/>
      <c r="W759" s="25"/>
      <c r="X759" s="25"/>
      <c r="Y759" s="25"/>
      <c r="Z759" s="25"/>
      <c r="AA759" s="25"/>
      <c r="AB759" s="25"/>
      <c r="AC759" s="25"/>
    </row>
    <row r="760">
      <c r="A760" s="24" t="str">
        <f>'DE ( Tarik barang retur )'!AC737</f>
        <v>AWBR-3318552868-01</v>
      </c>
      <c r="B760" s="24" t="str">
        <f>'DE ( Tarik barang retur )'!F737</f>
        <v>Apotek Nizam Farma Jagakarsa Jagakarsa</v>
      </c>
      <c r="C760" s="35">
        <f>'DE ( Tarik barang retur )'!G737</f>
        <v>8.95411E+16</v>
      </c>
      <c r="D760" s="24" t="str">
        <f>'DE ( Tarik barang retur )'!H737</f>
        <v>Jl. Moch. Kahfi II No.51, RT.7/RW.1, Jagakarsa, Kec. Jagakarsa, Kota Jakarta Selatan, 12620</v>
      </c>
      <c r="E760" s="24" t="str">
        <f>'DE ( Tarik barang retur )'!D737</f>
        <v>TMP-INV-2025/11/16/ 2132499</v>
      </c>
      <c r="F760" s="24" t="str">
        <f>'DE ( Tarik barang retur )'!R737</f>
        <v>Invoice: TMP-INV-2025/11/16/ 2132499
1x THYROZOL Merck TABLET 5 MG Tarik Barang Retur</v>
      </c>
      <c r="G760" s="36">
        <f>'DE ( Tarik barang retur )'!AF737</f>
        <v>46186</v>
      </c>
      <c r="H760" s="22">
        <v>46186.0</v>
      </c>
      <c r="I760" s="22">
        <v>46188.0</v>
      </c>
      <c r="J760" s="21" t="s">
        <v>5294</v>
      </c>
      <c r="K760" s="24"/>
      <c r="L760" s="24"/>
      <c r="M760" s="24"/>
      <c r="N760" s="24"/>
      <c r="O760" s="24"/>
      <c r="P760" s="25"/>
      <c r="Q760" s="25"/>
      <c r="R760" s="25"/>
      <c r="S760" s="25"/>
      <c r="T760" s="25"/>
      <c r="U760" s="25"/>
      <c r="V760" s="25"/>
      <c r="W760" s="25"/>
      <c r="X760" s="25"/>
      <c r="Y760" s="25"/>
      <c r="Z760" s="25"/>
      <c r="AA760" s="25"/>
      <c r="AB760" s="25"/>
      <c r="AC760" s="25"/>
    </row>
    <row r="761">
      <c r="A761" s="24" t="str">
        <f>'DE ( Tarik barang retur )'!AC738</f>
        <v>AWBR-3319145256-01</v>
      </c>
      <c r="B761" s="24" t="str">
        <f>'DE ( Tarik barang retur )'!F738</f>
        <v>Apotek K24 Pondok Kelapa 1184</v>
      </c>
      <c r="C761" s="35">
        <f>'DE ( Tarik barang retur )'!G738</f>
        <v>81210468236</v>
      </c>
      <c r="D761" s="24" t="str">
        <f>'DE ( Tarik barang retur )'!H738</f>
        <v>Jalan Pondok Kelapa Blok E 10 No.2 RT 007 RW 011 Kelurahan Pondok Kelapa Kecamatan Duren Sawit Jakarta Timur 13450</v>
      </c>
      <c r="E761" s="24" t="str">
        <f>'DE ( Tarik barang retur )'!D738</f>
        <v>TMP-INV-2026/06/06/ 2824883</v>
      </c>
      <c r="F761" s="24" t="str">
        <f>'DE ( Tarik barang retur )'!R738</f>
        <v>Invoice: TMP-INV-2026/06/06/ 2824883
Full Return Tarik Barang Retur</v>
      </c>
      <c r="G761" s="36">
        <f>'DE ( Tarik barang retur )'!AF738</f>
        <v>46186</v>
      </c>
      <c r="H761" s="22">
        <v>46187.0</v>
      </c>
      <c r="I761" s="22">
        <v>46187.0</v>
      </c>
      <c r="J761" s="21" t="s">
        <v>5294</v>
      </c>
      <c r="K761" s="24"/>
      <c r="L761" s="24"/>
      <c r="M761" s="24"/>
      <c r="N761" s="24"/>
      <c r="O761" s="24"/>
      <c r="P761" s="25"/>
      <c r="Q761" s="25"/>
      <c r="R761" s="25"/>
      <c r="S761" s="25"/>
      <c r="T761" s="25"/>
      <c r="U761" s="25"/>
      <c r="V761" s="25"/>
      <c r="W761" s="25"/>
      <c r="X761" s="25"/>
      <c r="Y761" s="25"/>
      <c r="Z761" s="25"/>
      <c r="AA761" s="25"/>
      <c r="AB761" s="25"/>
      <c r="AC761" s="25"/>
    </row>
    <row r="762">
      <c r="A762" s="24" t="str">
        <f>'DE ( Tarik barang retur )'!AC739</f>
        <v>AWBR-3319063330-01</v>
      </c>
      <c r="B762" s="24" t="str">
        <f>'DE ( Tarik barang retur )'!F739</f>
        <v>Apotek Medicastore 1601</v>
      </c>
      <c r="C762" s="35">
        <f>'DE ( Tarik barang retur )'!G739</f>
        <v>81585857777</v>
      </c>
      <c r="D762" s="24" t="str">
        <f>'DE ( Tarik barang retur )'!H739</f>
        <v>Jalan Kelapa Gading Boulevard Blok CN-2 Kav. No. 26 RT 03 RW 012 Kelurahan Kelapa Gading Timur Kecamatan Kelapa Gading Jakarta Utara 14240</v>
      </c>
      <c r="E762" s="24" t="str">
        <f>'DE ( Tarik barang retur )'!D739</f>
        <v>TMP-INV-2025/05/15/ 1578964</v>
      </c>
      <c r="F762" s="24" t="str">
        <f>'DE ( Tarik barang retur )'!R739</f>
        <v>Invoice: TMP-INV-2025/05/15/ 1578964
Full Return Tarik Barang Retur</v>
      </c>
      <c r="G762" s="36">
        <f>'DE ( Tarik barang retur )'!AF739</f>
        <v>46186</v>
      </c>
      <c r="H762" s="22">
        <v>46187.0</v>
      </c>
      <c r="I762" s="22">
        <v>46187.0</v>
      </c>
      <c r="J762" s="21" t="s">
        <v>5294</v>
      </c>
      <c r="K762" s="24"/>
      <c r="L762" s="24"/>
      <c r="M762" s="24"/>
      <c r="N762" s="24"/>
      <c r="O762" s="24"/>
      <c r="P762" s="25"/>
      <c r="Q762" s="25"/>
      <c r="R762" s="25"/>
      <c r="S762" s="25"/>
      <c r="T762" s="25"/>
      <c r="U762" s="25"/>
      <c r="V762" s="25"/>
      <c r="W762" s="25"/>
      <c r="X762" s="25"/>
      <c r="Y762" s="25"/>
      <c r="Z762" s="25"/>
      <c r="AA762" s="25"/>
      <c r="AB762" s="25"/>
      <c r="AC762" s="25"/>
    </row>
    <row r="763">
      <c r="A763" s="24" t="str">
        <f>'DE ( Tarik barang retur )'!AC740</f>
        <v>AWBR-3318703168-01</v>
      </c>
      <c r="B763" s="24" t="str">
        <f>'DE ( Tarik barang retur )'!F740</f>
        <v>Apotekita</v>
      </c>
      <c r="C763" s="35">
        <f>'DE ( Tarik barang retur )'!G740</f>
        <v>6.28191E+17</v>
      </c>
      <c r="D763" s="24" t="str">
        <f>'DE ( Tarik barang retur )'!H740</f>
        <v>Ruko Elang Laut Boulevard Blok A-11, Jl. Pantai Indah Selatan, Kel. Kamal Muara, Kec. Penjaringan, Jakarta Utara, Provinsi DKI Jakarta,14470</v>
      </c>
      <c r="E763" s="24" t="str">
        <f>'DE ( Tarik barang retur )'!D740</f>
        <v>TMP-INV-2026/06/11/ 2843562</v>
      </c>
      <c r="F763" s="24" t="str">
        <f>'DE ( Tarik barang retur )'!R740</f>
        <v>Invoice: TMP-INV-2026/06/11/ 2843562
Full Return Tarik Barang Retur</v>
      </c>
      <c r="G763" s="36">
        <f>'DE ( Tarik barang retur )'!AF740</f>
        <v>46186</v>
      </c>
      <c r="H763" s="22">
        <v>46186.0</v>
      </c>
      <c r="I763" s="22">
        <v>46187.0</v>
      </c>
      <c r="J763" s="21" t="s">
        <v>5294</v>
      </c>
      <c r="K763" s="24"/>
      <c r="L763" s="24"/>
      <c r="M763" s="24"/>
      <c r="N763" s="24"/>
      <c r="O763" s="24"/>
      <c r="P763" s="25"/>
      <c r="Q763" s="25"/>
      <c r="R763" s="25"/>
      <c r="S763" s="25"/>
      <c r="T763" s="25"/>
      <c r="U763" s="25"/>
      <c r="V763" s="25"/>
      <c r="W763" s="25"/>
      <c r="X763" s="25"/>
      <c r="Y763" s="25"/>
      <c r="Z763" s="25"/>
      <c r="AA763" s="25"/>
      <c r="AB763" s="25"/>
      <c r="AC763" s="25"/>
    </row>
    <row r="764">
      <c r="A764" s="24" t="str">
        <f>'DE ( Tarik barang retur )'!AC741</f>
        <v>AWBR-3319200730-01</v>
      </c>
      <c r="B764" s="24" t="str">
        <f>'DE ( Tarik barang retur )'!F741</f>
        <v>Apotek Lagona Cijengkol Setu</v>
      </c>
      <c r="C764" s="35">
        <f>'DE ( Tarik barang retur )'!G741</f>
        <v>6.28226E+17</v>
      </c>
      <c r="D764" s="24" t="str">
        <f>'DE ( Tarik barang retur )'!H741</f>
        <v>Jl. Raya Letjen Suprapto No 86 Desa Cijengkol, Kec. Setu Kabupaten Bekasi</v>
      </c>
      <c r="E764" s="24" t="str">
        <f>'DE ( Tarik barang retur )'!D741</f>
        <v>TMP-INV-2024/11/11/ 1131426</v>
      </c>
      <c r="F764" s="24" t="str">
        <f>'DE ( Tarik barang retur )'!R741</f>
        <v>Invoice: TMP-INV-2024/11/11/1131426
1x VENTOLIN Gsk SIRUP 2 MG/5 ML Tarik Barang Retur</v>
      </c>
      <c r="G764" s="36">
        <f>'DE ( Tarik barang retur )'!AF741</f>
        <v>46186</v>
      </c>
      <c r="H764" s="22">
        <v>46187.0</v>
      </c>
      <c r="I764" s="22">
        <v>46187.0</v>
      </c>
      <c r="J764" s="21" t="s">
        <v>5294</v>
      </c>
      <c r="K764" s="24"/>
      <c r="L764" s="24"/>
      <c r="M764" s="24"/>
      <c r="N764" s="24"/>
      <c r="O764" s="24"/>
      <c r="P764" s="25"/>
      <c r="Q764" s="25"/>
      <c r="R764" s="25"/>
      <c r="S764" s="25"/>
      <c r="T764" s="25"/>
      <c r="U764" s="25"/>
      <c r="V764" s="25"/>
      <c r="W764" s="25"/>
      <c r="X764" s="25"/>
      <c r="Y764" s="25"/>
      <c r="Z764" s="25"/>
      <c r="AA764" s="25"/>
      <c r="AB764" s="25"/>
      <c r="AC764" s="25"/>
    </row>
    <row r="765">
      <c r="A765" s="24" t="str">
        <f>'DE ( Tarik barang retur )'!AC742</f>
        <v>AWBR-3319194770-01</v>
      </c>
      <c r="B765" s="24" t="str">
        <f>'DE ( Tarik barang retur )'!F742</f>
        <v>Apotek Zidna Cijengkol Setu</v>
      </c>
      <c r="C765" s="35">
        <f>'DE ( Tarik barang retur )'!G742</f>
        <v>6.28138E+17</v>
      </c>
      <c r="D765" s="24" t="str">
        <f>'DE ( Tarik barang retur )'!H742</f>
        <v>Jl. Raya Letjen R Suprapto RT/RW 04/03 Desa Cijengkol, Kec. Setu, Kabupaten Bekasi</v>
      </c>
      <c r="E765" s="24" t="str">
        <f>'DE ( Tarik barang retur )'!D742</f>
        <v>TMP-INV-2025/03/28/ 1460121</v>
      </c>
      <c r="F765" s="24" t="str">
        <f>'DE ( Tarik barang retur )'!R742</f>
        <v>Invoice: TMP-INV-2025/03/28/ 1460121
2x BLACKMORES MULTI B PERFORMANCE Kalbe TABLET Tarik Barang Retur</v>
      </c>
      <c r="G765" s="36">
        <f>'DE ( Tarik barang retur )'!AF742</f>
        <v>46186</v>
      </c>
      <c r="H765" s="22">
        <v>46187.0</v>
      </c>
      <c r="I765" s="22">
        <v>46187.0</v>
      </c>
      <c r="J765" s="21" t="s">
        <v>5294</v>
      </c>
      <c r="K765" s="24"/>
      <c r="L765" s="24"/>
      <c r="M765" s="24"/>
      <c r="N765" s="24"/>
      <c r="O765" s="24"/>
      <c r="P765" s="25"/>
      <c r="Q765" s="25"/>
      <c r="R765" s="25"/>
      <c r="S765" s="25"/>
      <c r="T765" s="25"/>
      <c r="U765" s="25"/>
      <c r="V765" s="25"/>
      <c r="W765" s="25"/>
      <c r="X765" s="25"/>
      <c r="Y765" s="25"/>
      <c r="Z765" s="25"/>
      <c r="AA765" s="25"/>
      <c r="AB765" s="25"/>
      <c r="AC765" s="25"/>
    </row>
    <row r="766">
      <c r="A766" s="24" t="str">
        <f>'DE ( Tarik barang retur )'!AC743</f>
        <v>AWBR-3319167462-01</v>
      </c>
      <c r="B766" s="24" t="str">
        <f>'DE ( Tarik barang retur )'!F743</f>
        <v>Apotek Lestari Pusaka Rakyat Tarumajaya</v>
      </c>
      <c r="C766" s="35">
        <f>'DE ( Tarik barang retur )'!G743</f>
        <v>6.28137E+17</v>
      </c>
      <c r="D766" s="24" t="str">
        <f>'DE ( Tarik barang retur )'!H743</f>
        <v>Jl Tarumajaya No.62 Prapatan KP Bogor, Desa/Kelurahan Pusaka Rakyat, Kec. Tarumajaya, Kab. Bekasi</v>
      </c>
      <c r="E766" s="24" t="str">
        <f>'DE ( Tarik barang retur )'!D743</f>
        <v>TMP-INV-2026/05/25/ 2782205</v>
      </c>
      <c r="F766" s="24" t="str">
        <f>'DE ( Tarik barang retur )'!R743</f>
        <v>Invoice: TMP-INV-2026/05/25/ 2782205
Full Return Tarik Barang Retur</v>
      </c>
      <c r="G766" s="36">
        <f>'DE ( Tarik barang retur )'!AF743</f>
        <v>46186</v>
      </c>
      <c r="H766" s="22">
        <v>46187.0</v>
      </c>
      <c r="I766" s="22">
        <v>46187.0</v>
      </c>
      <c r="J766" s="21" t="s">
        <v>5294</v>
      </c>
      <c r="K766" s="24"/>
      <c r="L766" s="24"/>
      <c r="M766" s="24"/>
      <c r="N766" s="24"/>
      <c r="O766" s="24"/>
      <c r="P766" s="25"/>
      <c r="Q766" s="25"/>
      <c r="R766" s="25"/>
      <c r="S766" s="25"/>
      <c r="T766" s="25"/>
      <c r="U766" s="25"/>
      <c r="V766" s="25"/>
      <c r="W766" s="25"/>
      <c r="X766" s="25"/>
      <c r="Y766" s="25"/>
      <c r="Z766" s="25"/>
      <c r="AA766" s="25"/>
      <c r="AB766" s="25"/>
      <c r="AC766" s="25"/>
    </row>
    <row r="767">
      <c r="A767" s="24" t="str">
        <f>'DE ( Tarik barang retur )'!AC744</f>
        <v>AWBR-3319122417-01</v>
      </c>
      <c r="B767" s="24" t="str">
        <f>'DE ( Tarik barang retur )'!F744</f>
        <v>Apotek Ben Waras Sriamur Tambun Utara</v>
      </c>
      <c r="C767" s="35">
        <f>'DE ( Tarik barang retur )'!G744</f>
        <v>85894805758</v>
      </c>
      <c r="D767" s="24" t="str">
        <f>'DE ( Tarik barang retur )'!H744</f>
        <v>Jl. H. Nausan RT/RW 02/06 Gabus Bulak No. 89 Desa/Kel. Sriamur Kec. Tambun Utara Kab. Bekasi 17511</v>
      </c>
      <c r="E767" s="24" t="str">
        <f>'DE ( Tarik barang retur )'!D744</f>
        <v>TMP-INV-2026/03/23/ 2555529</v>
      </c>
      <c r="F767" s="24" t="str">
        <f>'DE ( Tarik barang retur )'!R744</f>
        <v>Invoice: TMP-INV-2026/03/23/ 2555529
3x VOLTAREN Gsk EMULGEL 1 % Tarik Barang Retur</v>
      </c>
      <c r="G767" s="36">
        <f>'DE ( Tarik barang retur )'!AF744</f>
        <v>46186</v>
      </c>
      <c r="H767" s="22">
        <v>46187.0</v>
      </c>
      <c r="I767" s="22">
        <v>46187.0</v>
      </c>
      <c r="J767" s="21" t="s">
        <v>5294</v>
      </c>
      <c r="K767" s="24"/>
      <c r="L767" s="24"/>
      <c r="M767" s="24"/>
      <c r="N767" s="24"/>
      <c r="O767" s="24"/>
      <c r="P767" s="25"/>
      <c r="Q767" s="25"/>
      <c r="R767" s="25"/>
      <c r="S767" s="25"/>
      <c r="T767" s="25"/>
      <c r="U767" s="25"/>
      <c r="V767" s="25"/>
      <c r="W767" s="25"/>
      <c r="X767" s="25"/>
      <c r="Y767" s="25"/>
      <c r="Z767" s="25"/>
      <c r="AA767" s="25"/>
      <c r="AB767" s="25"/>
      <c r="AC767" s="25"/>
    </row>
    <row r="768">
      <c r="A768" s="24" t="str">
        <f>'DE ( Tarik barang retur )'!AC745</f>
        <v>AWBR-3319091329-01</v>
      </c>
      <c r="B768" s="24" t="str">
        <f>'DE ( Tarik barang retur )'!F745</f>
        <v>Apotek Qarnicare Sukamahi Cikarang Pusat</v>
      </c>
      <c r="C768" s="35">
        <f>'DE ( Tarik barang retur )'!G745</f>
        <v>6.28778E+17</v>
      </c>
      <c r="D768" s="24" t="str">
        <f>'DE ( Tarik barang retur )'!H745</f>
        <v>Kp. Cimahi RT. 007 RW. 004, Desa/Kelurahan Sukamahi, Kec. Cikarang Pusat, Kab. Bekasi</v>
      </c>
      <c r="E768" s="24" t="str">
        <f>'DE ( Tarik barang retur )'!D745</f>
        <v>TMP-INV-2026/06/11/ 2842667</v>
      </c>
      <c r="F768" s="24" t="str">
        <f>'DE ( Tarik barang retur )'!R745</f>
        <v>Invoice: TMP-INV-2026/06/11/ 2842667
1x CATAFLAM Novartis TABLET 25 MG Tarik Barang Retur</v>
      </c>
      <c r="G768" s="36">
        <f>'DE ( Tarik barang retur )'!AF745</f>
        <v>46186</v>
      </c>
      <c r="H768" s="22">
        <v>46187.0</v>
      </c>
      <c r="I768" s="22">
        <v>46187.0</v>
      </c>
      <c r="J768" s="21" t="s">
        <v>5294</v>
      </c>
      <c r="K768" s="24"/>
      <c r="L768" s="24"/>
      <c r="M768" s="24"/>
      <c r="N768" s="24"/>
      <c r="O768" s="24"/>
      <c r="P768" s="25"/>
      <c r="Q768" s="25"/>
      <c r="R768" s="25"/>
      <c r="S768" s="25"/>
      <c r="T768" s="25"/>
      <c r="U768" s="25"/>
      <c r="V768" s="25"/>
      <c r="W768" s="25"/>
      <c r="X768" s="25"/>
      <c r="Y768" s="25"/>
      <c r="Z768" s="25"/>
      <c r="AA768" s="25"/>
      <c r="AB768" s="25"/>
      <c r="AC768" s="25"/>
    </row>
    <row r="769">
      <c r="A769" s="24" t="str">
        <f>'DE ( Tarik barang retur )'!AC746</f>
        <v>AWBR-3318659750-01</v>
      </c>
      <c r="B769" s="24" t="str">
        <f>'DE ( Tarik barang retur )'!F746</f>
        <v>Apotek Kondang Sehat 2</v>
      </c>
      <c r="C769" s="35">
        <f>'DE ( Tarik barang retur )'!G746</f>
        <v>6.28213E+17</v>
      </c>
      <c r="D769" s="24" t="str">
        <f>'DE ( Tarik barang retur )'!H746</f>
        <v>Jalan KH. Fudholi Kp. Kebon Kopi RT. 02 RW. 06, Ruko AK 10 Desa Karangasih, Kecamatan Cikarang Utara, Kabupaten Bekasi, Jawa Barat 17530</v>
      </c>
      <c r="E769" s="24" t="str">
        <f>'DE ( Tarik barang retur )'!D746</f>
        <v>TMP-INV-2026/06/10/ 2837045</v>
      </c>
      <c r="F769" s="24" t="str">
        <f>'DE ( Tarik barang retur )'!R746</f>
        <v>Invoice: TMP-INV-2026/06/10/ 2837045
Full Return Tarik Barang Retur</v>
      </c>
      <c r="G769" s="36">
        <f>'DE ( Tarik barang retur )'!AF746</f>
        <v>46186</v>
      </c>
      <c r="H769" s="22">
        <v>46187.0</v>
      </c>
      <c r="I769" s="22">
        <v>46187.0</v>
      </c>
      <c r="J769" s="21" t="s">
        <v>5294</v>
      </c>
      <c r="K769" s="24"/>
      <c r="L769" s="24"/>
      <c r="M769" s="24"/>
      <c r="N769" s="24"/>
      <c r="O769" s="24"/>
      <c r="P769" s="25"/>
      <c r="Q769" s="25"/>
      <c r="R769" s="25"/>
      <c r="S769" s="25"/>
      <c r="T769" s="25"/>
      <c r="U769" s="25"/>
      <c r="V769" s="25"/>
      <c r="W769" s="25"/>
      <c r="X769" s="25"/>
      <c r="Y769" s="25"/>
      <c r="Z769" s="25"/>
      <c r="AA769" s="25"/>
      <c r="AB769" s="25"/>
      <c r="AC769" s="25"/>
    </row>
    <row r="770">
      <c r="A770" s="24" t="str">
        <f>'DE ( Tarik barang retur )'!AC747</f>
        <v>AWBR-3319217030-01</v>
      </c>
      <c r="B770" s="24" t="str">
        <f>'DE ( Tarik barang retur )'!F747</f>
        <v>Apotek Denma Inti Farma Tajurhalang Tajurhalang</v>
      </c>
      <c r="C770" s="35">
        <f>'DE ( Tarik barang retur )'!G747</f>
        <v>6.28521E+17</v>
      </c>
      <c r="D770" s="24" t="str">
        <f>'DE ( Tarik barang retur )'!H747</f>
        <v>Kp. Babakan RT. 01 RW. 03 Desa Tajur Halang Kec. Tajur Halang Kab. Bogor 16320</v>
      </c>
      <c r="E770" s="24" t="str">
        <f>'DE ( Tarik barang retur )'!D747</f>
        <v>TMP-INV-2026/06/12/ 2846556</v>
      </c>
      <c r="F770" s="24" t="str">
        <f>'DE ( Tarik barang retur )'!R747</f>
        <v>Invoice: TMP-INV-2026/06/12/ 2846556
1x ENERVON ACTIVE Darya-Varia TABLET Tarik Barang Retur</v>
      </c>
      <c r="G770" s="36">
        <f>'DE ( Tarik barang retur )'!AF747</f>
        <v>46186</v>
      </c>
      <c r="H770" s="22">
        <v>46186.0</v>
      </c>
      <c r="I770" s="22">
        <v>46187.0</v>
      </c>
      <c r="J770" s="21" t="s">
        <v>5294</v>
      </c>
      <c r="K770" s="24"/>
      <c r="L770" s="24"/>
      <c r="M770" s="24"/>
      <c r="N770" s="24"/>
      <c r="O770" s="24"/>
      <c r="P770" s="25"/>
      <c r="Q770" s="25"/>
      <c r="R770" s="25"/>
      <c r="S770" s="25"/>
      <c r="T770" s="25"/>
      <c r="U770" s="25"/>
      <c r="V770" s="25"/>
      <c r="W770" s="25"/>
      <c r="X770" s="25"/>
      <c r="Y770" s="25"/>
      <c r="Z770" s="25"/>
      <c r="AA770" s="25"/>
      <c r="AB770" s="25"/>
      <c r="AC770" s="25"/>
    </row>
    <row r="771">
      <c r="A771" s="24" t="str">
        <f>'DE ( Tarik barang retur )'!AC748</f>
        <v>AWBR-3319132737-01</v>
      </c>
      <c r="B771" s="24" t="str">
        <f>'DE ( Tarik barang retur )'!F748</f>
        <v>Apotek Ritaka Farma</v>
      </c>
      <c r="C771" s="35">
        <f>'DE ( Tarik barang retur )'!G748</f>
        <v>6.28979E+16</v>
      </c>
      <c r="D771" s="24" t="str">
        <f>'DE ( Tarik barang retur )'!H748</f>
        <v>Jl. Pasar Ciluar, Lebak Pasar RT. 02 RW. 02 Desa Pasirlaja Kec. Sukaraja Kab. Bogor 16711</v>
      </c>
      <c r="E771" s="24" t="str">
        <f>'DE ( Tarik barang retur )'!D748</f>
        <v>TMP-INV-2026/06/11/ 2842132</v>
      </c>
      <c r="F771" s="24" t="str">
        <f>'DE ( Tarik barang retur )'!R748</f>
        <v>Invoice: TMP-INV-2026/06/11/ 2842132
1x IMBOOST EXTRA VIT C dan D3 Soho KAPLET Tarik Barang Retur</v>
      </c>
      <c r="G771" s="36">
        <f>'DE ( Tarik barang retur )'!AF748</f>
        <v>46186</v>
      </c>
      <c r="H771" s="22">
        <v>46186.0</v>
      </c>
      <c r="I771" s="22">
        <v>46187.0</v>
      </c>
      <c r="J771" s="21" t="s">
        <v>5294</v>
      </c>
      <c r="K771" s="24"/>
      <c r="L771" s="24"/>
      <c r="M771" s="24"/>
      <c r="N771" s="24"/>
      <c r="O771" s="24"/>
      <c r="P771" s="25"/>
      <c r="Q771" s="25"/>
      <c r="R771" s="25"/>
      <c r="S771" s="25"/>
      <c r="T771" s="25"/>
      <c r="U771" s="25"/>
      <c r="V771" s="25"/>
      <c r="W771" s="25"/>
      <c r="X771" s="25"/>
      <c r="Y771" s="25"/>
      <c r="Z771" s="25"/>
      <c r="AA771" s="25"/>
      <c r="AB771" s="25"/>
      <c r="AC771" s="25"/>
    </row>
    <row r="772">
      <c r="A772" s="24" t="str">
        <f>'DE ( Tarik barang retur )'!AC749</f>
        <v>AWBR-3318785744-01</v>
      </c>
      <c r="B772" s="24" t="str">
        <f>'DE ( Tarik barang retur )'!F749</f>
        <v>Apotek Bukit Asri</v>
      </c>
      <c r="C772" s="35">
        <f>'DE ( Tarik barang retur )'!G749</f>
        <v>8128125437</v>
      </c>
      <c r="D772" s="24" t="str">
        <f>'DE ( Tarik barang retur )'!H749</f>
        <v>Ruko Perumahan Bukit Asri Baru Blok A No.6 Kelurahan Pabuaran Kecamatan Cibinong Bogor 16916</v>
      </c>
      <c r="E772" s="24" t="str">
        <f>'DE ( Tarik barang retur )'!D749</f>
        <v>TMP-INV-2026/05/25/ 2782436</v>
      </c>
      <c r="F772" s="24" t="str">
        <f>'DE ( Tarik barang retur )'!R749</f>
        <v>Invoice: TMP-INV-2026/05/25/ 2782436
12x TRINORDIOL-28 Sunthi TABLET Tarik Barang Retur</v>
      </c>
      <c r="G772" s="36">
        <f>'DE ( Tarik barang retur )'!AF749</f>
        <v>46186</v>
      </c>
      <c r="H772" s="22">
        <v>46186.0</v>
      </c>
      <c r="I772" s="22">
        <v>46187.0</v>
      </c>
      <c r="J772" s="21" t="s">
        <v>5294</v>
      </c>
      <c r="K772" s="24"/>
      <c r="L772" s="24"/>
      <c r="M772" s="24"/>
      <c r="N772" s="24"/>
      <c r="O772" s="24"/>
      <c r="P772" s="25"/>
      <c r="Q772" s="25"/>
      <c r="R772" s="25"/>
      <c r="S772" s="25"/>
      <c r="T772" s="25"/>
      <c r="U772" s="25"/>
      <c r="V772" s="25"/>
      <c r="W772" s="25"/>
      <c r="X772" s="25"/>
      <c r="Y772" s="25"/>
      <c r="Z772" s="25"/>
      <c r="AA772" s="25"/>
      <c r="AB772" s="25"/>
      <c r="AC772" s="25"/>
    </row>
    <row r="773">
      <c r="A773" s="24" t="str">
        <f>'DE ( Tarik barang retur )'!AC750</f>
        <v>AWBR-3318667690-01</v>
      </c>
      <c r="B773" s="24" t="str">
        <f>'DE ( Tarik barang retur )'!F750</f>
        <v>Apotek Meda Ciangsana Gn Putri</v>
      </c>
      <c r="C773" s="35">
        <f>'DE ( Tarik barang retur )'!G750</f>
        <v>82167781188</v>
      </c>
      <c r="D773" s="24" t="str">
        <f>'DE ( Tarik barang retur )'!H750</f>
        <v>Ruko Sentra Eropa Blok E No. 24 Kota Wisata Desa Ciangsana Kec. Gunung Putri Kab. Bogor 16968</v>
      </c>
      <c r="E773" s="24" t="str">
        <f>'DE ( Tarik barang retur )'!D750</f>
        <v>TMP-INV-2026/06/03/ 2813414</v>
      </c>
      <c r="F773" s="24" t="str">
        <f>'DE ( Tarik barang retur )'!R750</f>
        <v>Invoice: TMP-INV-2026/06/03/ 2813414
1x CORMEGA Pertiwi Agung KAPSUL
5x POLAR BEAR MINYAK ANGIN Perdana Sakti Tarik Barang Retur</v>
      </c>
      <c r="G773" s="36">
        <f>'DE ( Tarik barang retur )'!AF750</f>
        <v>46186</v>
      </c>
      <c r="H773" s="22">
        <v>46186.0</v>
      </c>
      <c r="I773" s="22">
        <v>46187.0</v>
      </c>
      <c r="J773" s="21" t="s">
        <v>5294</v>
      </c>
      <c r="K773" s="24"/>
      <c r="L773" s="24"/>
      <c r="M773" s="24"/>
      <c r="N773" s="24"/>
      <c r="O773" s="24"/>
      <c r="P773" s="25"/>
      <c r="Q773" s="25"/>
      <c r="R773" s="25"/>
      <c r="S773" s="25"/>
      <c r="T773" s="25"/>
      <c r="U773" s="25"/>
      <c r="V773" s="25"/>
      <c r="W773" s="25"/>
      <c r="X773" s="25"/>
      <c r="Y773" s="25"/>
      <c r="Z773" s="25"/>
      <c r="AA773" s="25"/>
      <c r="AB773" s="25"/>
      <c r="AC773" s="25"/>
    </row>
    <row r="774">
      <c r="A774" s="24" t="str">
        <f>'DE ( Tarik barang retur )'!AC751</f>
        <v>AWBR-3318607077-01</v>
      </c>
      <c r="B774" s="24" t="str">
        <f>'DE ( Tarik barang retur )'!F751</f>
        <v>Apotek Efada Farma</v>
      </c>
      <c r="C774" s="35">
        <f>'DE ( Tarik barang retur )'!G751</f>
        <v>81294412824</v>
      </c>
      <c r="D774" s="24" t="str">
        <f>'DE ( Tarik barang retur )'!H751</f>
        <v>Ruko Graha Kartika Pratama Blok J-5 Desa Bojong Gede Kec. Bojong Gede Kab. Bogor 16922</v>
      </c>
      <c r="E774" s="24" t="str">
        <f>'DE ( Tarik barang retur )'!D751</f>
        <v>TMP-INV-2026/06/06/ 2825306</v>
      </c>
      <c r="F774" s="24" t="str">
        <f>'DE ( Tarik barang retur )'!R751</f>
        <v>Invoice: TMP-INV-2026/06/06/ 2825306
1x SALONPAS Hisamitsu Tarik Barang Retur</v>
      </c>
      <c r="G774" s="36">
        <f>'DE ( Tarik barang retur )'!AF751</f>
        <v>46186</v>
      </c>
      <c r="H774" s="22">
        <v>46186.0</v>
      </c>
      <c r="I774" s="22">
        <v>46187.0</v>
      </c>
      <c r="J774" s="21" t="s">
        <v>5294</v>
      </c>
      <c r="K774" s="24"/>
      <c r="L774" s="24"/>
      <c r="M774" s="24"/>
      <c r="N774" s="24"/>
      <c r="O774" s="24"/>
      <c r="P774" s="25"/>
      <c r="Q774" s="25"/>
      <c r="R774" s="25"/>
      <c r="S774" s="25"/>
      <c r="T774" s="25"/>
      <c r="U774" s="25"/>
      <c r="V774" s="25"/>
      <c r="W774" s="25"/>
      <c r="X774" s="25"/>
      <c r="Y774" s="25"/>
      <c r="Z774" s="25"/>
      <c r="AA774" s="25"/>
      <c r="AB774" s="25"/>
      <c r="AC774" s="25"/>
    </row>
    <row r="775">
      <c r="A775" s="24" t="str">
        <f>'DE ( Tarik barang retur )'!AC752</f>
        <v>AWBR-3318653267-01</v>
      </c>
      <c r="B775" s="24" t="str">
        <f>'DE ( Tarik barang retur )'!F752</f>
        <v>Apotek Kita Sehat Bayalangu Gegesik Kidul Gegesik</v>
      </c>
      <c r="C775" s="35">
        <f>'DE ( Tarik barang retur )'!G752</f>
        <v>6.28193E+17</v>
      </c>
      <c r="D775" s="24" t="str">
        <f>'DE ( Tarik barang retur )'!H752</f>
        <v>Jl. Arjawinangun Jagapura Desa Gegesik Kidul Kec. Gegesik Kab Cirebon</v>
      </c>
      <c r="E775" s="24" t="str">
        <f>'DE ( Tarik barang retur )'!D752</f>
        <v>TMP-INV-2026/06/08/ 2829624</v>
      </c>
      <c r="F775" s="24" t="str">
        <f>'DE ( Tarik barang retur )'!R752</f>
        <v>Invoice: TMP-INV-2026/06/08/ 2829624
1x PHARMATON GO Saka KAPLET Tarik Barang Retur</v>
      </c>
      <c r="G775" s="36">
        <f>'DE ( Tarik barang retur )'!AF752</f>
        <v>46186</v>
      </c>
      <c r="H775" s="22">
        <v>46186.0</v>
      </c>
      <c r="I775" s="22">
        <v>46188.0</v>
      </c>
      <c r="J775" s="21" t="s">
        <v>5294</v>
      </c>
      <c r="K775" s="24"/>
      <c r="L775" s="24"/>
      <c r="M775" s="24"/>
      <c r="N775" s="24"/>
      <c r="O775" s="24"/>
      <c r="P775" s="25"/>
      <c r="Q775" s="25"/>
      <c r="R775" s="25"/>
      <c r="S775" s="25"/>
      <c r="T775" s="25"/>
      <c r="U775" s="25"/>
      <c r="V775" s="25"/>
      <c r="W775" s="25"/>
      <c r="X775" s="25"/>
      <c r="Y775" s="25"/>
      <c r="Z775" s="25"/>
      <c r="AA775" s="25"/>
      <c r="AB775" s="25"/>
      <c r="AC775" s="25"/>
    </row>
    <row r="776">
      <c r="A776" s="24" t="str">
        <f>'DE ( Tarik barang retur )'!AC753</f>
        <v>AWBR-3319146615-01</v>
      </c>
      <c r="B776" s="24" t="str">
        <f>'DE ( Tarik barang retur )'!F753</f>
        <v>Apotek K24 Jatimakmur Jatimakmur Pondok Gede</v>
      </c>
      <c r="C776" s="35">
        <f>'DE ( Tarik barang retur )'!G753</f>
        <v>6.28198E+16</v>
      </c>
      <c r="D776" s="24" t="str">
        <f>'DE ( Tarik barang retur )'!H753</f>
        <v>Komplek Ruko Jatimakmur Residence Blok A No. 9 Rt/Rw : 001/RW 20, Desa/Kel. Jatimakmur, Kec. Pondokgede, Kota Bekasi</v>
      </c>
      <c r="E776" s="24" t="str">
        <f>'DE ( Tarik barang retur )'!D753</f>
        <v>TMP-INV-2026/06/03/ 2813743</v>
      </c>
      <c r="F776" s="24" t="str">
        <f>'DE ( Tarik barang retur )'!R753</f>
        <v>Invoice: TMP-INV-2026/06/03/ 2813743
6x AMLODIPINE BESILATE Novell TABLET 5 MG Tarik Barang Retur</v>
      </c>
      <c r="G776" s="36">
        <f>'DE ( Tarik barang retur )'!AF753</f>
        <v>46186</v>
      </c>
      <c r="H776" s="22">
        <v>46187.0</v>
      </c>
      <c r="I776" s="22">
        <v>46187.0</v>
      </c>
      <c r="J776" s="21" t="s">
        <v>5294</v>
      </c>
      <c r="K776" s="24"/>
      <c r="L776" s="24"/>
      <c r="M776" s="24"/>
      <c r="N776" s="24"/>
      <c r="O776" s="24"/>
      <c r="P776" s="25"/>
      <c r="Q776" s="25"/>
      <c r="R776" s="25"/>
      <c r="S776" s="25"/>
      <c r="T776" s="25"/>
      <c r="U776" s="25"/>
      <c r="V776" s="25"/>
      <c r="W776" s="25"/>
      <c r="X776" s="25"/>
      <c r="Y776" s="25"/>
      <c r="Z776" s="25"/>
      <c r="AA776" s="25"/>
      <c r="AB776" s="25"/>
      <c r="AC776" s="25"/>
    </row>
    <row r="777">
      <c r="A777" s="24" t="str">
        <f>'DE ( Tarik barang retur )'!AC754</f>
        <v>AWBR-3319140600-01</v>
      </c>
      <c r="B777" s="24" t="str">
        <f>'DE ( Tarik barang retur )'!F754</f>
        <v>Apotek Sehat Bersama 4 Jatimakmur Pd Gede</v>
      </c>
      <c r="C777" s="35">
        <f>'DE ( Tarik barang retur )'!G754</f>
        <v>6.28789E+17</v>
      </c>
      <c r="D777" s="24" t="str">
        <f>'DE ( Tarik barang retur )'!H754</f>
        <v>Jl Raya Jati Makmur, Ruko Pesona Taman Mini Blok B1 no 7 RT 001 RW 23, Desa/Kel. Jatimakmur, Kec. Pondokgede, Kota Bekasi</v>
      </c>
      <c r="E777" s="24" t="str">
        <f>'DE ( Tarik barang retur )'!D754</f>
        <v>TMP-INV-2026/06/02/ 2809159</v>
      </c>
      <c r="F777" s="24" t="str">
        <f>'DE ( Tarik barang retur )'!R754</f>
        <v>Invoice: TMP-INV-2026/06/02/ 2809159
1x INPEPSA Pratapa Nirmala SUSPENSI 500 MG/5 ML Tarik Barang Retur</v>
      </c>
      <c r="G777" s="36">
        <f>'DE ( Tarik barang retur )'!AF754</f>
        <v>46186</v>
      </c>
      <c r="H777" s="22">
        <v>46187.0</v>
      </c>
      <c r="I777" s="22">
        <v>46187.0</v>
      </c>
      <c r="J777" s="21" t="s">
        <v>5294</v>
      </c>
      <c r="K777" s="24"/>
      <c r="L777" s="24"/>
      <c r="M777" s="24"/>
      <c r="N777" s="24"/>
      <c r="O777" s="24"/>
      <c r="P777" s="25"/>
      <c r="Q777" s="25"/>
      <c r="R777" s="25"/>
      <c r="S777" s="25"/>
      <c r="T777" s="25"/>
      <c r="U777" s="25"/>
      <c r="V777" s="25"/>
      <c r="W777" s="25"/>
      <c r="X777" s="25"/>
      <c r="Y777" s="25"/>
      <c r="Z777" s="25"/>
      <c r="AA777" s="25"/>
      <c r="AB777" s="25"/>
      <c r="AC777" s="25"/>
    </row>
    <row r="778">
      <c r="A778" s="24" t="str">
        <f>'DE ( Tarik barang retur )'!AC755</f>
        <v>AWBR-3319128626-01</v>
      </c>
      <c r="B778" s="24" t="str">
        <f>'DE ( Tarik barang retur )'!F755</f>
        <v>Apotek Sehat Bersama 4 Jatimakmur Pd Gede</v>
      </c>
      <c r="C778" s="35">
        <f>'DE ( Tarik barang retur )'!G755</f>
        <v>6.28789E+17</v>
      </c>
      <c r="D778" s="24" t="str">
        <f>'DE ( Tarik barang retur )'!H755</f>
        <v>Jl Raya Jati Makmur, Ruko Pesona Taman Mini Blok B1 no 7 RT 001 RW 23, Desa/Kel. Jatimakmur, Kec. Pondokgede, Kota Bekasi</v>
      </c>
      <c r="E778" s="24" t="str">
        <f>'DE ( Tarik barang retur )'!D755</f>
        <v>TMP-INV-2026/05/04/ 2707587</v>
      </c>
      <c r="F778" s="24" t="str">
        <f>'DE ( Tarik barang retur )'!R755</f>
        <v>Invoice: TMP-INV-2026/05/04/ 2707587
3x MINYAK ANGIN CAP KAPAK Yahi Utama Tarik Barang Retur</v>
      </c>
      <c r="G778" s="36">
        <f>'DE ( Tarik barang retur )'!AF755</f>
        <v>46186</v>
      </c>
      <c r="H778" s="22">
        <v>46187.0</v>
      </c>
      <c r="I778" s="22">
        <v>46187.0</v>
      </c>
      <c r="J778" s="21" t="s">
        <v>5294</v>
      </c>
      <c r="K778" s="24"/>
      <c r="L778" s="24"/>
      <c r="M778" s="24"/>
      <c r="N778" s="24"/>
      <c r="O778" s="24"/>
      <c r="P778" s="25"/>
      <c r="Q778" s="25"/>
      <c r="R778" s="25"/>
      <c r="S778" s="25"/>
      <c r="T778" s="25"/>
      <c r="U778" s="25"/>
      <c r="V778" s="25"/>
      <c r="W778" s="25"/>
      <c r="X778" s="25"/>
      <c r="Y778" s="25"/>
      <c r="Z778" s="25"/>
      <c r="AA778" s="25"/>
      <c r="AB778" s="25"/>
      <c r="AC778" s="25"/>
    </row>
    <row r="779">
      <c r="A779" s="24" t="str">
        <f>'DE ( Tarik barang retur )'!AC756</f>
        <v>AWBR-3318584545-01</v>
      </c>
      <c r="B779" s="24" t="str">
        <f>'DE ( Tarik barang retur )'!F756</f>
        <v>Apotek K24 Bintara Bekasi Bintara Bekasi Barat</v>
      </c>
      <c r="C779" s="35">
        <f>'DE ( Tarik barang retur )'!G756</f>
        <v>6.28821E+17</v>
      </c>
      <c r="D779" s="24" t="str">
        <f>'DE ( Tarik barang retur )'!H756</f>
        <v>Jln Raya Bintara No 5 RT 001 RW 008, Desa/Kelurahan Bintara, Kec. Bekasi Barat, Kota Bekasi</v>
      </c>
      <c r="E779" s="24" t="str">
        <f>'DE ( Tarik barang retur )'!D756</f>
        <v>TMP-INV-2026/06/10/ 2838639</v>
      </c>
      <c r="F779" s="24" t="str">
        <f>'DE ( Tarik barang retur )'!R756</f>
        <v>Invoice: TMP-INV-2026/06/10/ 2838639
5x MINOSEP MILD Minorock OBAT KUMUR
6x MINOSEP MILD Minorock OBAT KUMUR Tarik Barang Retur</v>
      </c>
      <c r="G779" s="36">
        <f>'DE ( Tarik barang retur )'!AF756</f>
        <v>46186</v>
      </c>
      <c r="H779" s="22">
        <v>46187.0</v>
      </c>
      <c r="I779" s="22">
        <v>46187.0</v>
      </c>
      <c r="J779" s="21" t="s">
        <v>5294</v>
      </c>
      <c r="K779" s="24"/>
      <c r="L779" s="24"/>
      <c r="M779" s="24"/>
      <c r="N779" s="24"/>
      <c r="O779" s="24"/>
      <c r="P779" s="25"/>
      <c r="Q779" s="25"/>
      <c r="R779" s="25"/>
      <c r="S779" s="25"/>
      <c r="T779" s="25"/>
      <c r="U779" s="25"/>
      <c r="V779" s="25"/>
      <c r="W779" s="25"/>
      <c r="X779" s="25"/>
      <c r="Y779" s="25"/>
      <c r="Z779" s="25"/>
      <c r="AA779" s="25"/>
      <c r="AB779" s="25"/>
      <c r="AC779" s="25"/>
    </row>
    <row r="780">
      <c r="A780" s="24" t="str">
        <f>'DE ( Tarik barang retur )'!AC757</f>
        <v>AWBR-3319086144-01</v>
      </c>
      <c r="B780" s="24" t="str">
        <f>'DE ( Tarik barang retur )'!F757</f>
        <v>Apotek K24 Cilendek Cilendek Barat Bogor Barat</v>
      </c>
      <c r="C780" s="35">
        <f>'DE ( Tarik barang retur )'!G757</f>
        <v>6.28119E+17</v>
      </c>
      <c r="D780" s="24" t="str">
        <f>'DE ( Tarik barang retur )'!H757</f>
        <v>Jl. Brigjen Saptaji Hadiprawira No. 20 RT. 002 RW. 007. Kel.Cilendek Barat, Kec. Bogor Barat, Kota Bogor</v>
      </c>
      <c r="E780" s="24" t="str">
        <f>'DE ( Tarik barang retur )'!D757</f>
        <v>TMP-INV-2026/06/10/ 2839169</v>
      </c>
      <c r="F780" s="24" t="str">
        <f>'DE ( Tarik barang retur )'!R757</f>
        <v>Invoice: TMP-INV-2026/06/10/ 2839169
1x SYMBICORT TURBUHALER AstraZeneca SERBUK INHALASI 160 MCG /4.5 MCG Tarik Barang Retur</v>
      </c>
      <c r="G780" s="36">
        <f>'DE ( Tarik barang retur )'!AF757</f>
        <v>46186</v>
      </c>
      <c r="H780" s="22">
        <v>46186.0</v>
      </c>
      <c r="I780" s="22">
        <v>46188.0</v>
      </c>
      <c r="J780" s="21" t="s">
        <v>5294</v>
      </c>
      <c r="K780" s="24"/>
      <c r="L780" s="24"/>
      <c r="M780" s="24"/>
      <c r="N780" s="24"/>
      <c r="O780" s="24"/>
      <c r="P780" s="25"/>
      <c r="Q780" s="25"/>
      <c r="R780" s="25"/>
      <c r="S780" s="25"/>
      <c r="T780" s="25"/>
      <c r="U780" s="25"/>
      <c r="V780" s="25"/>
      <c r="W780" s="25"/>
      <c r="X780" s="25"/>
      <c r="Y780" s="25"/>
      <c r="Z780" s="25"/>
      <c r="AA780" s="25"/>
      <c r="AB780" s="25"/>
      <c r="AC780" s="25"/>
    </row>
    <row r="781">
      <c r="A781" s="24" t="str">
        <f>'DE ( Tarik barang retur )'!AC758</f>
        <v>AWBR-3318596663-01</v>
      </c>
      <c r="B781" s="24" t="str">
        <f>'DE ( Tarik barang retur )'!F758</f>
        <v>Apotek Sumber Sehat 3</v>
      </c>
      <c r="C781" s="35">
        <f>'DE ( Tarik barang retur )'!G758</f>
        <v>6.28132E+17</v>
      </c>
      <c r="D781" s="24" t="str">
        <f>'DE ( Tarik barang retur )'!H758</f>
        <v>Jl Perjuangan No.6 Kel. Karyamulya, Kec. Kesambi, Kota Cirebon, Jawa Barat 45135</v>
      </c>
      <c r="E781" s="24" t="str">
        <f>'DE ( Tarik barang retur )'!D758</f>
        <v>TMP-INV-2026/06/09/ 2833122</v>
      </c>
      <c r="F781" s="24" t="str">
        <f>'DE ( Tarik barang retur )'!R758</f>
        <v>Invoice: TMP-INV-2026/06/09/ 2833122
5x MINOSEP RED Minorock OBAT KUMUR Tarik Barang Retur</v>
      </c>
      <c r="G781" s="36">
        <f>'DE ( Tarik barang retur )'!AF758</f>
        <v>46186</v>
      </c>
      <c r="H781" s="22">
        <v>46186.0</v>
      </c>
      <c r="I781" s="22">
        <v>46188.0</v>
      </c>
      <c r="J781" s="21" t="s">
        <v>5294</v>
      </c>
      <c r="K781" s="24"/>
      <c r="L781" s="24"/>
      <c r="M781" s="24"/>
      <c r="N781" s="24"/>
      <c r="O781" s="24"/>
      <c r="P781" s="25"/>
      <c r="Q781" s="25"/>
      <c r="R781" s="25"/>
      <c r="S781" s="25"/>
      <c r="T781" s="25"/>
      <c r="U781" s="25"/>
      <c r="V781" s="25"/>
      <c r="W781" s="25"/>
      <c r="X781" s="25"/>
      <c r="Y781" s="25"/>
      <c r="Z781" s="25"/>
      <c r="AA781" s="25"/>
      <c r="AB781" s="25"/>
      <c r="AC781" s="25"/>
    </row>
    <row r="782">
      <c r="A782" s="24" t="str">
        <f>'DE ( Tarik barang retur )'!AC759</f>
        <v>AWBR-3319151613-01</v>
      </c>
      <c r="B782" s="24" t="str">
        <f>'DE ( Tarik barang retur )'!F759</f>
        <v>Apotek dr Anne Harjamukti Cimanggis</v>
      </c>
      <c r="C782" s="35">
        <f>'DE ( Tarik barang retur )'!G759</f>
        <v>6.28228E+17</v>
      </c>
      <c r="D782" s="24" t="str">
        <f>'DE ( Tarik barang retur )'!H759</f>
        <v>Kav Pertamina No. 94-96, Jl Tumaritis 1 Kel. Harjamukti Kec. Cimanggis Kota Depok</v>
      </c>
      <c r="E782" s="24" t="str">
        <f>'DE ( Tarik barang retur )'!D759</f>
        <v>TMP-INV-2025/09/24/ 1959478</v>
      </c>
      <c r="F782" s="24" t="str">
        <f>'DE ( Tarik barang retur )'!R759</f>
        <v>Invoice: TMP-INV-2025/09/24/ 1959478
1x LACTOGEN LACTOSE FREE Nestle Tarik Barang Retur</v>
      </c>
      <c r="G782" s="36">
        <f>'DE ( Tarik barang retur )'!AF759</f>
        <v>46186</v>
      </c>
      <c r="H782" s="22">
        <v>46186.0</v>
      </c>
      <c r="I782" s="22">
        <v>46188.0</v>
      </c>
      <c r="J782" s="21" t="s">
        <v>5294</v>
      </c>
      <c r="K782" s="24"/>
      <c r="L782" s="24"/>
      <c r="M782" s="24"/>
      <c r="N782" s="24"/>
      <c r="O782" s="24"/>
      <c r="P782" s="25"/>
      <c r="Q782" s="25"/>
      <c r="R782" s="25"/>
      <c r="S782" s="25"/>
      <c r="T782" s="25"/>
      <c r="U782" s="25"/>
      <c r="V782" s="25"/>
      <c r="W782" s="25"/>
      <c r="X782" s="25"/>
      <c r="Y782" s="25"/>
      <c r="Z782" s="25"/>
      <c r="AA782" s="25"/>
      <c r="AB782" s="25"/>
      <c r="AC782" s="25"/>
    </row>
    <row r="783">
      <c r="A783" s="24" t="str">
        <f>'DE ( Tarik barang retur )'!AC760</f>
        <v>AWBR-3319148242-01</v>
      </c>
      <c r="B783" s="24" t="str">
        <f>'DE ( Tarik barang retur )'!F760</f>
        <v>Klinik dr Hurus Pancoran Mas Pancoran Mas</v>
      </c>
      <c r="C783" s="35">
        <f>'DE ( Tarik barang retur )'!G760</f>
        <v>6.28788E+17</v>
      </c>
      <c r="D783" s="24" t="str">
        <f>'DE ( Tarik barang retur )'!H760</f>
        <v>Jl. Pitara Raya No 06 RT 003 RW 015 Kel. Pancoran Mas Kec. Pancoran Mas Kota Depok</v>
      </c>
      <c r="E783" s="24" t="str">
        <f>'DE ( Tarik barang retur )'!D760</f>
        <v>TMP-INV-2026/06/03/ 2813789</v>
      </c>
      <c r="F783" s="24" t="str">
        <f>'DE ( Tarik barang retur )'!R760</f>
        <v>Invoice: TMP-INV-2026/06/03/ 2813789
15x GRAFAMIC Graha Farma KAPLET 500 MG Tarik Barang Retur</v>
      </c>
      <c r="G783" s="36">
        <f>'DE ( Tarik barang retur )'!AF760</f>
        <v>46186</v>
      </c>
      <c r="H783" s="22">
        <v>46186.0</v>
      </c>
      <c r="I783" s="22">
        <v>46187.0</v>
      </c>
      <c r="J783" s="21" t="s">
        <v>5294</v>
      </c>
      <c r="K783" s="24"/>
      <c r="L783" s="24"/>
      <c r="M783" s="24"/>
      <c r="N783" s="24"/>
      <c r="O783" s="24"/>
      <c r="P783" s="25"/>
      <c r="Q783" s="25"/>
      <c r="R783" s="25"/>
      <c r="S783" s="25"/>
      <c r="T783" s="25"/>
      <c r="U783" s="25"/>
      <c r="V783" s="25"/>
      <c r="W783" s="25"/>
      <c r="X783" s="25"/>
      <c r="Y783" s="25"/>
      <c r="Z783" s="25"/>
      <c r="AA783" s="25"/>
      <c r="AB783" s="25"/>
      <c r="AC783" s="25"/>
    </row>
    <row r="784">
      <c r="A784" s="24" t="str">
        <f>'DE ( Tarik barang retur )'!AC761</f>
        <v>AWBR-3319134197-01</v>
      </c>
      <c r="B784" s="24" t="str">
        <f>'DE ( Tarik barang retur )'!F761</f>
        <v>Apotek Cemara Sehat Grogol Limo</v>
      </c>
      <c r="C784" s="35">
        <f>'DE ( Tarik barang retur )'!G761</f>
        <v>6.28121E+17</v>
      </c>
      <c r="D784" s="24" t="str">
        <f>'DE ( Tarik barang retur )'!H761</f>
        <v>Jl. Cemara No. 10 RT. 003 RW. 007, Desa/Kelurahan Grogol, Kecamatan Limo, Kota Depok</v>
      </c>
      <c r="E784" s="24" t="str">
        <f>'DE ( Tarik barang retur )'!D761</f>
        <v>TMP-INV-2026/06/06/ 2825662</v>
      </c>
      <c r="F784" s="24" t="str">
        <f>'DE ( Tarik barang retur )'!R761</f>
        <v>Invoice: TMP-INV-2026/06/06/ 2825662
Full Return Tarik Barang Retur</v>
      </c>
      <c r="G784" s="36">
        <f>'DE ( Tarik barang retur )'!AF761</f>
        <v>46186</v>
      </c>
      <c r="H784" s="22">
        <v>46186.0</v>
      </c>
      <c r="I784" s="22">
        <v>46187.0</v>
      </c>
      <c r="J784" s="21" t="s">
        <v>5294</v>
      </c>
      <c r="K784" s="24"/>
      <c r="L784" s="24"/>
      <c r="M784" s="24"/>
      <c r="N784" s="24"/>
      <c r="O784" s="24"/>
      <c r="P784" s="25"/>
      <c r="Q784" s="25"/>
      <c r="R784" s="25"/>
      <c r="S784" s="25"/>
      <c r="T784" s="25"/>
      <c r="U784" s="25"/>
      <c r="V784" s="25"/>
      <c r="W784" s="25"/>
      <c r="X784" s="25"/>
      <c r="Y784" s="25"/>
      <c r="Z784" s="25"/>
      <c r="AA784" s="25"/>
      <c r="AB784" s="25"/>
      <c r="AC784" s="25"/>
    </row>
    <row r="785">
      <c r="A785" s="24" t="str">
        <f>'DE ( Tarik barang retur )'!AC762</f>
        <v>AWBR-3319085619-01</v>
      </c>
      <c r="B785" s="24" t="str">
        <f>'DE ( Tarik barang retur )'!F762</f>
        <v>Apotek Berlian Farma Rasamala Bakti Jaya Sukmajaya</v>
      </c>
      <c r="C785" s="35">
        <f>'DE ( Tarik barang retur )'!G762</f>
        <v>6.28537E+17</v>
      </c>
      <c r="D785" s="24" t="str">
        <f>'DE ( Tarik barang retur )'!H762</f>
        <v>Jl. Rasamala Raya No. 423 Kel. Baktijaya Kec. Sukmajaya Kota Depok 16418</v>
      </c>
      <c r="E785" s="24" t="str">
        <f>'DE ( Tarik barang retur )'!D762</f>
        <v>TMP-INV-2026/06/11/ 2843855</v>
      </c>
      <c r="F785" s="24" t="str">
        <f>'DE ( Tarik barang retur )'!R762</f>
        <v>Invoice: TMP-INV-2026/06/11/ 2843855
11x BALSEM LANG Eagle Indo Tarik Barang Retur</v>
      </c>
      <c r="G785" s="36">
        <f>'DE ( Tarik barang retur )'!AF762</f>
        <v>46186</v>
      </c>
      <c r="H785" s="22">
        <v>46186.0</v>
      </c>
      <c r="I785" s="22">
        <v>46188.0</v>
      </c>
      <c r="J785" s="21" t="s">
        <v>5294</v>
      </c>
      <c r="K785" s="24"/>
      <c r="L785" s="24"/>
      <c r="M785" s="24"/>
      <c r="N785" s="24"/>
      <c r="O785" s="24"/>
      <c r="P785" s="25"/>
      <c r="Q785" s="25"/>
      <c r="R785" s="25"/>
      <c r="S785" s="25"/>
      <c r="T785" s="25"/>
      <c r="U785" s="25"/>
      <c r="V785" s="25"/>
      <c r="W785" s="25"/>
      <c r="X785" s="25"/>
      <c r="Y785" s="25"/>
      <c r="Z785" s="25"/>
      <c r="AA785" s="25"/>
      <c r="AB785" s="25"/>
      <c r="AC785" s="25"/>
    </row>
    <row r="786">
      <c r="A786" s="24" t="str">
        <f>'DE ( Tarik barang retur )'!AC763</f>
        <v>AWBR-3318585636-01</v>
      </c>
      <c r="B786" s="24" t="str">
        <f>'DE ( Tarik barang retur )'!F763</f>
        <v>Apotek Kejayaan Abadijaya Sukmajaya</v>
      </c>
      <c r="C786" s="35">
        <f>'DE ( Tarik barang retur )'!G763</f>
        <v>6.28128E+17</v>
      </c>
      <c r="D786" s="24" t="str">
        <f>'DE ( Tarik barang retur )'!H763</f>
        <v>Jl. Kejayaan No. 1 RT. 001 RW. 008,Desa/Kelurahan Abadijaya,Kecamatan Sukmajaya,Kota Depok,Jawa Barat,16417</v>
      </c>
      <c r="E786" s="24" t="str">
        <f>'DE ( Tarik barang retur )'!D763</f>
        <v>TMP-INV-2025/08/26/ 1868379</v>
      </c>
      <c r="F786" s="24" t="str">
        <f>'DE ( Tarik barang retur )'!R763</f>
        <v>Invoice: TMP-INV-2025/08/26/ 1868379
2x STIMUNO RASA ANGGUR Dexa Medica SIRUP Tarik Barang Retur</v>
      </c>
      <c r="G786" s="36">
        <f>'DE ( Tarik barang retur )'!AF763</f>
        <v>46186</v>
      </c>
      <c r="H786" s="22">
        <v>46186.0</v>
      </c>
      <c r="I786" s="22">
        <v>46188.0</v>
      </c>
      <c r="J786" s="21" t="s">
        <v>5294</v>
      </c>
      <c r="K786" s="24"/>
      <c r="L786" s="24"/>
      <c r="M786" s="24"/>
      <c r="N786" s="24"/>
      <c r="O786" s="24"/>
      <c r="P786" s="25"/>
      <c r="Q786" s="25"/>
      <c r="R786" s="25"/>
      <c r="S786" s="25"/>
      <c r="T786" s="25"/>
      <c r="U786" s="25"/>
      <c r="V786" s="25"/>
      <c r="W786" s="25"/>
      <c r="X786" s="25"/>
      <c r="Y786" s="25"/>
      <c r="Z786" s="25"/>
      <c r="AA786" s="25"/>
      <c r="AB786" s="25"/>
      <c r="AC786" s="25"/>
    </row>
    <row r="787">
      <c r="A787" s="24" t="str">
        <f>'DE ( Tarik barang retur )'!AC764</f>
        <v>AWBR-14016-2026-6-13-01</v>
      </c>
      <c r="B787" s="24" t="str">
        <f>'DE ( Tarik barang retur )'!F764</f>
        <v>Apotek Inofarma Fajar Baru</v>
      </c>
      <c r="C787" s="35">
        <f>'DE ( Tarik barang retur )'!G764</f>
        <v>6.28129E+17</v>
      </c>
      <c r="D787" s="24" t="str">
        <f>'DE ( Tarik barang retur )'!H764</f>
        <v>Jl. Fajar Baru Selatan No. 70, RT 12 RW 12, Kel. Cengkareng Timur, Kec. Cengkareng Kota, Jakarta Barat</v>
      </c>
      <c r="E787" s="24" t="str">
        <f>'DE ( Tarik barang retur )'!D764</f>
        <v>TMP-INV-2026/06/12/ 2844600</v>
      </c>
      <c r="F787" s="24" t="str">
        <f>'DE ( Tarik barang retur )'!R764</f>
        <v>TMP-INV-2026/06/12/ 2844600 SURBEX Z Abbott TABLET DUS, 5 STRIP @ 6 TABLET SALUT SELAPUT Tarik Barang Retur</v>
      </c>
      <c r="G787" s="36">
        <f>'DE ( Tarik barang retur )'!AF764</f>
        <v>46186</v>
      </c>
      <c r="H787" s="22">
        <v>46186.0</v>
      </c>
      <c r="I787" s="22">
        <v>46187.0</v>
      </c>
      <c r="J787" s="21" t="s">
        <v>5294</v>
      </c>
      <c r="K787" s="24"/>
      <c r="L787" s="24"/>
      <c r="M787" s="24"/>
      <c r="N787" s="24"/>
      <c r="O787" s="24"/>
      <c r="P787" s="25"/>
      <c r="Q787" s="25"/>
      <c r="R787" s="25"/>
      <c r="S787" s="25"/>
      <c r="T787" s="25"/>
      <c r="U787" s="25"/>
      <c r="V787" s="25"/>
      <c r="W787" s="25"/>
      <c r="X787" s="25"/>
      <c r="Y787" s="25"/>
      <c r="Z787" s="25"/>
      <c r="AA787" s="25"/>
      <c r="AB787" s="25"/>
      <c r="AC787" s="25"/>
    </row>
    <row r="788">
      <c r="A788" s="24" t="str">
        <f>'DE ( Tarik barang retur )'!AC765</f>
        <v>AWBR-14002-2026-6-13-01</v>
      </c>
      <c r="B788" s="24" t="str">
        <f>'DE ( Tarik barang retur )'!F765</f>
        <v>Apotek Inofarma Kayu Manis</v>
      </c>
      <c r="C788" s="35">
        <f>'DE ( Tarik barang retur )'!G765</f>
        <v>6.28512E+17</v>
      </c>
      <c r="D788" s="24" t="str">
        <f>'DE ( Tarik barang retur )'!H765</f>
        <v>Jl. Kayu Manis RT 06 RW 05, Balekambang, Kec. Kramat Jati Kota Jakarta Timur</v>
      </c>
      <c r="E788" s="24" t="str">
        <f>'DE ( Tarik barang retur )'!D765</f>
        <v>TMP-INV-2026/06/11/ 2844375</v>
      </c>
      <c r="F788" s="24" t="str">
        <f>'DE ( Tarik barang retur )'!R765</f>
        <v>TMP-INV-2026/06/11/ 2844375 SELECTION FACIAL COTTON PACK @ 50 GRAM Tarik Barang Damaged</v>
      </c>
      <c r="G788" s="36">
        <f>'DE ( Tarik barang retur )'!AF765</f>
        <v>46186</v>
      </c>
      <c r="H788" s="22">
        <v>46186.0</v>
      </c>
      <c r="I788" s="22">
        <v>46188.0</v>
      </c>
      <c r="J788" s="21" t="s">
        <v>5294</v>
      </c>
      <c r="K788" s="24"/>
      <c r="L788" s="24"/>
      <c r="M788" s="24"/>
      <c r="N788" s="24"/>
      <c r="O788" s="24"/>
      <c r="P788" s="25"/>
      <c r="Q788" s="25"/>
      <c r="R788" s="25"/>
      <c r="S788" s="25"/>
      <c r="T788" s="25"/>
      <c r="U788" s="25"/>
      <c r="V788" s="25"/>
      <c r="W788" s="25"/>
      <c r="X788" s="25"/>
      <c r="Y788" s="25"/>
      <c r="Z788" s="25"/>
      <c r="AA788" s="25"/>
      <c r="AB788" s="25"/>
      <c r="AC788" s="25"/>
    </row>
    <row r="789">
      <c r="A789" s="24" t="str">
        <f>'DE ( Tarik barang retur )'!AC766</f>
        <v>AWBR-14007-2026-6-13-01</v>
      </c>
      <c r="B789" s="24" t="str">
        <f>'DE ( Tarik barang retur )'!F766</f>
        <v>Apotek Inofarma Koja</v>
      </c>
      <c r="C789" s="35">
        <f>'DE ( Tarik barang retur )'!G766</f>
        <v>6.28001E+17</v>
      </c>
      <c r="D789" s="24" t="str">
        <f>'DE ( Tarik barang retur )'!H766</f>
        <v>Jln. Walang Baru V No. 10 D, RT 001/RW 007, Tugu Utara, Koja, Jakarta Utara</v>
      </c>
      <c r="E789" s="24" t="str">
        <f>'DE ( Tarik barang retur )'!D766</f>
        <v>TMP-INV-2026/06/11/ 2844565</v>
      </c>
      <c r="F789" s="24" t="str">
        <f>'DE ( Tarik barang retur )'!R766</f>
        <v>TMP-INV-2026/06/11/ 2844565 ANTANGIN MINT Deltomed SIRUP DUS, 12 SACHET @ 15 ML Tarik Barang Retur</v>
      </c>
      <c r="G789" s="36">
        <f>'DE ( Tarik barang retur )'!AF766</f>
        <v>46186</v>
      </c>
      <c r="H789" s="22">
        <v>46187.0</v>
      </c>
      <c r="I789" s="22">
        <v>46187.0</v>
      </c>
      <c r="J789" s="21" t="s">
        <v>5294</v>
      </c>
      <c r="K789" s="24"/>
      <c r="L789" s="24"/>
      <c r="M789" s="24"/>
      <c r="N789" s="24"/>
      <c r="O789" s="24"/>
      <c r="P789" s="25"/>
      <c r="Q789" s="25"/>
      <c r="R789" s="25"/>
      <c r="S789" s="25"/>
      <c r="T789" s="25"/>
      <c r="U789" s="25"/>
      <c r="V789" s="25"/>
      <c r="W789" s="25"/>
      <c r="X789" s="25"/>
      <c r="Y789" s="25"/>
      <c r="Z789" s="25"/>
      <c r="AA789" s="25"/>
      <c r="AB789" s="25"/>
      <c r="AC789" s="25"/>
    </row>
    <row r="790">
      <c r="A790" s="24" t="str">
        <f>'DE ( Tarik barang retur )'!AC767</f>
        <v>AWBR-14029-2026-6-13-01</v>
      </c>
      <c r="B790" s="24" t="str">
        <f>'DE ( Tarik barang retur )'!F767</f>
        <v>Apotek Inofarma Pulogebang</v>
      </c>
      <c r="C790" s="35">
        <f>'DE ( Tarik barang retur )'!G767</f>
        <v>6.28789E+17</v>
      </c>
      <c r="D790" s="24" t="str">
        <f>'DE ( Tarik barang retur )'!H767</f>
        <v>Jl. Pulo Gebang No. 63 RT 001 RW 006, Pulo Gebang, Cakung, Kota Jakarta Timur</v>
      </c>
      <c r="E790" s="24" t="str">
        <f>'DE ( Tarik barang retur )'!D767</f>
        <v>TMP-INV-2026/05/18/ 2758846</v>
      </c>
      <c r="F790" s="24" t="str">
        <f>'DE ( Tarik barang retur )'!R767</f>
        <v>TMP-INV-2026/05/18/ 2758846 ANAKONIDIN Konimex SIRUP DUS, BOTOL @ 60 ML Tarik Barang Damaged</v>
      </c>
      <c r="G790" s="36">
        <f>'DE ( Tarik barang retur )'!AF767</f>
        <v>46186</v>
      </c>
      <c r="H790" s="22">
        <v>46188.0</v>
      </c>
      <c r="I790" s="22">
        <v>46189.0</v>
      </c>
      <c r="J790" s="21" t="s">
        <v>5294</v>
      </c>
      <c r="K790" s="24"/>
      <c r="L790" s="24"/>
      <c r="M790" s="24"/>
      <c r="N790" s="24"/>
      <c r="O790" s="24"/>
      <c r="P790" s="25"/>
      <c r="Q790" s="25"/>
      <c r="R790" s="25"/>
      <c r="S790" s="25"/>
      <c r="T790" s="25"/>
      <c r="U790" s="25"/>
      <c r="V790" s="25"/>
      <c r="W790" s="25"/>
      <c r="X790" s="25"/>
      <c r="Y790" s="25"/>
      <c r="Z790" s="25"/>
      <c r="AA790" s="25"/>
      <c r="AB790" s="25"/>
      <c r="AC790" s="25"/>
    </row>
    <row r="791">
      <c r="A791" s="24" t="str">
        <f>'DE ( Tarik barang retur )'!AC768</f>
        <v>AWBR-3320011842-01</v>
      </c>
      <c r="B791" s="24" t="str">
        <f>'DE ( Tarik barang retur )'!F768</f>
        <v>Apotek Sehat Krendang</v>
      </c>
      <c r="C791" s="35">
        <f>'DE ( Tarik barang retur )'!G768</f>
        <v>81299881798</v>
      </c>
      <c r="D791" s="24" t="str">
        <f>'DE ( Tarik barang retur )'!H768</f>
        <v>Jalan Kampung Krendang 28 RT 005 RW 007 Kelurahan Krendang Kecamatan Tambora Jakarta Barat 11260</v>
      </c>
      <c r="E791" s="24" t="str">
        <f>'DE ( Tarik barang retur )'!D768</f>
        <v>TMP-INV-2026/05/30/ 2799171</v>
      </c>
      <c r="F791" s="24" t="str">
        <f>'DE ( Tarik barang retur )'!R768</f>
        <v>Invoice: TMP-INV-2026/05/30/ 2799171
2x RENOVIT GOLD Konimex KAPLET Tarik Barang Retur</v>
      </c>
      <c r="G791" s="36">
        <f>'DE ( Tarik barang retur )'!AF768</f>
        <v>46188</v>
      </c>
      <c r="H791" s="22">
        <v>46189.0</v>
      </c>
      <c r="I791" s="22">
        <v>46190.0</v>
      </c>
      <c r="J791" s="21" t="s">
        <v>5294</v>
      </c>
      <c r="K791" s="24"/>
      <c r="L791" s="24"/>
      <c r="M791" s="24"/>
      <c r="N791" s="24"/>
      <c r="O791" s="24"/>
      <c r="P791" s="25"/>
      <c r="Q791" s="25"/>
      <c r="R791" s="25"/>
      <c r="S791" s="25"/>
      <c r="T791" s="25"/>
      <c r="U791" s="25"/>
      <c r="V791" s="25"/>
      <c r="W791" s="25"/>
      <c r="X791" s="25"/>
      <c r="Y791" s="25"/>
      <c r="Z791" s="25"/>
      <c r="AA791" s="25"/>
      <c r="AB791" s="25"/>
      <c r="AC791" s="25"/>
    </row>
    <row r="792">
      <c r="A792" s="24" t="str">
        <f>'DE ( Tarik barang retur )'!AC769</f>
        <v>AWBR-3319775475-01</v>
      </c>
      <c r="B792" s="24" t="str">
        <f>'DE ( Tarik barang retur )'!F769</f>
        <v>Klinik Utama Rawat Jalan Luvia</v>
      </c>
      <c r="C792" s="35">
        <f>'DE ( Tarik barang retur )'!G769</f>
        <v>2131925445</v>
      </c>
      <c r="D792" s="24" t="str">
        <f>'DE ( Tarik barang retur )'!H769</f>
        <v>Jalan Pramuka Raya No. A 394, Kelurahan Paseban, Kecamatan Senen, Jakarta Pusat, DKI Jakarta 10440</v>
      </c>
      <c r="E792" s="24" t="str">
        <f>'DE ( Tarik barang retur )'!D769</f>
        <v>TMP-INV-2026/06/13/ 2850409</v>
      </c>
      <c r="F792" s="24" t="str">
        <f>'DE ( Tarik barang retur )'!R769</f>
        <v>Invoice: TMP-INV-2026/06/13/ 2850409
1x LACIDOFIL Dexa Medica SERBUK Tarik Barang Retur</v>
      </c>
      <c r="G792" s="36">
        <f>'DE ( Tarik barang retur )'!AF769</f>
        <v>46188</v>
      </c>
      <c r="H792" s="22">
        <v>46188.0</v>
      </c>
      <c r="I792" s="22">
        <v>46189.0</v>
      </c>
      <c r="J792" s="21" t="s">
        <v>5294</v>
      </c>
      <c r="K792" s="24"/>
      <c r="L792" s="24"/>
      <c r="M792" s="24"/>
      <c r="N792" s="24"/>
      <c r="O792" s="24"/>
      <c r="P792" s="25"/>
      <c r="Q792" s="25"/>
      <c r="R792" s="25"/>
      <c r="S792" s="25"/>
      <c r="T792" s="25"/>
      <c r="U792" s="25"/>
      <c r="V792" s="25"/>
      <c r="W792" s="25"/>
      <c r="X792" s="25"/>
      <c r="Y792" s="25"/>
      <c r="Z792" s="25"/>
      <c r="AA792" s="25"/>
      <c r="AB792" s="25"/>
      <c r="AC792" s="25"/>
    </row>
    <row r="793">
      <c r="A793" s="24" t="str">
        <f>'DE ( Tarik barang retur )'!AC770</f>
        <v>AWBR-3319427700-01</v>
      </c>
      <c r="B793" s="24" t="str">
        <f>'DE ( Tarik barang retur )'!F770</f>
        <v>Apotek Faresha Farma Jagakarsa Jagakarsa</v>
      </c>
      <c r="C793" s="35">
        <f>'DE ( Tarik barang retur )'!G770</f>
        <v>6.2856E+16</v>
      </c>
      <c r="D793" s="24" t="str">
        <f>'DE ( Tarik barang retur )'!H770</f>
        <v>Jalan Mohammad Kahfi I RW 04, Desa/Kelurahan Ciganjur, Kec. Jagakarsa, Kota Jakarta Selatan</v>
      </c>
      <c r="E793" s="24" t="str">
        <f>'DE ( Tarik barang retur )'!D770</f>
        <v>TMP-INV-2026/06/11/ 2843675</v>
      </c>
      <c r="F793" s="24" t="str">
        <f>'DE ( Tarik barang retur )'!R770</f>
        <v>Invoice: TMP-INV-2026/06/11/ 2843675
10x ONEMED KASA STERIL Jayamas Medica Tarik Barang Retur</v>
      </c>
      <c r="G793" s="36">
        <f>'DE ( Tarik barang retur )'!AF770</f>
        <v>46188</v>
      </c>
      <c r="H793" s="22">
        <v>46188.0</v>
      </c>
      <c r="I793" s="22">
        <v>46189.0</v>
      </c>
      <c r="J793" s="21" t="s">
        <v>5294</v>
      </c>
      <c r="K793" s="24"/>
      <c r="L793" s="24"/>
      <c r="M793" s="24"/>
      <c r="N793" s="24"/>
      <c r="O793" s="24"/>
      <c r="P793" s="25"/>
      <c r="Q793" s="25"/>
      <c r="R793" s="25"/>
      <c r="S793" s="25"/>
      <c r="T793" s="25"/>
      <c r="U793" s="25"/>
      <c r="V793" s="25"/>
      <c r="W793" s="25"/>
      <c r="X793" s="25"/>
      <c r="Y793" s="25"/>
      <c r="Z793" s="25"/>
      <c r="AA793" s="25"/>
      <c r="AB793" s="25"/>
      <c r="AC793" s="25"/>
    </row>
    <row r="794">
      <c r="A794" s="24" t="str">
        <f>'DE ( Tarik barang retur )'!AC771</f>
        <v>AWBR-3319725230-01</v>
      </c>
      <c r="B794" s="24" t="str">
        <f>'DE ( Tarik barang retur )'!F771</f>
        <v>Apotek Bungur Sehat Rambutan Ciracas</v>
      </c>
      <c r="C794" s="35">
        <f>'DE ( Tarik barang retur )'!G771</f>
        <v>6.28126E+17</v>
      </c>
      <c r="D794" s="24" t="str">
        <f>'DE ( Tarik barang retur )'!H771</f>
        <v>Jl. Bungur No. 16, Desa/Kelurahan Rambutan, Kec. Ciracas, Kota Adm. Jakarta Timur</v>
      </c>
      <c r="E794" s="24" t="str">
        <f>'DE ( Tarik barang retur )'!D771</f>
        <v>TMP-INV-2025/02/13/ 1352601</v>
      </c>
      <c r="F794" s="24" t="str">
        <f>'DE ( Tarik barang retur )'!R771</f>
        <v>Invoice: TMP-INV-2025/02/13/ 1352601
2x IMBOOST FORCE KIDS Soho SIRUP Tarik Barang Retur</v>
      </c>
      <c r="G794" s="36">
        <f>'DE ( Tarik barang retur )'!AF771</f>
        <v>46188</v>
      </c>
      <c r="H794" s="22">
        <v>46188.0</v>
      </c>
      <c r="I794" s="22">
        <v>46190.0</v>
      </c>
      <c r="J794" s="21" t="s">
        <v>5294</v>
      </c>
      <c r="K794" s="24"/>
      <c r="L794" s="24"/>
      <c r="M794" s="24"/>
      <c r="N794" s="24"/>
      <c r="O794" s="24"/>
      <c r="P794" s="25"/>
      <c r="Q794" s="25"/>
      <c r="R794" s="25"/>
      <c r="S794" s="25"/>
      <c r="T794" s="25"/>
      <c r="U794" s="25"/>
      <c r="V794" s="25"/>
      <c r="W794" s="25"/>
      <c r="X794" s="25"/>
      <c r="Y794" s="25"/>
      <c r="Z794" s="25"/>
      <c r="AA794" s="25"/>
      <c r="AB794" s="25"/>
      <c r="AC794" s="25"/>
    </row>
    <row r="795">
      <c r="A795" s="24" t="str">
        <f>'DE ( Tarik barang retur )'!AC772</f>
        <v>AWBR-3319719271-01</v>
      </c>
      <c r="B795" s="24" t="str">
        <f>'DE ( Tarik barang retur )'!F772</f>
        <v>Apotek Karomah Kalisari Pasar Rebo</v>
      </c>
      <c r="C795" s="35">
        <f>'DE ( Tarik barang retur )'!G772</f>
        <v>6.28231E+17</v>
      </c>
      <c r="D795" s="24" t="str">
        <f>'DE ( Tarik barang retur )'!H772</f>
        <v>Jl. Kalisari, Desa/Kel. Kalisari, Kec. Pasar Rebo, Kota Adm. Jakarta Timur</v>
      </c>
      <c r="E795" s="24" t="str">
        <f>'DE ( Tarik barang retur )'!D772</f>
        <v>TMP-INV-2026/06/10/ 2839343</v>
      </c>
      <c r="F795" s="24" t="str">
        <f>'DE ( Tarik barang retur )'!R772</f>
        <v>Invoice: TMP-INV-2026/06/10/ 2839343
1x ATORVASTATIN CALCIUM TRIHYDRATE Dexa Medica TABLET 20 MG
----------------------------------------
Invoice: TMP-INV-2026/06/12/ 2847080
Full Return Tarik Barang Retur</v>
      </c>
      <c r="G795" s="36">
        <f>'DE ( Tarik barang retur )'!AF772</f>
        <v>46188</v>
      </c>
      <c r="H795" s="22">
        <v>46188.0</v>
      </c>
      <c r="I795" s="22">
        <v>46190.0</v>
      </c>
      <c r="J795" s="21" t="s">
        <v>5294</v>
      </c>
      <c r="K795" s="24"/>
      <c r="L795" s="24"/>
      <c r="M795" s="24"/>
      <c r="N795" s="24"/>
      <c r="O795" s="24"/>
      <c r="P795" s="25"/>
      <c r="Q795" s="25"/>
      <c r="R795" s="25"/>
      <c r="S795" s="25"/>
      <c r="T795" s="25"/>
      <c r="U795" s="25"/>
      <c r="V795" s="25"/>
      <c r="W795" s="25"/>
      <c r="X795" s="25"/>
      <c r="Y795" s="25"/>
      <c r="Z795" s="25"/>
      <c r="AA795" s="25"/>
      <c r="AB795" s="25"/>
      <c r="AC795" s="25"/>
    </row>
    <row r="796">
      <c r="A796" s="24" t="str">
        <f>'DE ( Tarik barang retur )'!AC773</f>
        <v>AWBR-3319700320-01</v>
      </c>
      <c r="B796" s="24" t="str">
        <f>'DE ( Tarik barang retur )'!F773</f>
        <v>Apotek Rami Farma Cipinang Besar Selatan Jatinegara</v>
      </c>
      <c r="C796" s="35">
        <f>'DE ( Tarik barang retur )'!G773</f>
        <v>6.28191E+17</v>
      </c>
      <c r="D796" s="24" t="str">
        <f>'DE ( Tarik barang retur )'!H773</f>
        <v>Jl. Jend. Basuki Rachmat No.8 RT/RW: 003/006, Cipinang Besar Selatan, Kec. Jatinegara Kota Jakarta Timur</v>
      </c>
      <c r="E796" s="24" t="str">
        <f>'DE ( Tarik barang retur )'!D773</f>
        <v>TMP-INV-2026/06/11/ 2843077</v>
      </c>
      <c r="F796" s="24" t="str">
        <f>'DE ( Tarik barang retur )'!R773</f>
        <v>Invoice: TMP-INV-2026/06/11/ 2843077
1x APOLAR Actavis KRIM
1x BLACKMORES MULTIVITAMINS + MINERALS Kalbe
1x BLACKMORES MULTIVITAMINS + MINERALS Kalbe
1x DEGIROL Darya-Varia TABLET HISAP 0.25 MG
1x LASAL 2 Lapi KAPSUL
1x MEFINAL 500 Sanbe KAPLET 500 MG
1x REDOXON TRIPLE ACTION ORANGE Bayer TABLET EFFERVESCENT
----------------------------------------
Invoice: TMP-INV-2026/06/11/ 2843077
1x VICKS VAPORUB Darya-Varia Tarik Barang Retur</v>
      </c>
      <c r="G796" s="36">
        <f>'DE ( Tarik barang retur )'!AF773</f>
        <v>46188</v>
      </c>
      <c r="H796" s="22">
        <v>46188.0</v>
      </c>
      <c r="I796" s="22">
        <v>46189.0</v>
      </c>
      <c r="J796" s="21" t="s">
        <v>5294</v>
      </c>
      <c r="K796" s="24"/>
      <c r="L796" s="24"/>
      <c r="M796" s="24"/>
      <c r="N796" s="24"/>
      <c r="O796" s="24"/>
      <c r="P796" s="25"/>
      <c r="Q796" s="25"/>
      <c r="R796" s="25"/>
      <c r="S796" s="25"/>
      <c r="T796" s="25"/>
      <c r="U796" s="25"/>
      <c r="V796" s="25"/>
      <c r="W796" s="25"/>
      <c r="X796" s="25"/>
      <c r="Y796" s="25"/>
      <c r="Z796" s="25"/>
      <c r="AA796" s="25"/>
      <c r="AB796" s="25"/>
      <c r="AC796" s="25"/>
    </row>
    <row r="797">
      <c r="A797" s="24" t="str">
        <f>'DE ( Tarik barang retur )'!AC774</f>
        <v>AWBR-3319963512-01</v>
      </c>
      <c r="B797" s="24" t="str">
        <f>'DE ( Tarik barang retur )'!F774</f>
        <v>Apotek Senja Farma 2 Segara Jaya Tarumajaya</v>
      </c>
      <c r="C797" s="35">
        <f>'DE ( Tarik barang retur )'!G774</f>
        <v>6.28788E+17</v>
      </c>
      <c r="D797" s="24" t="str">
        <f>'DE ( Tarik barang retur )'!H774</f>
        <v>Ruko Descada Blok RSC 16 No. 15-16 Segara City,Desa/Kelurahan Segarajaya, Kecamatan Tarumajaya, Kabupaten Bekasi,Jawa Barat,17218</v>
      </c>
      <c r="E797" s="24" t="str">
        <f>'DE ( Tarik barang retur )'!D774</f>
        <v>TMP-INV-2026/06/13/ 2850256</v>
      </c>
      <c r="F797" s="24" t="str">
        <f>'DE ( Tarik barang retur )'!R774</f>
        <v>Invoice: TMP-INV-2026/06/13/ 2850256
1x IMBOOST Soho TABLET Tarik Barang Retur</v>
      </c>
      <c r="G797" s="36">
        <f>'DE ( Tarik barang retur )'!AF774</f>
        <v>46188</v>
      </c>
      <c r="H797" s="22">
        <v>46190.0</v>
      </c>
      <c r="I797" s="24"/>
      <c r="J797" s="21" t="s">
        <v>5295</v>
      </c>
      <c r="K797" s="24"/>
      <c r="L797" s="24"/>
      <c r="M797" s="24"/>
      <c r="N797" s="24"/>
      <c r="O797" s="24"/>
      <c r="P797" s="25"/>
      <c r="Q797" s="25"/>
      <c r="R797" s="25"/>
      <c r="S797" s="25"/>
      <c r="T797" s="25"/>
      <c r="U797" s="25"/>
      <c r="V797" s="25"/>
      <c r="W797" s="25"/>
      <c r="X797" s="25"/>
      <c r="Y797" s="25"/>
      <c r="Z797" s="25"/>
      <c r="AA797" s="25"/>
      <c r="AB797" s="25"/>
      <c r="AC797" s="25"/>
    </row>
    <row r="798">
      <c r="A798" s="24" t="str">
        <f>'DE ( Tarik barang retur )'!AC775</f>
        <v>AWBR-3319749236-01</v>
      </c>
      <c r="B798" s="24" t="str">
        <f>'DE ( Tarik barang retur )'!F775</f>
        <v>Apotek Ilham Karangsatria Tambun Utara</v>
      </c>
      <c r="C798" s="35">
        <f>'DE ( Tarik barang retur )'!G775</f>
        <v>85888674498</v>
      </c>
      <c r="D798" s="24" t="str">
        <f>'DE ( Tarik barang retur )'!H775</f>
        <v>Villa Mutiara Gading 2, Kav D10 No. 03A Desa Karang Satria Kec. Tambun Utara Kab. Bekasi 17510</v>
      </c>
      <c r="E798" s="24" t="str">
        <f>'DE ( Tarik barang retur )'!D775</f>
        <v>TMP-INV-2026/05/30/ 2798961</v>
      </c>
      <c r="F798" s="24" t="str">
        <f>'DE ( Tarik barang retur )'!R775</f>
        <v>Invoice: TMP-INV-2026/05/30/ 2798961
2x BUFACOMB Bufa KRIM Tarik Barang Retur</v>
      </c>
      <c r="G798" s="36">
        <f>'DE ( Tarik barang retur )'!AF775</f>
        <v>46188</v>
      </c>
      <c r="H798" s="22">
        <v>46188.0</v>
      </c>
      <c r="I798" s="22">
        <v>46189.0</v>
      </c>
      <c r="J798" s="21" t="s">
        <v>5294</v>
      </c>
      <c r="K798" s="24"/>
      <c r="L798" s="24"/>
      <c r="M798" s="24"/>
      <c r="N798" s="24"/>
      <c r="O798" s="24"/>
      <c r="P798" s="25"/>
      <c r="Q798" s="25"/>
      <c r="R798" s="25"/>
      <c r="S798" s="25"/>
      <c r="T798" s="25"/>
      <c r="U798" s="25"/>
      <c r="V798" s="25"/>
      <c r="W798" s="25"/>
      <c r="X798" s="25"/>
      <c r="Y798" s="25"/>
      <c r="Z798" s="25"/>
      <c r="AA798" s="25"/>
      <c r="AB798" s="25"/>
      <c r="AC798" s="25"/>
    </row>
    <row r="799">
      <c r="A799" s="24" t="str">
        <f>'DE ( Tarik barang retur )'!AC776</f>
        <v>AWBR-3319694782-01</v>
      </c>
      <c r="B799" s="24" t="str">
        <f>'DE ( Tarik barang retur )'!F776</f>
        <v>Apotek Nobel</v>
      </c>
      <c r="C799" s="35">
        <f>'DE ( Tarik barang retur )'!G776</f>
        <v>81231306601</v>
      </c>
      <c r="D799" s="24" t="str">
        <f>'DE ( Tarik barang retur )'!H776</f>
        <v>Jalan Pahlawan Sabeki/Gang Noble Kp. Pondok Manggis RT 03 RW 02 Desa Bojong Baru Kecamatan Bojong Gede Kabupaten Bogor 16920</v>
      </c>
      <c r="E799" s="24" t="str">
        <f>'DE ( Tarik barang retur )'!D776</f>
        <v>TMP-INV-2026/06/11/ 2843406</v>
      </c>
      <c r="F799" s="24" t="str">
        <f>'DE ( Tarik barang retur )'!R776</f>
        <v>Invoice: TMP-INV-2026/06/11/ 2843406
2x THROMBOPHOB Tunggal Idaman SALEP Tarik Barang Retur</v>
      </c>
      <c r="G799" s="36">
        <f>'DE ( Tarik barang retur )'!AF776</f>
        <v>46188</v>
      </c>
      <c r="H799" s="22">
        <v>46188.0</v>
      </c>
      <c r="I799" s="22">
        <v>46190.0</v>
      </c>
      <c r="J799" s="21" t="s">
        <v>5294</v>
      </c>
      <c r="K799" s="24"/>
      <c r="L799" s="24"/>
      <c r="M799" s="24"/>
      <c r="N799" s="24"/>
      <c r="O799" s="24"/>
      <c r="P799" s="25"/>
      <c r="Q799" s="25"/>
      <c r="R799" s="25"/>
      <c r="S799" s="25"/>
      <c r="T799" s="25"/>
      <c r="U799" s="25"/>
      <c r="V799" s="25"/>
      <c r="W799" s="25"/>
      <c r="X799" s="25"/>
      <c r="Y799" s="25"/>
      <c r="Z799" s="25"/>
      <c r="AA799" s="25"/>
      <c r="AB799" s="25"/>
      <c r="AC799" s="25"/>
    </row>
    <row r="800">
      <c r="A800" s="24" t="str">
        <f>'DE ( Tarik barang retur )'!AC777</f>
        <v>AWBR-3320027639-01</v>
      </c>
      <c r="B800" s="24" t="str">
        <f>'DE ( Tarik barang retur )'!F777</f>
        <v>Apotek Danez Farma Jatibening</v>
      </c>
      <c r="C800" s="35">
        <f>'DE ( Tarik barang retur )'!G777</f>
        <v>81317054040</v>
      </c>
      <c r="D800" s="24" t="str">
        <f>'DE ( Tarik barang retur )'!H777</f>
        <v>Jalan Jatibening Estate Kav.2 Kelurahan Jatibening Kecamatan Pondok Gede Kota Bekasi 17412</v>
      </c>
      <c r="E800" s="24" t="str">
        <f>'DE ( Tarik barang retur )'!D777</f>
        <v>TMP-INV-2026/06/13/ 2851486</v>
      </c>
      <c r="F800" s="24" t="str">
        <f>'DE ( Tarik barang retur )'!R777</f>
        <v>Invoice: TMP-INV-2026/06/13/ 2851486
Full Return
----------------------------------------
Invoice: TMP-INV-2026/06/13/ 2851663
Full Return Tarik Barang Retur</v>
      </c>
      <c r="G800" s="36">
        <f>'DE ( Tarik barang retur )'!AF777</f>
        <v>46188</v>
      </c>
      <c r="H800" s="22">
        <v>46188.0</v>
      </c>
      <c r="I800" s="22">
        <v>46189.0</v>
      </c>
      <c r="J800" s="21" t="s">
        <v>5294</v>
      </c>
      <c r="K800" s="24"/>
      <c r="L800" s="24"/>
      <c r="M800" s="24"/>
      <c r="N800" s="24"/>
      <c r="O800" s="24"/>
      <c r="P800" s="25"/>
      <c r="Q800" s="25"/>
      <c r="R800" s="25"/>
      <c r="S800" s="25"/>
      <c r="T800" s="25"/>
      <c r="U800" s="25"/>
      <c r="V800" s="25"/>
      <c r="W800" s="25"/>
      <c r="X800" s="25"/>
      <c r="Y800" s="25"/>
      <c r="Z800" s="25"/>
      <c r="AA800" s="25"/>
      <c r="AB800" s="25"/>
      <c r="AC800" s="25"/>
    </row>
    <row r="801">
      <c r="A801" s="24" t="str">
        <f>'DE ( Tarik barang retur )'!AC778</f>
        <v>AWBR-3319961992-01</v>
      </c>
      <c r="B801" s="24" t="str">
        <f>'DE ( Tarik barang retur )'!F778</f>
        <v>Apotek Rosa Farma</v>
      </c>
      <c r="C801" s="35">
        <f>'DE ( Tarik barang retur )'!G778</f>
        <v>81212834867</v>
      </c>
      <c r="D801" s="24" t="str">
        <f>'DE ( Tarik barang retur )'!H778</f>
        <v>Jalan Khamono No. 17 RT 001 RW 001, Kelurahan Jatimakmur, Kecamatan Pondok Gede, Kota Bekasi 17413</v>
      </c>
      <c r="E801" s="24" t="str">
        <f>'DE ( Tarik barang retur )'!D778</f>
        <v>TMP-INV-2026/06/13/ 2851509</v>
      </c>
      <c r="F801" s="24" t="str">
        <f>'DE ( Tarik barang retur )'!R778</f>
        <v>Invoice: TMP-INV-2026/06/13/ 2851509
3x IMBOOST FORCE COUGH KIDS Soho CAIRAN ORAL Tarik Barang Retur</v>
      </c>
      <c r="G801" s="36">
        <f>'DE ( Tarik barang retur )'!AF778</f>
        <v>46188</v>
      </c>
      <c r="H801" s="22">
        <v>46188.0</v>
      </c>
      <c r="I801" s="22">
        <v>46189.0</v>
      </c>
      <c r="J801" s="21" t="s">
        <v>5294</v>
      </c>
      <c r="K801" s="24"/>
      <c r="L801" s="24"/>
      <c r="M801" s="24"/>
      <c r="N801" s="24"/>
      <c r="O801" s="24"/>
      <c r="P801" s="25"/>
      <c r="Q801" s="25"/>
      <c r="R801" s="25"/>
      <c r="S801" s="25"/>
      <c r="T801" s="25"/>
      <c r="U801" s="25"/>
      <c r="V801" s="25"/>
      <c r="W801" s="25"/>
      <c r="X801" s="25"/>
      <c r="Y801" s="25"/>
      <c r="Z801" s="25"/>
      <c r="AA801" s="25"/>
      <c r="AB801" s="25"/>
      <c r="AC801" s="25"/>
    </row>
    <row r="802">
      <c r="A802" s="24" t="str">
        <f>'DE ( Tarik barang retur )'!AC779</f>
        <v>AWBR-3319433560-01</v>
      </c>
      <c r="B802" s="24" t="str">
        <f>'DE ( Tarik barang retur )'!F779</f>
        <v>Apotek Kondang Sehat Sejahtera</v>
      </c>
      <c r="C802" s="35">
        <f>'DE ( Tarik barang retur )'!G779</f>
        <v>82134642200</v>
      </c>
      <c r="D802" s="24" t="str">
        <f>'DE ( Tarik barang retur )'!H779</f>
        <v>Jalan Jati Kubang C 20 No.14 RT 004 RW 005 Desa Mekarsari Kecamatan Tambun Selatan Bekasi 17510</v>
      </c>
      <c r="E802" s="24" t="str">
        <f>'DE ( Tarik barang retur )'!D779</f>
        <v>TMP-INV-2026/06/11/ 2841901</v>
      </c>
      <c r="F802" s="24" t="str">
        <f>'DE ( Tarik barang retur )'!R779</f>
        <v>Invoice: TMP-INV-2026/06/11/ 2841901
2x HANSAPLAST SALEP LUKA Beiersdorf Tarik Barang Retur</v>
      </c>
      <c r="G802" s="36">
        <f>'DE ( Tarik barang retur )'!AF779</f>
        <v>46188</v>
      </c>
      <c r="H802" s="22">
        <v>46189.0</v>
      </c>
      <c r="I802" s="22">
        <v>46189.0</v>
      </c>
      <c r="J802" s="21" t="s">
        <v>5294</v>
      </c>
      <c r="K802" s="24"/>
      <c r="L802" s="24"/>
      <c r="M802" s="24"/>
      <c r="N802" s="24"/>
      <c r="O802" s="24"/>
      <c r="P802" s="25"/>
      <c r="Q802" s="25"/>
      <c r="R802" s="25"/>
      <c r="S802" s="25"/>
      <c r="T802" s="25"/>
      <c r="U802" s="25"/>
      <c r="V802" s="25"/>
      <c r="W802" s="25"/>
      <c r="X802" s="25"/>
      <c r="Y802" s="25"/>
      <c r="Z802" s="25"/>
      <c r="AA802" s="25"/>
      <c r="AB802" s="25"/>
      <c r="AC802" s="25"/>
    </row>
    <row r="803">
      <c r="A803" s="24" t="str">
        <f>'DE ( Tarik barang retur )'!AC780</f>
        <v>AWBR-3319979842-01</v>
      </c>
      <c r="B803" s="24" t="str">
        <f>'DE ( Tarik barang retur )'!F780</f>
        <v>Apotek Pharmasena Cinere Cinere</v>
      </c>
      <c r="C803" s="35">
        <f>'DE ( Tarik barang retur )'!G780</f>
        <v>6.28226E+17</v>
      </c>
      <c r="D803" s="24" t="str">
        <f>'DE ( Tarik barang retur )'!H780</f>
        <v>Jl. Bukit Cinere No.5E RT/RW.001/008, Desa/Kel. Cinere, Kec. Cinere, Kota Depok</v>
      </c>
      <c r="E803" s="24" t="str">
        <f>'DE ( Tarik barang retur )'!D780</f>
        <v>TMP-INV-2026/06/13/ 2851662</v>
      </c>
      <c r="F803" s="24" t="str">
        <f>'DE ( Tarik barang retur )'!R780</f>
        <v>Invoice: TMP-INV-2026/06/13/ 2851662
2x ETAWALIN SEREAL BUBUK RASA JAHE Tarik Barang Retur</v>
      </c>
      <c r="G803" s="36">
        <f>'DE ( Tarik barang retur )'!AF780</f>
        <v>46188</v>
      </c>
      <c r="H803" s="22">
        <v>46188.0</v>
      </c>
      <c r="I803" s="22">
        <v>46189.0</v>
      </c>
      <c r="J803" s="21" t="s">
        <v>5294</v>
      </c>
      <c r="K803" s="24"/>
      <c r="L803" s="24"/>
      <c r="M803" s="24"/>
      <c r="N803" s="24"/>
      <c r="O803" s="24"/>
      <c r="P803" s="25"/>
      <c r="Q803" s="25"/>
      <c r="R803" s="25"/>
      <c r="S803" s="25"/>
      <c r="T803" s="25"/>
      <c r="U803" s="25"/>
      <c r="V803" s="25"/>
      <c r="W803" s="25"/>
      <c r="X803" s="25"/>
      <c r="Y803" s="25"/>
      <c r="Z803" s="25"/>
      <c r="AA803" s="25"/>
      <c r="AB803" s="25"/>
      <c r="AC803" s="25"/>
    </row>
    <row r="804">
      <c r="A804" s="24" t="str">
        <f>'DE ( Tarik barang retur )'!AC781</f>
        <v>AWBR-3319962581-01</v>
      </c>
      <c r="B804" s="24" t="str">
        <f>'DE ( Tarik barang retur )'!F781</f>
        <v>Apotek Palito Farma</v>
      </c>
      <c r="C804" s="35">
        <f>'DE ( Tarik barang retur )'!G781</f>
        <v>81288988721</v>
      </c>
      <c r="D804" s="24" t="str">
        <f>'DE ( Tarik barang retur )'!H781</f>
        <v>Jl. Raden Sanim, Ko - Lemirage Compound A6, RT. 002/RW. 011, Kelurahan Tanah Baru, Kecamatan Beji, Depok, Jawa Barat 16426</v>
      </c>
      <c r="E804" s="24" t="str">
        <f>'DE ( Tarik barang retur )'!D781</f>
        <v>TMP-INV-2026/06/13/ 2851505</v>
      </c>
      <c r="F804" s="24" t="str">
        <f>'DE ( Tarik barang retur )'!R781</f>
        <v>Invoice: TMP-INV-2026/06/13/ 2851505
3x DOHIXAT Ifars KAPSUL 100 MG Tarik Barang Retur</v>
      </c>
      <c r="G804" s="36">
        <f>'DE ( Tarik barang retur )'!AF781</f>
        <v>46188</v>
      </c>
      <c r="H804" s="22">
        <v>46188.0</v>
      </c>
      <c r="I804" s="22">
        <v>46189.0</v>
      </c>
      <c r="J804" s="21" t="s">
        <v>5294</v>
      </c>
      <c r="K804" s="24"/>
      <c r="L804" s="24"/>
      <c r="M804" s="24"/>
      <c r="N804" s="24"/>
      <c r="O804" s="24"/>
      <c r="P804" s="25"/>
      <c r="Q804" s="25"/>
      <c r="R804" s="25"/>
      <c r="S804" s="25"/>
      <c r="T804" s="25"/>
      <c r="U804" s="25"/>
      <c r="V804" s="25"/>
      <c r="W804" s="25"/>
      <c r="X804" s="25"/>
      <c r="Y804" s="25"/>
      <c r="Z804" s="25"/>
      <c r="AA804" s="25"/>
      <c r="AB804" s="25"/>
      <c r="AC804" s="25"/>
    </row>
    <row r="805">
      <c r="A805" s="24" t="str">
        <f>'DE ( Tarik barang retur )'!AC782</f>
        <v>AWBR-3319960107-01</v>
      </c>
      <c r="B805" s="24" t="str">
        <f>'DE ( Tarik barang retur )'!F782</f>
        <v>Apotek Medpharm GDC Tirtajaya Sukmajaya</v>
      </c>
      <c r="C805" s="35">
        <f>'DE ( Tarik barang retur )'!G782</f>
        <v>6.28138E+17</v>
      </c>
      <c r="D805" s="24" t="str">
        <f>'DE ( Tarik barang retur )'!H782</f>
        <v>Ruko Gardenia, Grand Depok City, Grand Depok City, Jalan KSU Parung Serab, Kelurahan Tirtajaya, Kecamatan Sukmajaya, Kota Depok, Jawa Barat 16412</v>
      </c>
      <c r="E805" s="24" t="str">
        <f>'DE ( Tarik barang retur )'!D782</f>
        <v>TMP-INV-2026/06/13/ 2851665</v>
      </c>
      <c r="F805" s="24" t="str">
        <f>'DE ( Tarik barang retur )'!R782</f>
        <v>Invoice: TMP-INV-2026/06/13/ 2851665
1x OM3HEART 600 OMEGA 3 MYWELL Ultrasakti KAPSUL Tarik Barang Retur</v>
      </c>
      <c r="G805" s="36">
        <f>'DE ( Tarik barang retur )'!AF782</f>
        <v>46188</v>
      </c>
      <c r="H805" s="22">
        <v>46188.0</v>
      </c>
      <c r="I805" s="22">
        <v>46190.0</v>
      </c>
      <c r="J805" s="21" t="s">
        <v>5294</v>
      </c>
      <c r="K805" s="24"/>
      <c r="L805" s="24"/>
      <c r="M805" s="24"/>
      <c r="N805" s="24"/>
      <c r="O805" s="24"/>
      <c r="P805" s="25"/>
      <c r="Q805" s="25"/>
      <c r="R805" s="25"/>
      <c r="S805" s="25"/>
      <c r="T805" s="25"/>
      <c r="U805" s="25"/>
      <c r="V805" s="25"/>
      <c r="W805" s="25"/>
      <c r="X805" s="25"/>
      <c r="Y805" s="25"/>
      <c r="Z805" s="25"/>
      <c r="AA805" s="25"/>
      <c r="AB805" s="25"/>
      <c r="AC805" s="25"/>
    </row>
    <row r="806">
      <c r="A806" s="24" t="str">
        <f>'DE ( Tarik barang retur )'!AC783</f>
        <v>AWBR-3319958888-01</v>
      </c>
      <c r="B806" s="24" t="str">
        <f>'DE ( Tarik barang retur )'!F783</f>
        <v>Apotek K24 Kelapa Dua</v>
      </c>
      <c r="C806" s="35">
        <f>'DE ( Tarik barang retur )'!G783</f>
        <v>82316738263</v>
      </c>
      <c r="D806" s="24" t="str">
        <f>'DE ( Tarik barang retur )'!H783</f>
        <v>Jalan Kelapa Dua Raya (RTM) No.17 C RT 002 RW 0011 Kelurahan Tugu Kecamatan Cimanggis Depok 16451</v>
      </c>
      <c r="E806" s="24" t="str">
        <f>'DE ( Tarik barang retur )'!D783</f>
        <v>TMP-INV-2026/06/13/ 2851569</v>
      </c>
      <c r="F806" s="24" t="str">
        <f>'DE ( Tarik barang retur )'!R783</f>
        <v>Invoice: TMP-INV-2026/06/13/ 2851569
1x DISOLF Dexa Medica TABLET 490 MG (ED DEKAT - EXTRA DISC) Tarik Barang Retur</v>
      </c>
      <c r="G806" s="36">
        <f>'DE ( Tarik barang retur )'!AF783</f>
        <v>46188</v>
      </c>
      <c r="H806" s="22">
        <v>46188.0</v>
      </c>
      <c r="I806" s="22">
        <v>46190.0</v>
      </c>
      <c r="J806" s="21" t="s">
        <v>5294</v>
      </c>
      <c r="K806" s="24"/>
      <c r="L806" s="24"/>
      <c r="M806" s="24"/>
      <c r="N806" s="24"/>
      <c r="O806" s="24"/>
      <c r="P806" s="25"/>
      <c r="Q806" s="25"/>
      <c r="R806" s="25"/>
      <c r="S806" s="25"/>
      <c r="T806" s="25"/>
      <c r="U806" s="25"/>
      <c r="V806" s="25"/>
      <c r="W806" s="25"/>
      <c r="X806" s="25"/>
      <c r="Y806" s="25"/>
      <c r="Z806" s="25"/>
      <c r="AA806" s="25"/>
      <c r="AB806" s="25"/>
      <c r="AC806" s="25"/>
    </row>
    <row r="807">
      <c r="A807" s="24" t="str">
        <f>'DE ( Tarik barang retur )'!AC784</f>
        <v>AWBR-3319763653-01</v>
      </c>
      <c r="B807" s="24" t="str">
        <f>'DE ( Tarik barang retur )'!F784</f>
        <v>Apotek Fatih Farma Arjosari Blimbing</v>
      </c>
      <c r="C807" s="35">
        <f>'DE ( Tarik barang retur )'!G784</f>
        <v>6.28989E+16</v>
      </c>
      <c r="D807" s="24" t="str">
        <f>'DE ( Tarik barang retur )'!H784</f>
        <v>Jl. Teluk Etna No. 63,Desa/Kelurahan Arjosari, Kecamatan Blimbing, Kota Malang, Jawa Timur, 65126</v>
      </c>
      <c r="E807" s="24" t="str">
        <f>'DE ( Tarik barang retur )'!D784</f>
        <v>TMP-INV-2026/06/12/ 2845673</v>
      </c>
      <c r="F807" s="24" t="str">
        <f>'DE ( Tarik barang retur )'!R784</f>
        <v>Invoice: TMP-INV-2026/06/12/ 2845673
2x IMBOOST KIDS Soho SIRUP Tarik Barang Retur</v>
      </c>
      <c r="G807" s="36">
        <f>'DE ( Tarik barang retur )'!AF784</f>
        <v>46188</v>
      </c>
      <c r="H807" s="22">
        <v>46188.0</v>
      </c>
      <c r="I807" s="22">
        <v>46190.0</v>
      </c>
      <c r="J807" s="21" t="s">
        <v>5294</v>
      </c>
      <c r="K807" s="24"/>
      <c r="L807" s="24"/>
      <c r="M807" s="24"/>
      <c r="N807" s="24"/>
      <c r="O807" s="24"/>
      <c r="P807" s="25"/>
      <c r="Q807" s="25"/>
      <c r="R807" s="25"/>
      <c r="S807" s="25"/>
      <c r="T807" s="25"/>
      <c r="U807" s="25"/>
      <c r="V807" s="25"/>
      <c r="W807" s="25"/>
      <c r="X807" s="25"/>
      <c r="Y807" s="25"/>
      <c r="Z807" s="25"/>
      <c r="AA807" s="25"/>
      <c r="AB807" s="25"/>
      <c r="AC807" s="25"/>
    </row>
    <row r="808">
      <c r="A808" s="24" t="str">
        <f>'DE ( Tarik barang retur )'!AC785</f>
        <v>AWBR-3320229194-01</v>
      </c>
      <c r="B808" s="24" t="str">
        <f>'DE ( Tarik barang retur )'!F785</f>
        <v>Apotek Kalisidi Sehat Kalisidi Ungaran Barat</v>
      </c>
      <c r="C808" s="35">
        <f>'DE ( Tarik barang retur )'!G785</f>
        <v>6.28573E+17</v>
      </c>
      <c r="D808" s="24" t="str">
        <f>'DE ( Tarik barang retur )'!H785</f>
        <v>RT 05 RW 06, Desa Kalisidi, Kecamatan Ungaran Barat, Kabupaten Semarang, Jawa Tengah, 50519</v>
      </c>
      <c r="E808" s="24" t="str">
        <f>'DE ( Tarik barang retur )'!D785</f>
        <v>TMP-INV-2026/06/12/ 2848428</v>
      </c>
      <c r="F808" s="24" t="str">
        <f>'DE ( Tarik barang retur )'!R785</f>
        <v>Invoice: TMP-INV-2026/06/12/ 2848428
1x LACTO-B Novell SERBUK
----------------------------------------
Invoice: TMP-INV-2026/06/13/ 2848871
2x ASEPSO PLUS Pan Pacific SABUN BATANG Tarik Barang Retur</v>
      </c>
      <c r="G808" s="36">
        <f>'DE ( Tarik barang retur )'!AF785</f>
        <v>46189</v>
      </c>
      <c r="H808" s="24"/>
      <c r="I808" s="24"/>
      <c r="J808" s="21" t="s">
        <v>5371</v>
      </c>
      <c r="K808" s="24"/>
      <c r="L808" s="24"/>
      <c r="M808" s="25" t="str">
        <f t="shared" ref="M808:M809" si="7">GET_LOCATION(D808,"city")</f>
        <v>Semarang Regency</v>
      </c>
      <c r="N808" s="25" t="str">
        <f t="shared" ref="N808:N809" si="8">GET_LOCATION(D808,"province")</f>
        <v>Central Java</v>
      </c>
      <c r="O808" s="25" t="str">
        <f>VLOOKUP(M808,'Mapping Area'!A:C,3,0)</f>
        <v>CJ</v>
      </c>
      <c r="P808" s="25"/>
      <c r="Q808" s="25"/>
      <c r="R808" s="25"/>
      <c r="S808" s="25"/>
      <c r="T808" s="25"/>
      <c r="U808" s="25"/>
      <c r="V808" s="25"/>
      <c r="W808" s="25"/>
      <c r="X808" s="25"/>
      <c r="Y808" s="25"/>
      <c r="Z808" s="25"/>
      <c r="AA808" s="25"/>
      <c r="AB808" s="25"/>
      <c r="AC808" s="25"/>
    </row>
    <row r="809">
      <c r="A809" s="24" t="str">
        <f>'DE ( Tarik barang retur )'!AC786</f>
        <v>AWBR-3320283979-01</v>
      </c>
      <c r="B809" s="24" t="str">
        <f>'DE ( Tarik barang retur )'!F786</f>
        <v>Apotek Pawanta Kalibaruwetan Kalibaru</v>
      </c>
      <c r="C809" s="35">
        <f>'DE ( Tarik barang retur )'!G786</f>
        <v>6.28232E+17</v>
      </c>
      <c r="D809" s="24" t="str">
        <f>'DE ( Tarik barang retur )'!H786</f>
        <v>Dusun Tegalpakis RT. 004 RW. 004, Desa Kalibaru Wetan, Kecamatan Kalibaru,Kabupaten Banyuwangi,Jawa Timur, 68467</v>
      </c>
      <c r="E809" s="24" t="str">
        <f>'DE ( Tarik barang retur )'!D786</f>
        <v>TMP-INV-2026/06/11/ 2844105</v>
      </c>
      <c r="F809" s="24" t="str">
        <f>'DE ( Tarik barang retur )'!R786</f>
        <v>Invoice: TMP-INV-2026/06/11/ 2844105
10x GUANISTREP Itrasal SUSPENSI Tarik Barang Retur</v>
      </c>
      <c r="G809" s="36">
        <f>'DE ( Tarik barang retur )'!AF786</f>
        <v>46189</v>
      </c>
      <c r="H809" s="24"/>
      <c r="I809" s="24"/>
      <c r="J809" s="21" t="s">
        <v>5371</v>
      </c>
      <c r="K809" s="24"/>
      <c r="L809" s="24"/>
      <c r="M809" s="25" t="str">
        <f t="shared" si="7"/>
        <v>Kabupaten Banyuwangi</v>
      </c>
      <c r="N809" s="25" t="str">
        <f t="shared" si="8"/>
        <v>Jawa Timur</v>
      </c>
      <c r="O809" s="25" t="str">
        <f>VLOOKUP(M809,'Mapping Area'!A:C,3,0)</f>
        <v>EJ</v>
      </c>
      <c r="P809" s="25"/>
      <c r="Q809" s="25"/>
      <c r="R809" s="25"/>
      <c r="S809" s="25"/>
      <c r="T809" s="25"/>
      <c r="U809" s="25"/>
      <c r="V809" s="25"/>
      <c r="W809" s="25"/>
      <c r="X809" s="25"/>
      <c r="Y809" s="25"/>
      <c r="Z809" s="25"/>
      <c r="AA809" s="25"/>
      <c r="AB809" s="25"/>
      <c r="AC809" s="25"/>
    </row>
    <row r="810">
      <c r="A810" s="24" t="str">
        <f>'DE ( Tarik barang retur )'!AC787</f>
        <v>AWBR-3320300143-01</v>
      </c>
      <c r="B810" s="24" t="str">
        <f>'DE ( Tarik barang retur )'!F787</f>
        <v>Apotek Prima Medika Jelambar Baru Grogol Petamburan</v>
      </c>
      <c r="C810" s="35">
        <f>'DE ( Tarik barang retur )'!G787</f>
        <v>6.28552E+16</v>
      </c>
      <c r="D810" s="24" t="str">
        <f>'DE ( Tarik barang retur )'!H787</f>
        <v>Jl.Jelambar Utama Raya No.81 RT.003 / RW.004,Desa/Kelurahan Jelambar Baru,Kec.Grogol Petamburan, Kota.Jakarta Barat</v>
      </c>
      <c r="E810" s="24" t="str">
        <f>'DE ( Tarik barang retur )'!D787</f>
        <v>TMP-INV-2025/08/23/ 1857429</v>
      </c>
      <c r="F810" s="24" t="str">
        <f>'DE ( Tarik barang retur )'!R787</f>
        <v>Invoice: TMP-INV-2025/08/23/ 1857429
1x YOUVIT MULTIVITAMIN GUMMY RASA STRAWBERRY, GOJIBERRY, CANBERRY, RASPBERRY, BLUEBERRY Yupi - DUS Tarik Barang Retur</v>
      </c>
      <c r="G810" s="36">
        <f>'DE ( Tarik barang retur )'!AF787</f>
        <v>46189</v>
      </c>
      <c r="H810" s="22">
        <v>46189.0</v>
      </c>
      <c r="I810" s="22">
        <v>46190.0</v>
      </c>
      <c r="J810" s="21" t="s">
        <v>5294</v>
      </c>
      <c r="K810" s="24"/>
      <c r="L810" s="24"/>
      <c r="M810" s="24"/>
      <c r="N810" s="24"/>
      <c r="O810" s="24"/>
      <c r="P810" s="25"/>
      <c r="Q810" s="25"/>
      <c r="R810" s="25"/>
      <c r="S810" s="25"/>
      <c r="T810" s="25"/>
      <c r="U810" s="25"/>
      <c r="V810" s="25"/>
      <c r="W810" s="25"/>
      <c r="X810" s="25"/>
      <c r="Y810" s="25"/>
      <c r="Z810" s="25"/>
      <c r="AA810" s="25"/>
      <c r="AB810" s="25"/>
      <c r="AC810" s="25"/>
    </row>
    <row r="811">
      <c r="A811" s="24" t="str">
        <f>'DE ( Tarik barang retur )'!AC788</f>
        <v>AWBR-3320285363-01</v>
      </c>
      <c r="B811" s="24" t="str">
        <f>'DE ( Tarik barang retur )'!F788</f>
        <v>Apotek KEJ Ps Manggis Setiabudi</v>
      </c>
      <c r="C811" s="35">
        <f>'DE ( Tarik barang retur )'!G788</f>
        <v>85255568502</v>
      </c>
      <c r="D811" s="24" t="str">
        <f>'DE ( Tarik barang retur )'!H788</f>
        <v>Jalan Minangkabau no. 17B Blok E. Persil no 10,Desa/Kelurahan Pasar Manggis,Kecamatan Setiabudi,Kota Adm. Jakarta Selatan,DKI Jakarta,12970</v>
      </c>
      <c r="E811" s="24" t="str">
        <f>'DE ( Tarik barang retur )'!D788</f>
        <v>TMP-INV-2026/06/12/ 2846363</v>
      </c>
      <c r="F811" s="24" t="str">
        <f>'DE ( Tarik barang retur )'!R788</f>
        <v>Invoice: TMP-INV-2026/06/12/ 2846363
Full Return Tarik Barang Retur</v>
      </c>
      <c r="G811" s="36">
        <f>'DE ( Tarik barang retur )'!AF788</f>
        <v>46189</v>
      </c>
      <c r="H811" s="22">
        <v>46191.0</v>
      </c>
      <c r="I811" s="24"/>
      <c r="J811" s="21" t="s">
        <v>5295</v>
      </c>
      <c r="K811" s="24"/>
      <c r="L811" s="24"/>
      <c r="M811" s="25"/>
      <c r="N811" s="25"/>
      <c r="O811" s="25"/>
      <c r="P811" s="25"/>
      <c r="Q811" s="25"/>
      <c r="R811" s="25"/>
      <c r="S811" s="25"/>
      <c r="T811" s="25"/>
      <c r="U811" s="25"/>
      <c r="V811" s="25"/>
      <c r="W811" s="25"/>
      <c r="X811" s="25"/>
      <c r="Y811" s="25"/>
      <c r="Z811" s="25"/>
      <c r="AA811" s="25"/>
      <c r="AB811" s="25"/>
      <c r="AC811" s="25"/>
    </row>
    <row r="812">
      <c r="A812" s="24" t="str">
        <f>'DE ( Tarik barang retur )'!AC789</f>
        <v>AWBR-3320247233-01</v>
      </c>
      <c r="B812" s="24" t="str">
        <f>'DE ( Tarik barang retur )'!F789</f>
        <v>Apotek Zam Zam</v>
      </c>
      <c r="C812" s="35">
        <f>'DE ( Tarik barang retur )'!G789</f>
        <v>217363846</v>
      </c>
      <c r="D812" s="24" t="str">
        <f>'DE ( Tarik barang retur )'!H789</f>
        <v>Jalan RC Veteran No. 2-3, RT 002 RW 011, Kelurahan Bintaro, Kecamatan Pesanggrahan, Kota Administrasi Jakarta Selatan, DKI Jakarta 12330</v>
      </c>
      <c r="E812" s="24" t="str">
        <f>'DE ( Tarik barang retur )'!D789</f>
        <v>TMP-INV-2024/05/22/ 796137</v>
      </c>
      <c r="F812" s="24" t="str">
        <f>'DE ( Tarik barang retur )'!R789</f>
        <v>Invoice: TMP-INV-2024/05/22/ 796137
5x PANADOL ANAK-ANAK Gsk TABLET KUNYAH 120 MG Tarik Barang Retur</v>
      </c>
      <c r="G812" s="36">
        <f>'DE ( Tarik barang retur )'!AF789</f>
        <v>46189</v>
      </c>
      <c r="H812" s="24"/>
      <c r="I812" s="24"/>
      <c r="J812" s="21" t="s">
        <v>5307</v>
      </c>
      <c r="K812" s="24"/>
      <c r="L812" s="24"/>
      <c r="M812" s="24"/>
      <c r="N812" s="24"/>
      <c r="O812" s="24"/>
      <c r="P812" s="25"/>
      <c r="Q812" s="25"/>
      <c r="R812" s="25"/>
      <c r="S812" s="25"/>
      <c r="T812" s="25"/>
      <c r="U812" s="25"/>
      <c r="V812" s="25"/>
      <c r="W812" s="25"/>
      <c r="X812" s="25"/>
      <c r="Y812" s="25"/>
      <c r="Z812" s="25"/>
      <c r="AA812" s="25"/>
      <c r="AB812" s="25"/>
      <c r="AC812" s="25"/>
    </row>
    <row r="813">
      <c r="A813" s="24" t="str">
        <f>'DE ( Tarik barang retur )'!AC790</f>
        <v>AWBR-3320298802-01</v>
      </c>
      <c r="B813" s="24" t="str">
        <f>'DE ( Tarik barang retur )'!F790</f>
        <v>Apotek GM Pharma Cipayung Cipayung</v>
      </c>
      <c r="C813" s="35">
        <f>'DE ( Tarik barang retur )'!G790</f>
        <v>6.28788E+17</v>
      </c>
      <c r="D813" s="24" t="str">
        <f>'DE ( Tarik barang retur )'!H790</f>
        <v>Jl. Raya Setu Cipayung No. 17C, Desa/Kelurahan Cipayung, Kec. Cipayung, Kota Adm. Jakarta Timur</v>
      </c>
      <c r="E813" s="24" t="str">
        <f>'DE ( Tarik barang retur )'!D790</f>
        <v>TMP-INV-2025/07/03/ 1709505</v>
      </c>
      <c r="F813" s="24" t="str">
        <f>'DE ( Tarik barang retur )'!R790</f>
        <v>Invoice: TMP-INV-2025/07/03/ 1709505
1x BLACKMORES HEALTHY JOINTS Kalbe TABLET Tarik Barang Retur</v>
      </c>
      <c r="G813" s="36">
        <f>'DE ( Tarik barang retur )'!AF790</f>
        <v>46189</v>
      </c>
      <c r="H813" s="22">
        <v>46191.0</v>
      </c>
      <c r="I813" s="24"/>
      <c r="J813" s="21" t="s">
        <v>5295</v>
      </c>
      <c r="K813" s="24"/>
      <c r="L813" s="24"/>
      <c r="M813" s="49"/>
      <c r="N813" s="25"/>
      <c r="O813" s="25"/>
      <c r="P813" s="25"/>
      <c r="Q813" s="25"/>
      <c r="R813" s="25"/>
      <c r="S813" s="25"/>
      <c r="T813" s="25"/>
      <c r="U813" s="25"/>
      <c r="V813" s="25"/>
      <c r="W813" s="25"/>
      <c r="X813" s="25"/>
      <c r="Y813" s="25"/>
      <c r="Z813" s="25"/>
      <c r="AA813" s="25"/>
      <c r="AB813" s="25"/>
      <c r="AC813" s="25"/>
    </row>
    <row r="814">
      <c r="A814" s="24" t="str">
        <f>'DE ( Tarik barang retur )'!AC791</f>
        <v>AWBR-3320202550-01</v>
      </c>
      <c r="B814" s="24" t="str">
        <f>'DE ( Tarik barang retur )'!F791</f>
        <v>Apotek Cemerlang Rawamangun</v>
      </c>
      <c r="C814" s="35">
        <f>'DE ( Tarik barang retur )'!G791</f>
        <v>6.28211E+17</v>
      </c>
      <c r="D814" s="24" t="str">
        <f>'DE ( Tarik barang retur )'!H791</f>
        <v>Jalan Pinang Raya No.53A, RT 02 RW 08 Kelurahan Rawamangun, Kecamatan Pulo Gadung Jakarta Timur,13220</v>
      </c>
      <c r="E814" s="24" t="str">
        <f>'DE ( Tarik barang retur )'!D791</f>
        <v>TMP-INV-2026/06/14/ 2852728</v>
      </c>
      <c r="F814" s="24" t="str">
        <f>'DE ( Tarik barang retur )'!R791</f>
        <v>Invoice: TMP-INV-2026/06/14/ 2852728
1x LESICHOL-600 Pertiwi Agung KAPSUL Tarik Barang Retur</v>
      </c>
      <c r="G814" s="36">
        <f>'DE ( Tarik barang retur )'!AF791</f>
        <v>46189</v>
      </c>
      <c r="H814" s="22">
        <v>46189.0</v>
      </c>
      <c r="I814" s="22">
        <v>46190.0</v>
      </c>
      <c r="J814" s="21" t="s">
        <v>5294</v>
      </c>
      <c r="K814" s="24"/>
      <c r="L814" s="24"/>
      <c r="M814" s="24"/>
      <c r="N814" s="24"/>
      <c r="O814" s="24"/>
      <c r="P814" s="25"/>
      <c r="Q814" s="25"/>
      <c r="R814" s="25"/>
      <c r="S814" s="25"/>
      <c r="T814" s="25"/>
      <c r="U814" s="25"/>
      <c r="V814" s="25"/>
      <c r="W814" s="25"/>
      <c r="X814" s="25"/>
      <c r="Y814" s="25"/>
      <c r="Z814" s="25"/>
      <c r="AA814" s="25"/>
      <c r="AB814" s="25"/>
      <c r="AC814" s="25"/>
    </row>
    <row r="815">
      <c r="A815" s="24" t="str">
        <f>'DE ( Tarik barang retur )'!AC792</f>
        <v>AWBR-3320320377-01</v>
      </c>
      <c r="B815" s="24" t="str">
        <f>'DE ( Tarik barang retur )'!F792</f>
        <v>Apotek Medicastore 1601</v>
      </c>
      <c r="C815" s="35">
        <f>'DE ( Tarik barang retur )'!G792</f>
        <v>81585857777</v>
      </c>
      <c r="D815" s="24" t="str">
        <f>'DE ( Tarik barang retur )'!H792</f>
        <v>Jalan Kelapa Gading Boulevard Blok CN-2 Kav. No. 26 RT 03 RW 012 Kelurahan Kelapa Gading Timur Kecamatan Kelapa Gading Jakarta Utara 14240</v>
      </c>
      <c r="E815" s="24" t="str">
        <f>'DE ( Tarik barang retur )'!D792</f>
        <v>TMP-INV-2025/05/15/ 1578964</v>
      </c>
      <c r="F815" s="24" t="str">
        <f>'DE ( Tarik barang retur )'!R792</f>
        <v>Invoice: TMP-INV-2025/05/15/ 1578964
1x FAKTU Pharos SALEP Tarik Barang Retur</v>
      </c>
      <c r="G815" s="36">
        <f>'DE ( Tarik barang retur )'!AF792</f>
        <v>46189</v>
      </c>
      <c r="H815" s="22">
        <v>46191.0</v>
      </c>
      <c r="I815" s="24"/>
      <c r="J815" s="21" t="s">
        <v>5295</v>
      </c>
      <c r="K815" s="24"/>
      <c r="L815" s="24"/>
      <c r="M815" s="25"/>
      <c r="N815" s="25"/>
      <c r="O815" s="25"/>
      <c r="P815" s="25"/>
      <c r="Q815" s="25"/>
      <c r="R815" s="25"/>
      <c r="S815" s="25"/>
      <c r="T815" s="25"/>
      <c r="U815" s="25"/>
      <c r="V815" s="25"/>
      <c r="W815" s="25"/>
      <c r="X815" s="25"/>
      <c r="Y815" s="25"/>
      <c r="Z815" s="25"/>
      <c r="AA815" s="25"/>
      <c r="AB815" s="25"/>
      <c r="AC815" s="25"/>
    </row>
    <row r="816">
      <c r="A816" s="24" t="str">
        <f>'DE ( Tarik barang retur )'!AC793</f>
        <v>AWBR-3320242085-01</v>
      </c>
      <c r="B816" s="24" t="str">
        <f>'DE ( Tarik barang retur )'!F793</f>
        <v>Apotek Medicastore 1601</v>
      </c>
      <c r="C816" s="35">
        <f>'DE ( Tarik barang retur )'!G793</f>
        <v>81585857777</v>
      </c>
      <c r="D816" s="24" t="str">
        <f>'DE ( Tarik barang retur )'!H793</f>
        <v>Jalan Kelapa Gading Boulevard Blok CN-2 Kav. No. 26 RT 03 RW 012 Kelurahan Kelapa Gading Timur Kecamatan Kelapa Gading Jakarta Utara 14240</v>
      </c>
      <c r="E816" s="24" t="str">
        <f>'DE ( Tarik barang retur )'!D793</f>
        <v>TMP-INV-2025/03/05/ 1400818</v>
      </c>
      <c r="F816" s="24" t="str">
        <f>'DE ( Tarik barang retur )'!R793</f>
        <v>Invoice: TMP-INV-2025/03/05/ 1400818
2x NASONEX Organon SEMPROT HIDUNG 50 MCG/DOSIS Tarik Barang Retur</v>
      </c>
      <c r="G816" s="36">
        <f>'DE ( Tarik barang retur )'!AF793</f>
        <v>46189</v>
      </c>
      <c r="H816" s="22">
        <v>46191.0</v>
      </c>
      <c r="I816" s="24"/>
      <c r="J816" s="21" t="s">
        <v>5295</v>
      </c>
      <c r="K816" s="24"/>
      <c r="L816" s="24"/>
      <c r="M816" s="25"/>
      <c r="N816" s="25"/>
      <c r="O816" s="25"/>
      <c r="P816" s="25"/>
      <c r="Q816" s="25"/>
      <c r="R816" s="25"/>
      <c r="S816" s="25"/>
      <c r="T816" s="25"/>
      <c r="U816" s="25"/>
      <c r="V816" s="25"/>
      <c r="W816" s="25"/>
      <c r="X816" s="25"/>
      <c r="Y816" s="25"/>
      <c r="Z816" s="25"/>
      <c r="AA816" s="25"/>
      <c r="AB816" s="25"/>
      <c r="AC816" s="25"/>
    </row>
    <row r="817">
      <c r="A817" s="24" t="str">
        <f>'DE ( Tarik barang retur )'!AC794</f>
        <v>AWBR-3320209864-01</v>
      </c>
      <c r="B817" s="24" t="str">
        <f>'DE ( Tarik barang retur )'!F794</f>
        <v>Apotek Alang Farma Bahagia Babelan</v>
      </c>
      <c r="C817" s="35">
        <f>'DE ( Tarik barang retur )'!G794</f>
        <v>6.28128E+17</v>
      </c>
      <c r="D817" s="24" t="str">
        <f>'DE ( Tarik barang retur )'!H794</f>
        <v>Jl. KH Tajudin RT. 06 RW. 03, Desa/Kelurahan Bahagia, Kec. Babelan, Kab. Bekasi</v>
      </c>
      <c r="E817" s="24" t="str">
        <f>'DE ( Tarik barang retur )'!D794</f>
        <v>TMP-INV-2025/04/08/ 1481063</v>
      </c>
      <c r="F817" s="24" t="str">
        <f>'DE ( Tarik barang retur )'!R794</f>
        <v>Invoice: TMP-INV-2025/04/08/ 1481063
1x ASTRIA FORCE Pertiwi agung KAPSUL
1x ASTRIA Pertiwi Agung KAPSUL 4 MG Tarik Barang Retur</v>
      </c>
      <c r="G817" s="36">
        <f>'DE ( Tarik barang retur )'!AF794</f>
        <v>46189</v>
      </c>
      <c r="H817" s="24"/>
      <c r="I817" s="24"/>
      <c r="J817" s="21" t="s">
        <v>5307</v>
      </c>
      <c r="K817" s="24"/>
      <c r="L817" s="24"/>
      <c r="M817" s="24"/>
      <c r="N817" s="24"/>
      <c r="O817" s="24"/>
      <c r="P817" s="25"/>
      <c r="Q817" s="25"/>
      <c r="R817" s="25"/>
      <c r="S817" s="25"/>
      <c r="T817" s="25"/>
      <c r="U817" s="25"/>
      <c r="V817" s="25"/>
      <c r="W817" s="25"/>
      <c r="X817" s="25"/>
      <c r="Y817" s="25"/>
      <c r="Z817" s="25"/>
      <c r="AA817" s="25"/>
      <c r="AB817" s="25"/>
      <c r="AC817" s="25"/>
    </row>
    <row r="818">
      <c r="A818" s="24" t="str">
        <f>'DE ( Tarik barang retur )'!AC795</f>
        <v>AWBR-3320208340-01</v>
      </c>
      <c r="B818" s="24" t="str">
        <f>'DE ( Tarik barang retur )'!F795</f>
        <v>Apotek Afifah Farma</v>
      </c>
      <c r="C818" s="35">
        <f>'DE ( Tarik barang retur )'!G795</f>
        <v>8128475028</v>
      </c>
      <c r="D818" s="24" t="str">
        <f>'DE ( Tarik barang retur )'!H795</f>
        <v>Perum Telaga Murni Blok B1 No. 30-31 Desa/Kelurahan Telaga Murni Kecamatan Cikarang Barat Kabupaten Bekasi 17530</v>
      </c>
      <c r="E818" s="24" t="str">
        <f>'DE ( Tarik barang retur )'!D795</f>
        <v>TMP-INV-2026/04/29/ 2689971</v>
      </c>
      <c r="F818" s="24" t="str">
        <f>'DE ( Tarik barang retur )'!R795</f>
        <v>Invoice: TMP-INV-2026/04/29/ 2689971
Full Return Tarik Barang Retur</v>
      </c>
      <c r="G818" s="36">
        <f>'DE ( Tarik barang retur )'!AF795</f>
        <v>46189</v>
      </c>
      <c r="H818" s="22">
        <v>46190.0</v>
      </c>
      <c r="I818" s="24"/>
      <c r="J818" s="21" t="s">
        <v>5295</v>
      </c>
      <c r="K818" s="24"/>
      <c r="L818" s="24"/>
      <c r="M818" s="24"/>
      <c r="N818" s="24"/>
      <c r="O818" s="24"/>
      <c r="P818" s="25"/>
      <c r="Q818" s="25"/>
      <c r="R818" s="25"/>
      <c r="S818" s="25"/>
      <c r="T818" s="25"/>
      <c r="U818" s="25"/>
      <c r="V818" s="25"/>
      <c r="W818" s="25"/>
      <c r="X818" s="25"/>
      <c r="Y818" s="25"/>
      <c r="Z818" s="25"/>
      <c r="AA818" s="25"/>
      <c r="AB818" s="25"/>
      <c r="AC818" s="25"/>
    </row>
    <row r="819">
      <c r="A819" s="24" t="str">
        <f>'DE ( Tarik barang retur )'!AC796</f>
        <v>AWBR-3320203318-01</v>
      </c>
      <c r="B819" s="24" t="str">
        <f>'DE ( Tarik barang retur )'!F796</f>
        <v>Apotek K24 Anggrek Cikarang Baru</v>
      </c>
      <c r="C819" s="35">
        <f>'DE ( Tarik barang retur )'!G796</f>
        <v>87877209076</v>
      </c>
      <c r="D819" s="24" t="str">
        <f>'DE ( Tarik barang retur )'!H796</f>
        <v>Jalan Anggrek Kaviling B1 No.23 Kelurahan Mekarmukti Kecamatan Cikarang Utara Kabupaten Bekasi 17530</v>
      </c>
      <c r="E819" s="24" t="str">
        <f>'DE ( Tarik barang retur )'!D796</f>
        <v>TMP-INV-2026/06/13/ 2849709</v>
      </c>
      <c r="F819" s="24" t="str">
        <f>'DE ( Tarik barang retur )'!R796</f>
        <v>Invoice: TMP-INV-2026/06/13/ 2849709
2x PROME Interbat SIRUP
1x SILADEX MUCOLYTIC and EXPECTORANT Konimex SIRUP
1x SELSUN YELLOW DOUBLE IMPACT Rohto SHAMPOO Tarik Barang Retur</v>
      </c>
      <c r="G819" s="36">
        <f>'DE ( Tarik barang retur )'!AF796</f>
        <v>46189</v>
      </c>
      <c r="H819" s="22">
        <v>46190.0</v>
      </c>
      <c r="I819" s="22">
        <v>46190.0</v>
      </c>
      <c r="J819" s="21" t="s">
        <v>5294</v>
      </c>
      <c r="K819" s="24"/>
      <c r="L819" s="24"/>
      <c r="M819" s="24"/>
      <c r="N819" s="24"/>
      <c r="O819" s="24"/>
      <c r="P819" s="25"/>
      <c r="Q819" s="25"/>
      <c r="R819" s="25"/>
      <c r="S819" s="25"/>
      <c r="T819" s="25"/>
      <c r="U819" s="25"/>
      <c r="V819" s="25"/>
      <c r="W819" s="25"/>
      <c r="X819" s="25"/>
      <c r="Y819" s="25"/>
      <c r="Z819" s="25"/>
      <c r="AA819" s="25"/>
      <c r="AB819" s="25"/>
      <c r="AC819" s="25"/>
    </row>
    <row r="820">
      <c r="A820" s="24" t="str">
        <f>'DE ( Tarik barang retur )'!AC797</f>
        <v>AWBR-3320240234-01</v>
      </c>
      <c r="B820" s="24" t="str">
        <f>'DE ( Tarik barang retur )'!F797</f>
        <v>Apotek Najah</v>
      </c>
      <c r="C820" s="35">
        <f>'DE ( Tarik barang retur )'!G797</f>
        <v>6.2859E+16</v>
      </c>
      <c r="D820" s="24" t="str">
        <f>'DE ( Tarik barang retur )'!H797</f>
        <v>Jl. Ruko Little China JD 20, Legenda Wisata Desa/Kelurahan Nagrak, Kecamatan Gunung Putri, Kabupaten Bogor, Jawa Barat, 16967</v>
      </c>
      <c r="E820" s="24" t="str">
        <f>'DE ( Tarik barang retur )'!D797</f>
        <v>TMP-INV-2025/02/06/ 1334223</v>
      </c>
      <c r="F820" s="24" t="str">
        <f>'DE ( Tarik barang retur )'!R797</f>
        <v>Invoice: TMP-INV-2025/02/06/ 1334223
1x VENTOLIN Gsk SIRUP 2 MG/5 ML Tarik Barang Retur</v>
      </c>
      <c r="G820" s="36">
        <f>'DE ( Tarik barang retur )'!AF797</f>
        <v>46189</v>
      </c>
      <c r="H820" s="22">
        <v>46189.0</v>
      </c>
      <c r="I820" s="22">
        <v>46190.0</v>
      </c>
      <c r="J820" s="21" t="s">
        <v>5294</v>
      </c>
      <c r="K820" s="24"/>
      <c r="L820" s="24"/>
      <c r="M820" s="24"/>
      <c r="N820" s="24"/>
      <c r="O820" s="24"/>
      <c r="P820" s="25"/>
      <c r="Q820" s="25"/>
      <c r="R820" s="25"/>
      <c r="S820" s="25"/>
      <c r="T820" s="25"/>
      <c r="U820" s="25"/>
      <c r="V820" s="25"/>
      <c r="W820" s="25"/>
      <c r="X820" s="25"/>
      <c r="Y820" s="25"/>
      <c r="Z820" s="25"/>
      <c r="AA820" s="25"/>
      <c r="AB820" s="25"/>
      <c r="AC820" s="25"/>
    </row>
    <row r="821">
      <c r="A821" s="24" t="str">
        <f>'DE ( Tarik barang retur )'!AC798</f>
        <v>AWBR-3320272181-01</v>
      </c>
      <c r="B821" s="24" t="str">
        <f>'DE ( Tarik barang retur )'!F798</f>
        <v>Apotek Arfa Farma</v>
      </c>
      <c r="C821" s="35">
        <f>'DE ( Tarik barang retur )'!G798</f>
        <v>6.28562E+17</v>
      </c>
      <c r="D821" s="24" t="str">
        <f>'DE ( Tarik barang retur )'!H798</f>
        <v>Jalan Raya Sukamantri RT 01/ RW 01 Desa Sukamantri, Kecamatan Sukamantri, Kabupaten Ciamis 46264</v>
      </c>
      <c r="E821" s="24" t="str">
        <f>'DE ( Tarik barang retur )'!D798</f>
        <v>TMP-INV-2026/06/13/ 2851913</v>
      </c>
      <c r="F821" s="24" t="str">
        <f>'DE ( Tarik barang retur )'!R798</f>
        <v>Invoice: TMP-INV-2026/06/13/ 2851913
1x XEPAZYM Metiska KAPLET Tarik Barang Retur</v>
      </c>
      <c r="G821" s="36">
        <f>'DE ( Tarik barang retur )'!AF798</f>
        <v>46189</v>
      </c>
      <c r="H821" s="22">
        <v>46190.0</v>
      </c>
      <c r="I821" s="24"/>
      <c r="J821" s="21" t="s">
        <v>5295</v>
      </c>
      <c r="K821" s="24"/>
      <c r="L821" s="24"/>
      <c r="M821" s="25"/>
      <c r="N821" s="25"/>
      <c r="O821" s="25"/>
      <c r="P821" s="25"/>
      <c r="Q821" s="25"/>
      <c r="R821" s="25"/>
      <c r="S821" s="25"/>
      <c r="T821" s="25"/>
      <c r="U821" s="25"/>
      <c r="V821" s="25"/>
      <c r="W821" s="25"/>
      <c r="X821" s="25"/>
      <c r="Y821" s="25"/>
      <c r="Z821" s="25"/>
      <c r="AA821" s="25"/>
      <c r="AB821" s="25"/>
      <c r="AC821" s="25"/>
    </row>
    <row r="822">
      <c r="A822" s="24" t="str">
        <f>'DE ( Tarik barang retur )'!AC799</f>
        <v>AWBR-3320247039-01</v>
      </c>
      <c r="B822" s="24" t="str">
        <f>'DE ( Tarik barang retur )'!F799</f>
        <v>Apotek Fani 2 Babakan Babakan</v>
      </c>
      <c r="C822" s="35">
        <f>'DE ( Tarik barang retur )'!G799</f>
        <v>6.28822E+17</v>
      </c>
      <c r="D822" s="24" t="str">
        <f>'DE ( Tarik barang retur )'!H799</f>
        <v>Jl. Pangeran Sutajaya Desa Babakan Kec. Babakan Kab. Cirebon</v>
      </c>
      <c r="E822" s="24" t="str">
        <f>'DE ( Tarik barang retur )'!D799</f>
        <v>TMP-INV-2026/06/12/ 2844925</v>
      </c>
      <c r="F822" s="24" t="str">
        <f>'DE ( Tarik barang retur )'!R799</f>
        <v>Invoice: TMP-INV-2026/06/12/ 2844925
3x DEXTAMINE Phapros KAPLET
2x LORATADINE Hexpharm TABLET 10 MG Tarik Barang Retur</v>
      </c>
      <c r="G822" s="36">
        <f>'DE ( Tarik barang retur )'!AF799</f>
        <v>46189</v>
      </c>
      <c r="H822" s="22">
        <v>46189.0</v>
      </c>
      <c r="I822" s="24"/>
      <c r="J822" s="21" t="s">
        <v>5295</v>
      </c>
      <c r="K822" s="24"/>
      <c r="L822" s="24"/>
      <c r="M822" s="24"/>
      <c r="N822" s="24"/>
      <c r="O822" s="24"/>
      <c r="P822" s="25"/>
      <c r="Q822" s="25"/>
      <c r="R822" s="25"/>
      <c r="S822" s="25"/>
      <c r="T822" s="25"/>
      <c r="U822" s="25"/>
      <c r="V822" s="25"/>
      <c r="W822" s="25"/>
      <c r="X822" s="25"/>
      <c r="Y822" s="25"/>
      <c r="Z822" s="25"/>
      <c r="AA822" s="25"/>
      <c r="AB822" s="25"/>
      <c r="AC822" s="25"/>
    </row>
    <row r="823">
      <c r="A823" s="24" t="str">
        <f>'DE ( Tarik barang retur )'!AC800</f>
        <v>AWBR-3320248770-01</v>
      </c>
      <c r="B823" s="24" t="str">
        <f>'DE ( Tarik barang retur )'!F800</f>
        <v>Apotek Barokah Plus Bojong Rawalumbu Rawalumbu</v>
      </c>
      <c r="C823" s="35">
        <f>'DE ( Tarik barang retur )'!G800</f>
        <v>6.28521E+17</v>
      </c>
      <c r="D823" s="24" t="str">
        <f>'DE ( Tarik barang retur )'!H800</f>
        <v>Jl Caringin no 6A RT 003 RW 005 , Desa/Kelurahan Bojong Rawalumbu, Kec. Rawalumbu, Kota Bekasi</v>
      </c>
      <c r="E823" s="24" t="str">
        <f>'DE ( Tarik barang retur )'!D800</f>
        <v>TMP-INV-2025/10/14/ 2022305</v>
      </c>
      <c r="F823" s="24" t="str">
        <f>'DE ( Tarik barang retur )'!R800</f>
        <v>Invoice: TMP-INV-2025/10/14/ 2022305
1x VENTOLIN INHALER CFC FREE Gsk 200 Doses Tarik Barang Retur</v>
      </c>
      <c r="G823" s="36">
        <f>'DE ( Tarik barang retur )'!AF800</f>
        <v>46189</v>
      </c>
      <c r="H823" s="24"/>
      <c r="I823" s="24"/>
      <c r="J823" s="21" t="s">
        <v>5307</v>
      </c>
      <c r="K823" s="24"/>
      <c r="L823" s="24"/>
      <c r="M823" s="24"/>
      <c r="N823" s="24"/>
      <c r="O823" s="24"/>
      <c r="P823" s="25"/>
      <c r="Q823" s="25"/>
      <c r="R823" s="25"/>
      <c r="S823" s="25"/>
      <c r="T823" s="25"/>
      <c r="U823" s="25"/>
      <c r="V823" s="25"/>
      <c r="W823" s="25"/>
      <c r="X823" s="25"/>
      <c r="Y823" s="25"/>
      <c r="Z823" s="25"/>
      <c r="AA823" s="25"/>
      <c r="AB823" s="25"/>
      <c r="AC823" s="25"/>
    </row>
    <row r="824">
      <c r="A824" s="24" t="str">
        <f>'DE ( Tarik barang retur )'!AC801</f>
        <v>AWBR-3320228841-01</v>
      </c>
      <c r="B824" s="24" t="str">
        <f>'DE ( Tarik barang retur )'!F801</f>
        <v>Apotek Cinta Sehat 1467</v>
      </c>
      <c r="C824" s="35">
        <f>'DE ( Tarik barang retur )'!G801</f>
        <v>81317174324</v>
      </c>
      <c r="D824" s="24" t="str">
        <f>'DE ( Tarik barang retur )'!H801</f>
        <v>Jl KH. Agus Salim No 50 V Rt 07 Rw 06 bekasi jaya Kecamatan Bekasi Timur kota Bekasi</v>
      </c>
      <c r="E824" s="24" t="str">
        <f>'DE ( Tarik barang retur )'!D801</f>
        <v>TMP-INV-2024/10/03/ 1046777</v>
      </c>
      <c r="F824" s="24" t="str">
        <f>'DE ( Tarik barang retur )'!R801</f>
        <v>Invoice: TMP-INV-2024/10/03/ 1046777
1x MEBO Pharma Health Tarik Barang Retur</v>
      </c>
      <c r="G824" s="36">
        <f>'DE ( Tarik barang retur )'!AF801</f>
        <v>46189</v>
      </c>
      <c r="H824" s="24"/>
      <c r="I824" s="24"/>
      <c r="J824" s="21" t="s">
        <v>5307</v>
      </c>
      <c r="K824" s="24"/>
      <c r="L824" s="24"/>
      <c r="M824" s="24"/>
      <c r="N824" s="24"/>
      <c r="O824" s="24"/>
      <c r="P824" s="25"/>
      <c r="Q824" s="25"/>
      <c r="R824" s="25"/>
      <c r="S824" s="25"/>
      <c r="T824" s="25"/>
      <c r="U824" s="25"/>
      <c r="V824" s="25"/>
      <c r="W824" s="25"/>
      <c r="X824" s="25"/>
      <c r="Y824" s="25"/>
      <c r="Z824" s="25"/>
      <c r="AA824" s="25"/>
      <c r="AB824" s="25"/>
      <c r="AC824" s="25"/>
    </row>
    <row r="825">
      <c r="A825" s="24" t="str">
        <f>'DE ( Tarik barang retur )'!AC802</f>
        <v>AWBR-3320250763-01</v>
      </c>
      <c r="B825" s="24" t="str">
        <f>'DE ( Tarik barang retur )'!F802</f>
        <v>Apotek Kejayaan Abadijaya Sukmajaya</v>
      </c>
      <c r="C825" s="35">
        <f>'DE ( Tarik barang retur )'!G802</f>
        <v>6.28128E+17</v>
      </c>
      <c r="D825" s="24" t="str">
        <f>'DE ( Tarik barang retur )'!H802</f>
        <v>Jl. Kejayaan No. 1 RT. 001 RW. 008,Desa/Kelurahan Abadijaya,Kecamatan Sukmajaya,Kota Depok,Jawa Barat,16417</v>
      </c>
      <c r="E825" s="24" t="str">
        <f>'DE ( Tarik barang retur )'!D802</f>
        <v>TMP-INV-2026/06/14/ 2853586</v>
      </c>
      <c r="F825" s="24" t="str">
        <f>'DE ( Tarik barang retur )'!R802</f>
        <v>Invoice: TMP-INV-2026/06/14/ 2853586
3x OXYCAN GREEN Samator Gas Tarik Barang Retur</v>
      </c>
      <c r="G825" s="36">
        <f>'DE ( Tarik barang retur )'!AF802</f>
        <v>46189</v>
      </c>
      <c r="H825" s="22">
        <v>46189.0</v>
      </c>
      <c r="I825" s="22">
        <v>46190.0</v>
      </c>
      <c r="J825" s="21" t="s">
        <v>5294</v>
      </c>
      <c r="K825" s="24"/>
      <c r="L825" s="24"/>
      <c r="M825" s="24"/>
      <c r="N825" s="24"/>
      <c r="O825" s="24"/>
      <c r="P825" s="25"/>
      <c r="Q825" s="25"/>
      <c r="R825" s="25"/>
      <c r="S825" s="25"/>
      <c r="T825" s="25"/>
      <c r="U825" s="25"/>
      <c r="V825" s="25"/>
      <c r="W825" s="25"/>
      <c r="X825" s="25"/>
      <c r="Y825" s="25"/>
      <c r="Z825" s="25"/>
      <c r="AA825" s="25"/>
      <c r="AB825" s="25"/>
      <c r="AC825" s="25"/>
    </row>
    <row r="826">
      <c r="A826" s="24" t="str">
        <f>'DE ( Tarik barang retur )'!AC803</f>
        <v>AWBR-14015-2026-6-16-01</v>
      </c>
      <c r="B826" s="24" t="str">
        <f>'DE ( Tarik barang retur )'!F803</f>
        <v>Apotek Inofarma Ampera</v>
      </c>
      <c r="C826" s="35">
        <f>'DE ( Tarik barang retur )'!G803</f>
        <v>6.28572E+17</v>
      </c>
      <c r="D826" s="24" t="str">
        <f>'DE ( Tarik barang retur )'!H803</f>
        <v>Jl. Budi Mulia Raya No. 8-L, RT 000 RW 00, Kel. Pademangan Barat, Kec. Pademangan, Jakarta Utara</v>
      </c>
      <c r="E826" s="24" t="str">
        <f>'DE ( Tarik barang retur )'!D803</f>
        <v>-</v>
      </c>
      <c r="F826" s="24" t="str">
        <f>'DE ( Tarik barang retur )'!R803</f>
        <v>TMP-INV-2026/01/27/ 2367282 TMP-INV-2026/01/25/ 2363192
TMP-INV-2026/01/24/ 2359441
TMP-INV-2026/01/25/ 2363191
TMP-INV-2026/02/06/ 2405529
TMP-INV-2026/02/16/ 2437958
TMP-INV-2026/02/27/ 2478631
TMP-INV-2026/03/24/ 2559663
TMP-INV-2026/03/25/ 2563349
TMP-INV-2026/05/15/ 2749573
 MILO ACTIV-GO Nestle COKELAT KARTON LAMIAT 110 ML FULLO Ultra WAFER ROLL RASA SUSU VANILLA ALUMINIUM FOIL @ 70 G
NEPHRISOL D Kalbe RASA VANILA DUS KARTON, ALUMINIUM FOIL 210 g
NEPHRISOL Sanghiang RASA CAPPUCCINO DUS, 3 SACHET @67 G
TROLIT Kalbe SERBUK DUS, 6 SACHET @ 4 GRAM
VYTORIN Organon TABLET 10/20 MG DUS, 3 BLISTER @ 10 TABLET
MILO ACTIV-GO Nestle COKELAT KARTON LAMIAT 110 ML
TROLIT Kalbe SERBUK DUS, 6 SACHET @ 4 GRAM
PEPTIBREN Sanghiang RASA KACANG HIJAU DUS, 3 SACHET @ 65 G
HARNAL D Combiphar TABLET DISPERSIBLE 0.2 MG DUS, 2 BLISTER @ 14 TABLET DISPERSIBEL
TRINORDIOL-28 Sunthi TABLET DUS, 2 BLISTER @ 28 TABLET SALUT GULA
 Tarik Barang Retur</v>
      </c>
      <c r="G826" s="36">
        <f>'DE ( Tarik barang retur )'!AF803</f>
        <v>46189</v>
      </c>
      <c r="H826" s="22">
        <v>46190.0</v>
      </c>
      <c r="I826" s="22">
        <v>46190.0</v>
      </c>
      <c r="J826" s="21" t="s">
        <v>5294</v>
      </c>
      <c r="K826" s="24"/>
      <c r="L826" s="24"/>
      <c r="M826" s="24"/>
      <c r="N826" s="24"/>
      <c r="O826" s="24"/>
      <c r="P826" s="25"/>
      <c r="Q826" s="25"/>
      <c r="R826" s="25"/>
      <c r="S826" s="25"/>
      <c r="T826" s="25"/>
      <c r="U826" s="25"/>
      <c r="V826" s="25"/>
      <c r="W826" s="25"/>
      <c r="X826" s="25"/>
      <c r="Y826" s="25"/>
      <c r="Z826" s="25"/>
      <c r="AA826" s="25"/>
      <c r="AB826" s="25"/>
      <c r="AC826" s="25"/>
    </row>
    <row r="827">
      <c r="A827" s="24" t="str">
        <f>'DE ( Tarik barang retur )'!AC804</f>
        <v>AWBR-14017-2026-6-16-01</v>
      </c>
      <c r="B827" s="24" t="str">
        <f>'DE ( Tarik barang retur )'!F804</f>
        <v>Apotek Inofarma Bukit Duri</v>
      </c>
      <c r="C827" s="35">
        <f>'DE ( Tarik barang retur )'!G804</f>
        <v>6.28593E+17</v>
      </c>
      <c r="D827" s="24" t="str">
        <f>'DE ( Tarik barang retur )'!H804</f>
        <v>Jl. Bukit Duri Barat Raya No. 9, RT 009 RW 01, Kel. Bukit Duri, Kec. Tebet, Jakarta Selatan</v>
      </c>
      <c r="E827" s="24" t="str">
        <f>'DE ( Tarik barang retur )'!D804</f>
        <v>-</v>
      </c>
      <c r="F827" s="24" t="str">
        <f>'DE ( Tarik barang retur )'!R804</f>
        <v>TMP-INV-2026/01/25/ 2363274 TMP-INV-2026/02/10/ 2417800
TMP-INV-2026/02/12/ 2425520
TMP-INV-2026/02/26/ 2475172
TMP-INV-2026/02/27/ 2479088
TMP-INV-2026/03/09/ 2512124
TMP-INV-2026/03/24/ 2561203
TMP-INV-2026/05/15/ 2749782
 TROLIT Kalbe SERBUK DUS, 6 SACHET @ 4 GRAM LACTOGEN LACTOSE FREE Nestle KALENG 400 G
PEPTIBREN Sanghiang RASA KACANG HIJAU DUS, 3 SACHET @ 65 G
LACTOGEN LACTOSE FREE Nestle KALENG 400 G
TROLIT Kalbe SERBUK DUS, 6 SACHET @ 4 GRAM
ALPENTIN Actavis KAPSUL 100 MG DUS, 5 BLISTER @ 10 KAPSUL
COLERGIS Dexa Medica TABLET DUS, 10 STRIP @ 10 TABLET
TRINORDIOL-28 Sunthi TABLET DUS, 2 BLISTER @ 28 TABLET SALUT GULA
 Tarik Barang Retur</v>
      </c>
      <c r="G827" s="36">
        <f>'DE ( Tarik barang retur )'!AF804</f>
        <v>46189</v>
      </c>
      <c r="H827" s="22">
        <v>46190.0</v>
      </c>
      <c r="I827" s="22">
        <v>46190.0</v>
      </c>
      <c r="J827" s="21" t="s">
        <v>5294</v>
      </c>
      <c r="K827" s="24"/>
      <c r="L827" s="24"/>
      <c r="M827" s="24"/>
      <c r="N827" s="24"/>
      <c r="O827" s="24"/>
      <c r="P827" s="25"/>
      <c r="Q827" s="25"/>
      <c r="R827" s="25"/>
      <c r="S827" s="25"/>
      <c r="T827" s="25"/>
      <c r="U827" s="25"/>
      <c r="V827" s="25"/>
      <c r="W827" s="25"/>
      <c r="X827" s="25"/>
      <c r="Y827" s="25"/>
      <c r="Z827" s="25"/>
      <c r="AA827" s="25"/>
      <c r="AB827" s="25"/>
      <c r="AC827" s="25"/>
    </row>
    <row r="828">
      <c r="A828" s="24" t="str">
        <f>'DE ( Tarik barang retur )'!AC805</f>
        <v>AWBR-14018-2026-6-16-01</v>
      </c>
      <c r="B828" s="24" t="str">
        <f>'DE ( Tarik barang retur )'!F805</f>
        <v>Apotek Inofarma Duri Kepa</v>
      </c>
      <c r="C828" s="35">
        <f>'DE ( Tarik barang retur )'!G805</f>
        <v>6.28593E+17</v>
      </c>
      <c r="D828" s="24" t="str">
        <f>'DE ( Tarik barang retur )'!H805</f>
        <v>Jl. Duri Raya 5 RT 006 RW 01, Duri Kepa, Kebon Jeruk, Jakarta Barat</v>
      </c>
      <c r="E828" s="24" t="str">
        <f>'DE ( Tarik barang retur )'!D805</f>
        <v>-</v>
      </c>
      <c r="F828" s="24" t="str">
        <f>'DE ( Tarik barang retur )'!R805</f>
        <v>TMP-INV-2026/03/30/ 2582738 TMP-INV-2026/04/02/ 2591182
TMP-INV-2026/04/02/ 2591164
TMP-INV-2026/04/03/ 2598570
TMP-INV-2026/04/04/ 2601619
TMP-INV-2026/05/12/ 2739132
 NECIBLOK Dankos SUSPENSI DUS, BOTOL 100 ML LACTOGEN LACTOSE FREE Nestle KALENG 400 G
MILNA NTURE RUMPUT LAUT POUCH, 13 G
YOU C-1000 LEMON WATER BOTOL PLASTIK @ 500 ML
PEPTIBREN Sanghiang RASA KACANG HIJAU DUS, 3 SACHET @ 65 G
TRINORDIOL-28 Sunthi TABLET DUS, 2 BLISTER @ 28 TABLET SALUT GULA
 Tarik Barang Retur</v>
      </c>
      <c r="G828" s="36">
        <f>'DE ( Tarik barang retur )'!AF805</f>
        <v>46189</v>
      </c>
      <c r="H828" s="22">
        <v>46189.0</v>
      </c>
      <c r="I828" s="22">
        <v>46190.0</v>
      </c>
      <c r="J828" s="21" t="s">
        <v>5294</v>
      </c>
      <c r="K828" s="24"/>
      <c r="L828" s="24"/>
      <c r="M828" s="24"/>
      <c r="N828" s="24"/>
      <c r="O828" s="24"/>
      <c r="P828" s="25"/>
      <c r="Q828" s="25"/>
      <c r="R828" s="25"/>
      <c r="S828" s="25"/>
      <c r="T828" s="25"/>
      <c r="U828" s="25"/>
      <c r="V828" s="25"/>
      <c r="W828" s="25"/>
      <c r="X828" s="25"/>
      <c r="Y828" s="25"/>
      <c r="Z828" s="25"/>
      <c r="AA828" s="25"/>
      <c r="AB828" s="25"/>
      <c r="AC828" s="25"/>
    </row>
    <row r="829">
      <c r="A829" s="24" t="str">
        <f>'DE ( Tarik barang retur )'!AC806</f>
        <v>AWBR-14016-2026-6-16-01</v>
      </c>
      <c r="B829" s="24" t="str">
        <f>'DE ( Tarik barang retur )'!F806</f>
        <v>Apotek Inofarma Fajar Baru</v>
      </c>
      <c r="C829" s="35">
        <f>'DE ( Tarik barang retur )'!G806</f>
        <v>6.28129E+17</v>
      </c>
      <c r="D829" s="24" t="str">
        <f>'DE ( Tarik barang retur )'!H806</f>
        <v>Jl. Fajar Baru Selatan No. 70, RT 12 RW 12, Kel. Cengkareng Timur, Kec. Cengkareng Kota, Jakarta Barat</v>
      </c>
      <c r="E829" s="24" t="str">
        <f>'DE ( Tarik barang retur )'!D806</f>
        <v>-</v>
      </c>
      <c r="F829" s="24" t="str">
        <f>'DE ( Tarik barang retur )'!R806</f>
        <v>TMP-INV-2026/01/22/ 2355471 TMP-INV-2026/01/23/ 2358371
TMP-INV-2026/01/23/ 2358892
TMP-INV-2026/02/20/ 2454918
TMP-INV-2026/02/27/ 2480013
TMP-INV-2026/03/09/ 2512041
TMP-INV-2026/05/17/ 2754592 DALFAROL 200 Darya-Varia KAPSUL DUS, 25 STRIP @ 4 KAPSUL LUNAK TROLIT Kalbe SERBUK DUS, 6 SACHET @ 4 GRAM
NEPHRISOL D Kalbe RASA VANILA DUS KARTON, ALUMINIUM FOIL 210 g
NEPHRISOL Sanghiang RASA CAPPUCCINO DUS, 3 SACHET @67 G
PEPTIBREN Sanghiang RASA KACANG HIJAU DUS, 3 SACHET @ 65 G
VYTORIN Organon TABLET 10/20 MG DUS, 3 BLISTER @ 10 TABLET
TROLIT Kalbe SERBUK DUS, 6 SACHET @ 4 GRAM
ALPENTIN Actavis KAPSUL 100 MG DUS, 5 BLISTER @ 10 KAPSUL
TRINORDIOL-28 Sunthi TABLET DUS, 2 BLISTER @ 28 TABLET SALUT GULA
 Tarik Barang Retur</v>
      </c>
      <c r="G829" s="36">
        <f>'DE ( Tarik barang retur )'!AF806</f>
        <v>46189</v>
      </c>
      <c r="H829" s="22">
        <v>46189.0</v>
      </c>
      <c r="I829" s="22">
        <v>46190.0</v>
      </c>
      <c r="J829" s="21" t="s">
        <v>5294</v>
      </c>
      <c r="K829" s="24"/>
      <c r="L829" s="24"/>
      <c r="M829" s="24"/>
      <c r="N829" s="24"/>
      <c r="O829" s="24"/>
      <c r="P829" s="25"/>
      <c r="Q829" s="25"/>
      <c r="R829" s="25"/>
      <c r="S829" s="25"/>
      <c r="T829" s="25"/>
      <c r="U829" s="25"/>
      <c r="V829" s="25"/>
      <c r="W829" s="25"/>
      <c r="X829" s="25"/>
      <c r="Y829" s="25"/>
      <c r="Z829" s="25"/>
      <c r="AA829" s="25"/>
      <c r="AB829" s="25"/>
      <c r="AC829" s="25"/>
    </row>
    <row r="830">
      <c r="A830" s="24" t="str">
        <f>'DE ( Tarik barang retur )'!AC807</f>
        <v>AWBR-14013-2026-6-16-01</v>
      </c>
      <c r="B830" s="24" t="str">
        <f>'DE ( Tarik barang retur )'!F807</f>
        <v>Apotek Inofarma Haji Nawi</v>
      </c>
      <c r="C830" s="35">
        <f>'DE ( Tarik barang retur )'!G807</f>
        <v>6.28001E+17</v>
      </c>
      <c r="D830" s="24" t="str">
        <f>'DE ( Tarik barang retur )'!H807</f>
        <v>Jl. H. Nawi No 7, RT 004 RW 007, Kel. Gandaria Utara, Kec. Kebayoran Baru, Jakarta Selatan</v>
      </c>
      <c r="E830" s="24" t="str">
        <f>'DE ( Tarik barang retur )'!D807</f>
        <v>-</v>
      </c>
      <c r="F830" s="24" t="str">
        <f>'DE ( Tarik barang retur )'!R807</f>
        <v>TMP-INV-2025/11/11/ 2117443 TMP-INV-2025/11/12/ 2120665
TMP-INV-2025/11/14/ 2127481
TMP-INV-2025/11/14/ 2127676
TMP-INV-2025/11/14/ 2127521
TMP-INV-2025/11/14/ 2125561
TMP-INV-2025/11/14/ 2127642
TMP-INV-2025/11/13/ 2124082
TMP-INV-2026/01/06/ 2297202
TMP-INV-2026/01/07/ 2305049
TMP-INV-2026/01/06/ 2297633
TMP-INV-2026/01/13/ 2323103
TMP-INV-2026/01/21/ 2351572
TMP-INV-2026/01/20/ 2348089
TMP-INV-2026/01/22/ 2355109
TMP-INV-2026/01/26/ 2366218
TMP-INV-2026/01/28/ 2374264
TMP-INV-2026/02/24/ 2467773
TMP-INV-2026/02/27/ 2479269
TMP-INV-2026/03/26/ 2564938
TMP-INV-2026/03/28/ 2572949
TMP-INV-2026/04/03/ 2595357
TMP-INV-2026/04/14/ 2637717
TMP-INV-2026/04/27/ 2683618
TMP-INV-2026/05/29/ 2797064
 TROLIT Kalbe SERBUK DUS, 6 SACHET @ 4 DALFAROL 200 Darya-Varia KAPSUL DUS, 25 STRIP @ 4 KAPSUL LUNAK
SANGOBION VITA-TONIK Merck CAIRAN ORAL DUS, BOTOL PLASTIK @ 250 ML
BEAR BRAND GOLD DENGAN SARI MALT PUTIH Nestle KALENG 140 ML
YOUVIT MULTIVITAMIN KIDS GUMMY RASA STRAWBERRY, JERUK, NANAS Yupi - POUCH POUCH @ 30 GUMMIES 120 G
NEOCATE LCP Nutricia SERBUK KALENG 400 G
BEAR BRAND GOLD DENGAN SARI MALT PUTIH Nestle KALENG 140 ML
BEAR BRAND WHITE TEA Nestle KALENG 140 ML
KRATINGDAENG SUPER Asia Health Energi Beverages BOTOL KACA @ 150 ML
NEPHRISOL D Kalbe RASA VANILA DUS KARTON, ALUMINIUM FOIL 210 g
VYTORIN Organon TABLET 10/20 MG DUS, 3 BLISTER @ 10 TABLET
MILNA BUBUR BAYI 6+ RASA TIM HATI AYAM BAYAM POUCH @ 120 G
MILNA BUBUR BAYI 8+ RASA SALMON CAH BAYAM POUCH @ 100 G
NEPHRISOL Sanghiang RASA CAPPUCCINO DUS, 3 SACHET @67 G
OLIGO Sanghiang TROPICAL BANANA DUS, 3 SACHET @ 55 G
PEPTIBREN Sanghiang RASA KACANG HIJAU DUS, 3 SACHET @ 65 G
MILNA BUBUR BAYI 8+ RASA SUP AYAM JAGUNG POUCH @ 100 G
GALVUSMET Novartis TABLET 50/500 MG DUS, 3 STRIP @ 10 TABLET SALUT SELAPUT
TAZOVELL Novell TABLET 30 MG DUS, 3 STRIP @ 10 TABLET
GALVUSMET Novartis TABLET 50/500 MG DUS, 3 STRIP @ 10 TABLET SALUT SELAPUT
YOU C-1000 LEMON WATER BOTOL PLASTIK @ 500 ML
BEAR BRAND WHITE TEA Nestle KALENG 140 ML
PROMINA PUFFS RASA SAPI WAGYU POUCH, 15 G
TROLIT Kalbe SERBUK DUS, 6 SACHET @ 4 GRAM
HARNAL D Combiphar TABLET DISPERSIBLE 0.2 MG DUS, 2 BLISTER @ 14 TABLET DISPERSIBEL
YOU C-1000 LEMON WATER BOTOL PLASTIK @ 500 ML
ALPENTIN Actavis KAPSUL 100 MG DUS, 5 BLISTER @ 10 KAPSUL
YOU C-1000 LEMON WATER BOTOL PLASTIK @ 500 ML
YOU C-1000 LEMON WATER BOTOL PLASTIK @ 500 ML
TRINORDIOL-28 Sunthi TABLET DUS, 2 BLISTER @ 28 TABLET SALUT GULA
 Tarik Barang Retur</v>
      </c>
      <c r="G830" s="36">
        <f>'DE ( Tarik barang retur )'!AF807</f>
        <v>46189</v>
      </c>
      <c r="H830" s="24"/>
      <c r="I830" s="24"/>
      <c r="J830" s="21" t="s">
        <v>5371</v>
      </c>
      <c r="K830" s="24"/>
      <c r="L830" s="24"/>
      <c r="M830" s="25" t="str">
        <f t="shared" ref="M830:M831" si="9">GET_LOCATION(D830,"city")</f>
        <v>Kota Jakarta Selatan</v>
      </c>
      <c r="N830" s="25" t="str">
        <f t="shared" ref="N830:N831" si="10">GET_LOCATION(D830,"province")</f>
        <v>Daerah Khusus Ibukota Jakarta</v>
      </c>
      <c r="O830" s="25" t="str">
        <f>VLOOKUP(M830,'Mapping Area'!A:C,3,0)</f>
        <v>GJ</v>
      </c>
      <c r="P830" s="25"/>
      <c r="Q830" s="25"/>
      <c r="R830" s="25"/>
      <c r="S830" s="25"/>
      <c r="T830" s="25"/>
      <c r="U830" s="25"/>
      <c r="V830" s="25"/>
      <c r="W830" s="25"/>
      <c r="X830" s="25"/>
      <c r="Y830" s="25"/>
      <c r="Z830" s="25"/>
      <c r="AA830" s="25"/>
      <c r="AB830" s="25"/>
      <c r="AC830" s="25"/>
    </row>
    <row r="831">
      <c r="A831" s="24" t="str">
        <f>'DE ( Tarik barang retur )'!AC808</f>
        <v>AWBR-14005-2026-6-16-01</v>
      </c>
      <c r="B831" s="24" t="str">
        <f>'DE ( Tarik barang retur )'!F808</f>
        <v>Apotek Inofarma Jembatan Besi</v>
      </c>
      <c r="C831" s="35">
        <f>'DE ( Tarik barang retur )'!G808</f>
        <v>6.28773E+17</v>
      </c>
      <c r="D831" s="24" t="str">
        <f>'DE ( Tarik barang retur )'!H808</f>
        <v>Jl. Jembatan Besi No.119A RT 05 RW 07, Kel. Jembatan Besi, Kec. Tambora, Kota Jakarta Barat,</v>
      </c>
      <c r="E831" s="24" t="str">
        <f>'DE ( Tarik barang retur )'!D808</f>
        <v>-</v>
      </c>
      <c r="F831" s="24" t="str">
        <f>'DE ( Tarik barang retur )'!R808</f>
        <v>TMP-INV-2025/07/01/ 1702948 TMP-INV-2025/07/08/ 1720921
TMP-INV-2025/07/07/ 1720052
TMP-INV-2025/07/01/ 1703457
TMP-INV-2025/07/01/ 1703238
TMP-INV-2025/07/08/ 1723500
TMP-INV-2025/07/07/ 1720464
TMP-INV-2025/07/08/ 1723161
TMP-INV-2025/07/07/ 1719895
TMP-INV-2025/07/07/ 1720127
TMP-INV-2025/07/15/ 1743522
TMP-INV-2025/08/14/ 1832201
TMP-INV-2025/09/14/ 1927408
TMP-INV-2025/09/14/ 1928368
TMP-INV-2025/09/14/ 1928345
TMP-INV-2025/09/15/ 1928408
TMP-INV-2025/09/18/ 1942545
TMP-INV-2025/10/07/ 2001924
TMP-INV-2025/10/08/ 2005780
TMP-INV-2025/10/08/ 2005817
TMP-INV-2025/10/20/ 2044106
TMP-INV-2026/01/08/ 2308215
TMP-INV-2026/01/08/ 2307629
TMP-INV-2026/01/09/ 2311650
TMP-INV-2026/01/10/ 2315359
TMP-INV-2026/01/13/ 2325047
TMP-INV-2026/02/20/ 2453839
TMP-INV-2026/03/09/ 2512214
TMP-INV-2026/03/24/ 2560914
TMP-INV-2026/04/08/ 2616684
TMP-INV-2026/04/10/ 2620474
TMP-INV-2026/04/11/ 2627499
TMP-INV-2026/04/15/ 2641648
 KRATINGDAENG CLASSIC Asia Health Energi Beverages BOTOL KACA @ 150 ML NEO RHEUMACYL EUCALYPTUS Tempo Scan KRIM BOTOL PLASTIK @ 100 ML
PURITYFIC OMEGA ODOURLESS FISH OIL 1500 MG + VITAMIN D3 Lintas Batas KAPSUL BOTOL PLASTIK @ 60 KAPSUL LUNAK
TROLIT Kalbe SERBUK DUS, 6 SACHET @ 4 GRAM
VEET HAIR REMOVAL CREAM SENSITIVE SKIN WITH ALOE VERA EXTRACT Reckitt Benckiser DUS, TUBE 25 G
PUREBB HAND and MOUTH BABY WIPES, ALOE VERA Etercon 3 SACHET @ 60 WIPES
INFATRINI Sarihusada BAYI USIA 0-12 BULAN KALENG 400 G
HOLISTICARE ESTER C 1000 Indocare TABLET DUS, BOTOL PLASTIK @ 30 TABLET SALUT SELAPUT
PUREKIDS DEODORANT HAPPY MELON Etercon BOTOL 50 ML
SANOXICAL Sanbe KAPSUL DUS, 2 BLISTER @ 10 KAPSUL LUNAK
LIKURMIN Dankos SIRUP DUS, BOTOL KACA 100 ML
SANOXICAL Sanbe KAPSUL DUS, 2 BLISTER @ 10 KAPSUL LUNAK
NUTRIBABY ROYAL 2 (6-12 BULAN) Nutricia SERBUK DUS, ALUMINIUM FOIL 400 G
CONSTANTIA Novell SUSPENSI 20 MG DUS, 1 VIAL @ 12 ML
SPIROLA 100 Dankos TABLET DUS, 5 STRIP @ 10 TABLET
DIPROSONE OV Organon KRIM DUS, 1 TUBE @ 5 G
CONTREXYN DEMAM (RASA JERUK) Supra Ferbindo DROPS DUS BOTOL@15 ML
HUFAGRIPP BP BATUK KERING DAN PILEK DEWASA Gratia Husada SIRUP DUS, 1 BOTOL @ 60 ML
KRATINGDAENG CLASSIC Asia Health Energi Beverages BOTOL KACA @ 150 ML
NOREPINEPHRINE BITARTRATE MONOHYDRATE Hexpharm INJEKSI DUS, 1 BLISTER @ 5 AMPUL @ 4 ML
TAZOVELL Novell TABLET 30 MG DUS, 3 STRIP @ 10 TABLET
SERETIDE DISKUS Gsk SERBUK INHALER 50/100 MCG DUS, STRIP @ 60 BLISTER DOSIS
FLAMAR Sanbe TETES MATA DUS, 1 BOTOL PLASTIK @ 5 ML
MILNA BUBUR BAYI 6+ RASA TIM HATI AYAM BAYAM POUCH @ 120 G
MILNA BUBUR BAYI 8+ RASA SALMON CAH BAYAM POUCH @ 100 G
NEPHRISOL Sanghiang RASA CAPPUCCINO DUS, 3 SACHET @67 G
OLIGO Sanghiang TROPICAL BANANA DUS, 3 SACHET @ 55 G
YOU C-1000 LEMON WATER BOTOL PLASTIK @ 500 ML
NEPHRISOL Sanghiang RASA CAPPUCCINO DUS, 3 SACHET @67 G
MILNA BUBUR BAYI 8+ RASA SUP AYAM JAGUNG POUCH @ 100 G
KIRANTI SEHAT DATANG BULAN ORANGE BOTOL @ 150 ML
HARNAL D Combiphar TABLET DISPERSIBLE 0.2 MG DUS, 2 BLISTER @ 14 TABLET DISPERSIBEL
PEPTIBREN Sanghiang RASA KACANG HIJAU DUS, 3 SACHET @ 65 G
YOU C-1000 LEMON WATER BOTOL PLASTIK @ 500 ML
YOU C-1000 ORANGE WATER BOTOL PLASTIK @ 500 ML
YOU C-1000 LEMON WATER BOTOL PLASTIK @ 500 ML
YOU C-1000 LEMON WATER BOTOL PLASTIK @ 500 ML
 Tarik Barang Retur</v>
      </c>
      <c r="G831" s="36">
        <f>'DE ( Tarik barang retur )'!AF808</f>
        <v>46189</v>
      </c>
      <c r="H831" s="24"/>
      <c r="I831" s="24"/>
      <c r="J831" s="21" t="s">
        <v>5371</v>
      </c>
      <c r="K831" s="24"/>
      <c r="L831" s="24"/>
      <c r="M831" s="25" t="str">
        <f t="shared" si="9"/>
        <v>Kota Jakarta Barat</v>
      </c>
      <c r="N831" s="25" t="str">
        <f t="shared" si="10"/>
        <v>Daerah Khusus Ibukota Jakarta</v>
      </c>
      <c r="O831" s="25" t="str">
        <f>VLOOKUP(M831,'Mapping Area'!A:C,3,0)</f>
        <v>GJ</v>
      </c>
      <c r="P831" s="25"/>
      <c r="Q831" s="25"/>
      <c r="R831" s="25"/>
      <c r="S831" s="25"/>
      <c r="T831" s="25"/>
      <c r="U831" s="25"/>
      <c r="V831" s="25"/>
      <c r="W831" s="25"/>
      <c r="X831" s="25"/>
      <c r="Y831" s="25"/>
      <c r="Z831" s="25"/>
      <c r="AA831" s="25"/>
      <c r="AB831" s="25"/>
      <c r="AC831" s="25"/>
    </row>
    <row r="832">
      <c r="A832" s="24" t="str">
        <f>'DE ( Tarik barang retur )'!AC809</f>
        <v>AWBR-14020-2026-6-16-01</v>
      </c>
      <c r="B832" s="24" t="str">
        <f>'DE ( Tarik barang retur )'!F809</f>
        <v>Apotek Inofarma Kalibaru</v>
      </c>
      <c r="C832" s="35">
        <f>'DE ( Tarik barang retur )'!G809</f>
        <v>59139</v>
      </c>
      <c r="D832" s="24" t="str">
        <f>'DE ( Tarik barang retur )'!H809</f>
        <v>Jl. Kalibaru RT 001 RW 003 Kel. Kalibaru, Kec. Cilincing, Jakarta Utara</v>
      </c>
      <c r="E832" s="24" t="str">
        <f>'DE ( Tarik barang retur )'!D809</f>
        <v>-</v>
      </c>
      <c r="F832" s="24" t="str">
        <f>'DE ( Tarik barang retur )'!R809</f>
        <v>TMP-INV-2026/02/17/ 2442481 TMP-INV-2026/02/25/ 2471727
TMP-INV-2026/03/02/ 2487584
TMP-INV-2026/03/10/ 2515358
TMP-INV-2026/03/28/ 2572951
TMP-INV-2026/05/09/ 2725261
TMP-INV-2026/05/30/ 2800516
 TROLIT Kalbe SERBUK DUS, 6 SACHET @ 4 GRAM VYTORIN Organon TABLET 10/20 MG DUS, 3 BLISTER @ 10 TABLET
TROLIT Kalbe SERBUK DUS, 6 SACHET @ 4 GRAM
ALPENTIN Actavis KAPSUL 100 MG DUS, 5 BLISTER @ 10 KAPSUL
MILNA NTURE RUMPUT LAUT POUCH, 13 G
PEPTIBREN Sanghiang RASA KACANG HIJAU DUS, 3 SACHET @ 65 G
TRINORDIOL-28 Sunthi TABLET DUS, 2 BLISTER @ 28 TABLET SALUT GULA
 Tarik Barang Retur</v>
      </c>
      <c r="G832" s="36">
        <f>'DE ( Tarik barang retur )'!AF809</f>
        <v>46189</v>
      </c>
      <c r="H832" s="22">
        <v>46189.0</v>
      </c>
      <c r="I832" s="22">
        <v>46190.0</v>
      </c>
      <c r="J832" s="21" t="s">
        <v>5294</v>
      </c>
      <c r="K832" s="24"/>
      <c r="L832" s="24"/>
      <c r="M832" s="24"/>
      <c r="N832" s="24"/>
      <c r="O832" s="24"/>
      <c r="P832" s="25"/>
      <c r="Q832" s="25"/>
      <c r="R832" s="25"/>
      <c r="S832" s="25"/>
      <c r="T832" s="25"/>
      <c r="U832" s="25"/>
      <c r="V832" s="25"/>
      <c r="W832" s="25"/>
      <c r="X832" s="25"/>
      <c r="Y832" s="25"/>
      <c r="Z832" s="25"/>
      <c r="AA832" s="25"/>
      <c r="AB832" s="25"/>
      <c r="AC832" s="25"/>
    </row>
    <row r="833">
      <c r="A833" s="24" t="str">
        <f>'DE ( Tarik barang retur )'!AC810</f>
        <v>AWBR-14002-2026-6-16-01</v>
      </c>
      <c r="B833" s="24" t="str">
        <f>'DE ( Tarik barang retur )'!F810</f>
        <v>Apotek Inofarma Kayu Manis</v>
      </c>
      <c r="C833" s="35">
        <f>'DE ( Tarik barang retur )'!G810</f>
        <v>6.28512E+17</v>
      </c>
      <c r="D833" s="24" t="str">
        <f>'DE ( Tarik barang retur )'!H810</f>
        <v>Jl. Kayu Manis RT 06 RW 05, Balekambang, Kec. Kramat Jati Kota Jakarta Timur</v>
      </c>
      <c r="E833" s="24" t="str">
        <f>'DE ( Tarik barang retur )'!D810</f>
        <v>-</v>
      </c>
      <c r="F833" s="24" t="str">
        <f>'DE ( Tarik barang retur )'!R810</f>
        <v>TMP-INV-2025/05/20/ 1592660
TMP-INV-2025/05/20/ 1592606
TMP-INV-2025/05/21/ 1594804
TMP-INV-2025/05/23/ 1600056
TMP-INV-2025/05/22/ 1598025
TMP-INV-2025/05/22/ 1598257
TMP-INV-2025/05/24/ 1603515
TMP-INV-2025/06/06/ 1636132
TMP-INV-2025/06/06/ 1636503
TMP-INV-2025/06/10/ 1645387
TMP-INV-2025/07/04/ 1712717
TMP-INV-2025/10/04/ 1990518
TMP-INV-2025/10/08/ 2006038
TMP-INV-2025/10/08/ 2005864
TMP-INV-2025/10/08/ 2005949
TMP-INV-2025/10/09/ 2009882
TMP-INV-2025/10/09/ 2009221
TMP-INV-2025/10/09/ 2009555
TMP-INV-2026/01/03/ 2291012
TMP-INV-2026/01/06/ 2301010
TMP-INV-2026/01/06/ 2301007
TMP-INV-2026/01/09/ 2312395
TMP-INV-2026/01/13/ 2324842
TMP-INV-2026/03/25/ 2564908
TMP-INV-2026/04/02/ 2591266
TMP-INV-2026/04/07/ 2608274
TMP-INV-2026/04/14/ 2637944
TMP-INV-2026/05/05/ 2708347
TMP-INV-2026/05/17/ 2754423 PUREKIDS DEODORANT HAPPY MELON Etercon BOTOL 50 ML PUREBB HAND and MOUTH BABY WIPES, ALOE VERA Etercon SACHET, 60 WIPES
MEDERMA FOR KIDS Combiphar DUS, TUBE 20 g
BLEMISH SPOT ACNEMED Surya Dermato GEL DUS, TUBE 12 GRAM
TROLIT Kalbe SERBUK DUS, 6 SACHET @ 4 GRAM
PURITYFIC OMEGA ODOURLESS FISH OIL 1500 MG + VITAMIN D3 Lintas Batas KAPSUL BOTOL PLASTIK @ 60 KAPSUL LUNAK
SGM BBLR DUS, KARTON 200 G
BEBITHEN Erlimpex KRIM 50 MG DUS, 1 TUBE @ 20 GRAM
DEXA-M Dexa Medica TABLET 0.75 MG DUS, 50 BLISTER @ 10 TABLET
SUCRALBAT Interbat SUSPENSI DUS, 1 BOTOL @ 100 ML
BETADINE VAGINAL DOUCHE Mbf VAGINAL DOUCHE DUS, BOTOL PLASTIK 100 ML DENGAN APLIKATOR
PUREBB HAND and MOUTH BABY WIPES, ALOE VERA Etercon SACHET, 60 WIPES
SERETIDE DISKUS Gsk SERBUK INHALER 50/100 MCG DUS, STRIP @ 60 BLISTER DOSIS
NOREPINEPHRINE BITARTRATE MONOHYDRATE Hexpharm INJEKSI DUS, 1 BLISTER @ 5 AMPUL @ 4 ML
ENTRAKID Sanghiang RASA COKLAT DUS, ALUMINIUM FOIL @ 185 G
ENTRASOY Sanghiang RASA ALMOND DAN KEDELAI DUS, 5 SACHET @ 40 G
SERETIDE 125 Gsk INHALER 25/125 MCG DUS, 1 CANISTER @ 120 DOSIS DENGAN DOSE COUNTER
NOREPINEPHRINE BITARTRATE MONOHYDRATE Hexpharm INJEKSI DUS, 1 BLISTER @ 5 AMPUL @ 4 ML
SERETIDE DISKUS Gsk SERBUK INHALER 50/100 MCG DUS, STRIP @ 60 BLISTER DOSIS
OLIGO Sanghiang TROPICAL BANANA DUS, 3 SACHET @ 55 G
MILNA BUBUR BAYI 6+ RASA TIM HATI AYAM BAYAM POUCH @ 120 G
MILNA BUBUR BAYI 8+ RASA SALMON CAH BAYAM POUCH @ 100 G
TROLIT Kalbe SERBUK DUS, 6 SACHET @ 4 GRAM
MILNA BUBUR BAYI 8+ RASA SUP AYAM JAGUNG POUCH @ 100 G
YOU C-1000 LEMON WATER BOTOL PLASTIK @ 500 ML
BLACKMORES ULTRA REFINED HABBATUSSAUDA OIL Kalbe KAPSUL BOTOL KACA @ 30 KAPSUL LUNAK
YOU C-1000 LEMON WATER BOTOL PLASTIK @ 500 ML
YOU C-1000 LEMON WATER BOTOL PLASTIK @ 500 ML
YOU C-1000 LEMON WATER BOTOL PLASTIK @ 500 ML
TRINORDIOL-28 Sunthi TABLET DUS, 2 BLISTER @ 28 TABLET SALUT GULA Tarik Barang Retur</v>
      </c>
      <c r="G833" s="36">
        <f>'DE ( Tarik barang retur )'!AF810</f>
        <v>46189</v>
      </c>
      <c r="H833" s="24"/>
      <c r="I833" s="24"/>
      <c r="J833" s="21" t="s">
        <v>5371</v>
      </c>
      <c r="K833" s="24"/>
      <c r="L833" s="24"/>
      <c r="M833" s="25" t="str">
        <f>GET_LOCATION(D833,"city")</f>
        <v>Kota Jakarta Timur</v>
      </c>
      <c r="N833" s="25" t="str">
        <f>GET_LOCATION(D833,"province")</f>
        <v>Daerah Khusus Ibukota Jakarta</v>
      </c>
      <c r="O833" s="25" t="str">
        <f>VLOOKUP(M833,'Mapping Area'!A:C,3,0)</f>
        <v>GJ</v>
      </c>
      <c r="P833" s="25"/>
      <c r="Q833" s="25"/>
      <c r="R833" s="25"/>
      <c r="S833" s="25"/>
      <c r="T833" s="25"/>
      <c r="U833" s="25"/>
      <c r="V833" s="25"/>
      <c r="W833" s="25"/>
      <c r="X833" s="25"/>
      <c r="Y833" s="25"/>
      <c r="Z833" s="25"/>
      <c r="AA833" s="25"/>
      <c r="AB833" s="25"/>
      <c r="AC833" s="25"/>
    </row>
    <row r="834">
      <c r="A834" s="24" t="str">
        <f>'DE ( Tarik barang retur )'!AC811</f>
        <v>AWBR-14019-2026-6-16-01</v>
      </c>
      <c r="B834" s="24" t="str">
        <f>'DE ( Tarik barang retur )'!F811</f>
        <v>Apotek Inofarma Keamanan</v>
      </c>
      <c r="C834" s="35">
        <f>'DE ( Tarik barang retur )'!G811</f>
        <v>6.28593E+17</v>
      </c>
      <c r="D834" s="24" t="str">
        <f>'DE ( Tarik barang retur )'!H811</f>
        <v>Jl. Keamanan Raya No 59, RT 001 RW 07, Kel. Keagungan, Kec. Tamansari, Jakarta Barat</v>
      </c>
      <c r="E834" s="24" t="str">
        <f>'DE ( Tarik barang retur )'!D811</f>
        <v>-</v>
      </c>
      <c r="F834" s="24" t="str">
        <f>'DE ( Tarik barang retur )'!R811</f>
        <v>TMP-INV-2026/04/21/ 2659162 TMP-INV-2026/04/21/ 2659152 GALVUSMET Novartis TABLET 50/500 MG DUS, 3 STRIP @ 10 TABLET SALUT SELAPUT SYMBICORT TURBUHALER AstraZeneca SERBUK INHALASI 160 MCG /4.5 MCG DUS, 1 TURBUHALER @ 120 DOSIS Tarik Barang Retur</v>
      </c>
      <c r="G834" s="36">
        <f>'DE ( Tarik barang retur )'!AF811</f>
        <v>46189</v>
      </c>
      <c r="H834" s="22">
        <v>46191.0</v>
      </c>
      <c r="I834" s="24"/>
      <c r="J834" s="21" t="s">
        <v>5295</v>
      </c>
      <c r="K834" s="24"/>
      <c r="L834" s="24"/>
      <c r="M834" s="25"/>
      <c r="N834" s="25"/>
      <c r="O834" s="25"/>
      <c r="P834" s="25"/>
      <c r="Q834" s="25"/>
      <c r="R834" s="25"/>
      <c r="S834" s="25"/>
      <c r="T834" s="25"/>
      <c r="U834" s="25"/>
      <c r="V834" s="25"/>
      <c r="W834" s="25"/>
      <c r="X834" s="25"/>
      <c r="Y834" s="25"/>
      <c r="Z834" s="25"/>
      <c r="AA834" s="25"/>
      <c r="AB834" s="25"/>
      <c r="AC834" s="25"/>
    </row>
    <row r="835">
      <c r="A835" s="24" t="str">
        <f>'DE ( Tarik barang retur )'!AC812</f>
        <v>AWBR-14021-2026-6-16-01</v>
      </c>
      <c r="B835" s="24" t="str">
        <f>'DE ( Tarik barang retur )'!F812</f>
        <v>Apotek Inofarma Kebagusan</v>
      </c>
      <c r="C835" s="35" t="str">
        <f>'DE ( Tarik barang retur )'!G812</f>
        <v>62859-2661-1060</v>
      </c>
      <c r="D835" s="24" t="str">
        <f>'DE ( Tarik barang retur )'!H812</f>
        <v>Jl. Kebagusan Raya RT 007 RW 06, Kel. Kebagusan, Kec. Pasar Minggu, Jakarta Selatan</v>
      </c>
      <c r="E835" s="24" t="str">
        <f>'DE ( Tarik barang retur )'!D812</f>
        <v>-</v>
      </c>
      <c r="F835" s="24" t="str">
        <f>'DE ( Tarik barang retur )'!R812</f>
        <v>TMP-INV-2026/02/15/ 2435378 TMP-INV-2026/02/17/ 2442380
TMP-INV-2026/03/02/ 2488312
TMP-INV-2026/03/02/ 2488715
TMP-INV-2026/03/05/ 2499263
TMP-INV-2026/03/10/ 2516060
TMP-INV-2026/03/10/ 2516387
TMP-INV-2026/03/25/ 2561390
TMP-INV-2026/04/02/ 2591225
TMP-INV-2026/04/10/ 2620412
TMP-INV-2026/04/13/ 2633653
 MILNA BUBUR BAYI 8+ RASA SUP AYAM JAGUNG POUCH @ 100 G TROLIT Kalbe SERBUK DUS, 6 SACHET @ 4 GRAM
TROLIT Kalbe SERBUK DUS, 6 SACHET @ 4 GRAM
MILNA NTURE RUMPUT LAUT POUCH, 13 G
TROLIT Kalbe SERBUK DUS, 6 SACHET @ 4 GRAM
ALPENTIN Actavis KAPSUL 100 MG DUS, 5 BLISTER @ 10 KAPSUL
GALVUSMET Novartis TABLET 850/50 MG DUS, 3 STRIP @ 10 TABLET SALUT SELAPUT
PEPTIBREN Sanghiang RASA KACANG HIJAU DUS, 3 SACHET @ 65 G
HARNAL D Combiphar TABLET DISPERSIBLE 0.2 MG DUS, 2 BLISTER @ 14 TABLET DISPERSIBEL
YOU C-1000 LEMON WATER BOTOL PLASTIK @ 500 ML
YOU C-1000 LEMON WATER BOTOL PLASTIK @ 500 ML
 Tarik Barang Retur</v>
      </c>
      <c r="G835" s="36">
        <f>'DE ( Tarik barang retur )'!AF812</f>
        <v>46189</v>
      </c>
      <c r="H835" s="22">
        <v>46189.0</v>
      </c>
      <c r="I835" s="22">
        <v>46190.0</v>
      </c>
      <c r="J835" s="21" t="s">
        <v>5294</v>
      </c>
      <c r="K835" s="24"/>
      <c r="L835" s="24"/>
      <c r="M835" s="24"/>
      <c r="N835" s="24"/>
      <c r="O835" s="24"/>
      <c r="P835" s="25"/>
      <c r="Q835" s="25"/>
      <c r="R835" s="25"/>
      <c r="S835" s="25"/>
      <c r="T835" s="25"/>
      <c r="U835" s="25"/>
      <c r="V835" s="25"/>
      <c r="W835" s="25"/>
      <c r="X835" s="25"/>
      <c r="Y835" s="25"/>
      <c r="Z835" s="25"/>
      <c r="AA835" s="25"/>
      <c r="AB835" s="25"/>
      <c r="AC835" s="25"/>
    </row>
    <row r="836">
      <c r="A836" s="24" t="str">
        <f>'DE ( Tarik barang retur )'!AC813</f>
        <v>AWBR-14014-2026-6-16-01</v>
      </c>
      <c r="B836" s="24" t="str">
        <f>'DE ( Tarik barang retur )'!F813</f>
        <v>Apotek Inofarma Kerja Bakti</v>
      </c>
      <c r="C836" s="35">
        <f>'DE ( Tarik barang retur )'!G813</f>
        <v>6.28572E+17</v>
      </c>
      <c r="D836" s="24" t="str">
        <f>'DE ( Tarik barang retur )'!H813</f>
        <v>Jl. Kerja Bakti No. 8, RT 002 RW 010, Kel. Kramat Jati, Kec. Kramat Jati - Kota Jakarta Timur</v>
      </c>
      <c r="E836" s="24" t="str">
        <f>'DE ( Tarik barang retur )'!D813</f>
        <v>-</v>
      </c>
      <c r="F836" s="24" t="str">
        <f>'DE ( Tarik barang retur )'!R813</f>
        <v>TMP-INV-2025/12/12/ 2218231 TMP-INV-2025/12/16/ 2234622
TMP-INV-2025/12/15/ 2230352
TMP-INV-2025/12/16/ 2234341
TMP-INV-2025/12/16/ 2234675
TMP-INV-2025/12/15/ 2230283
TMP-INV-2026/01/09/ 2311891
TMP-INV-2026/01/09/ 2311922
TMP-INV-2026/01/09/ 2311923
TMP-INV-2026/01/13/ 2324912
TMP-INV-2026/01/13/ 2324725
TMP-INV-2026/01/21/ 2350928
TMP-INV-2026/01/22/ 2355223
TMP-INV-2026/03/05/ 2498735
TMP-INV-2026/03/26/ 2564945
 DALFAROL 200 Darya-Varia KAPSUL DUS, 25 STRIP @ 4 KAPSUL LUNAK YOUVIT MULTIVITAMIN GUMMY RASA STRAWBERRY, GOJIBERRY, CANBERRY, RASPBERRY, BLUEBERRY Yupi - DUS DUS, 6 SACHET @ 7 GUMMIES 28 G
YOUVIT MULTIVITAMIN GUMMY RASA STRAWBERRY, GOJIBERRY, CANBERRY, RASPBERRY, BLUEBERRY Yupi - POUCH POUCH @ 30 GUMMIES 120 G
NEPHRISOL D Kalbe RASA VANILA DUS KARTON, ALUMINIUM FOIL 210 g
DIPROSONE OV Organon KRIM DUS, 1 TUBE @ 5 G
GALVUSMET Novartis TABLET 50/500 MG DUS, 3 STRIP @ 10 TABLET SALUT SELAPUT
SYMBICORT TURBUHALER AstraZeneca SERBUK INHALASI 160 MCG /4.5 MCG DUS, 1 TURBUHALER @ 120 DOSIS
PURITYFIC OMEGA ODOURLESS FISH OIL 1500 MG + VITAMIN D3 Lintas Batas KAPSUL BOTOL PLASTIK @ 60 KAPSUL LUNAK
NEPHRISOL Sanghiang RASA CAPPUCCINO DUS, 3 SACHET @67 G
OLIGO Sanghiang TROPICAL BANANA DUS, 3 SACHET @ 55 G
MILNA BUBUR BAYI 6+ RASA TIM HATI AYAM BAYAM POUCH @ 120 G
PURITYFIC OMEGA ODOURLESS FISH OIL 1500 MG + VITAMIN D3 Lintas Batas KAPSUL BOTOL PLASTIK @ 60 KAPSUL LUNAK
NEPHRISOL Sanghiang RASA CAPPUCCINO DUS, 3 SACHET @67 G
TAZOVELL Novell TABLET 30 MG DUS, 3 STRIP @ 10 TABLET
PEPTIBREN Sanghiang RASA KACANG HIJAU DUS, 3 SACHET @ 65 G
LACTOGEN LACTOSE FREE Nestle KALENG 400 G
COLERGIS Dexa Medica TABLET DUS, 10 STRIP @ 10 TABLET
HARNAL D Combiphar TABLET DISPERSIBLE 0.2 MG DUS, 2 BLISTER @ 14 TABLET DISPERSIBEL
 Tarik Barang Retur</v>
      </c>
      <c r="G836" s="36">
        <f>'DE ( Tarik barang retur )'!AF813</f>
        <v>46189</v>
      </c>
      <c r="H836" s="24"/>
      <c r="I836" s="24"/>
      <c r="J836" s="21" t="s">
        <v>5371</v>
      </c>
      <c r="K836" s="24"/>
      <c r="L836" s="24"/>
      <c r="M836" s="25" t="str">
        <f t="shared" ref="M836:M838" si="11">GET_LOCATION(D836,"city")</f>
        <v>Kota Jakarta Timur</v>
      </c>
      <c r="N836" s="25" t="str">
        <f t="shared" ref="N836:N838" si="12">GET_LOCATION(D836,"province")</f>
        <v>Daerah Khusus Ibukota Jakarta</v>
      </c>
      <c r="O836" s="25" t="str">
        <f>VLOOKUP(M836,'Mapping Area'!A:C,3,0)</f>
        <v>GJ</v>
      </c>
      <c r="P836" s="25"/>
      <c r="Q836" s="25"/>
      <c r="R836" s="25"/>
      <c r="S836" s="25"/>
      <c r="T836" s="25"/>
      <c r="U836" s="25"/>
      <c r="V836" s="25"/>
      <c r="W836" s="25"/>
      <c r="X836" s="25"/>
      <c r="Y836" s="25"/>
      <c r="Z836" s="25"/>
      <c r="AA836" s="25"/>
      <c r="AB836" s="25"/>
      <c r="AC836" s="25"/>
    </row>
    <row r="837">
      <c r="A837" s="24" t="str">
        <f>'DE ( Tarik barang retur )'!AC814</f>
        <v>AWBR-14007-2026-6-16-01</v>
      </c>
      <c r="B837" s="24" t="str">
        <f>'DE ( Tarik barang retur )'!F814</f>
        <v>Apotek Inofarma Koja</v>
      </c>
      <c r="C837" s="35">
        <f>'DE ( Tarik barang retur )'!G814</f>
        <v>6.28001E+17</v>
      </c>
      <c r="D837" s="24" t="str">
        <f>'DE ( Tarik barang retur )'!H814</f>
        <v>Jln. Walang Baru V No. 10 D, RT 001/RW 007, Tugu Utara, Koja, Jakarta Utara</v>
      </c>
      <c r="E837" s="24" t="str">
        <f>'DE ( Tarik barang retur )'!D814</f>
        <v>-</v>
      </c>
      <c r="F837" s="24" t="str">
        <f>'DE ( Tarik barang retur )'!R814</f>
        <v>TMP-INV-2025/09/14/ 1927539
TMP-INV-2025/09/17/ 1939292
TMP-INV-2025/09/14/ 1928350
TMP-INV-2025/09/17/ 1939713
TMP-INV-2025/09/14/ 1928361
TMP-INV-2025/09/19/ 1945746
TMP-INV-2025/09/19/ 1946423
TMP-INV-2025/10/08/ 2005045
TMP-INV-2025/10/08/ 2005862
TMP-INV-2025/10/08/ 2005931
TMP-INV-2025/10/08/ 2005411
TMP-INV-2025/10/09/ 2007127
TMP-INV-2025/11/07/ 2103581
TMP-INV-2026/01/09/ 2311504
TMP-INV-2026/01/09/ 2311551
TMP-INV-2026/02/27/ 2478395
TMP-INV-2026/03/24/ 2559707
 DALFAROL 200 Darya-Varia KAPSUL DUS, 25 STRIP @ 4 KAPSUL LUNAK KRATINGDAENG CLASSIC Asia Health Energi Beverages BOTOL KACA @ 150 ML
SANOXICAL Sanbe KAPSUL DUS, 2 BLISTER @ 10 KAPSUL LUNAK
YOUVIT MULTIVITAMIN GUMMY RASA STRAWBERRY, GOJIBERRY, CANBERRY, RASPBERRY, BLUEBERRY Yupi - POUCH POUCH @ 30 GUMMIES 120 G
FITKOM GUMMY MULTIVITAMIN BIRU Soho BOX, 5 SACHET @ 21 g
HUFAGRIPP BP BATUK KERING DAN PILEK DEWASA Gratia Husada SIRUP DUS, 1 BOTOL @ 60 ML
CONTREXYN DEMAM (RASA JERUK) Supra Ferbindo DROPS DUS BOTOL@15 ML
KRATINGDAENG CLASSIC Asia Health Energi Beverages BOTOL KACA @ 150 ML
SERETIDE DISKUS Gsk SERBUK INHALER 50/100 MCG DUS, STRIP @ 60 BLISTER DOSIS
NOREPINEPHRINE BITARTRATE MONOHYDRATE Hexpharm INJEKSI DUS, 1 BLISTER @ 5 AMPUL @ 4 ML
TAZOVELL Novell TABLET 30 MG DUS, 3 STRIP @ 10 TABLET
FENOFIBRATE Bernofarm KAPSUL 200 MG DUS, 10 STRIP @ 10 KAPSUL
HARNAL D Combiphar TABLET DISPERSIBLE 0.2 MG DUS, 2 BLISTER @ 14 TABLET DISPERSIBEL
GALVUSMET Novartis TABLET 50/500 MG DUS, 3 STRIP @ 10 TABLET SALUT SELAPUT
NEPHRISOL Sanghiang RASA CAPPUCCINO DUS, 3 SACHET @67 G
MILNA BUBUR BAYI 6+ RASA TIM HATI AYAM BAYAM POUCH @ 120 G
MILNA BUBUR BAYI 8+ RASA SALMON CAH BAYAM POUCH @ 100 G
TROLIT Kalbe SERBUK DUS, 6 SACHET @ 4 GRAM
PEPTIBREN Sanghiang RASA KACANG HIJAU DUS, 3 SACHET @ 65 G
 Tarik Barang Retur</v>
      </c>
      <c r="G837" s="36">
        <f>'DE ( Tarik barang retur )'!AF814</f>
        <v>46189</v>
      </c>
      <c r="H837" s="24"/>
      <c r="I837" s="24"/>
      <c r="J837" s="21" t="s">
        <v>5371</v>
      </c>
      <c r="K837" s="24"/>
      <c r="L837" s="24"/>
      <c r="M837" s="25" t="str">
        <f t="shared" si="11"/>
        <v>Jakarta Utara</v>
      </c>
      <c r="N837" s="25" t="str">
        <f t="shared" si="12"/>
        <v>Daerah Khusus Ibukota Jakarta</v>
      </c>
      <c r="O837" s="25" t="str">
        <f>VLOOKUP(M837,'Mapping Area'!A:C,3,0)</f>
        <v>GJ</v>
      </c>
      <c r="P837" s="25"/>
      <c r="Q837" s="25"/>
      <c r="R837" s="25"/>
      <c r="S837" s="25"/>
      <c r="T837" s="25"/>
      <c r="U837" s="25"/>
      <c r="V837" s="25"/>
      <c r="W837" s="25"/>
      <c r="X837" s="25"/>
      <c r="Y837" s="25"/>
      <c r="Z837" s="25"/>
      <c r="AA837" s="25"/>
      <c r="AB837" s="25"/>
      <c r="AC837" s="25"/>
    </row>
    <row r="838">
      <c r="A838" s="24" t="str">
        <f>'DE ( Tarik barang retur )'!AC815</f>
        <v>AWBR-14003-2026-6-16-01</v>
      </c>
      <c r="B838" s="24" t="str">
        <f>'DE ( Tarik barang retur )'!F815</f>
        <v>Apotek Inofarma Pisangan Lama</v>
      </c>
      <c r="C838" s="35">
        <f>'DE ( Tarik barang retur )'!G815</f>
        <v>6.28001E+17</v>
      </c>
      <c r="D838" s="24" t="str">
        <f>'DE ( Tarik barang retur )'!H815</f>
        <v>Jl. Pisangan Lama III No 2 RT 008 RW 04, Desa/Kelurahan Pisangan Timur, Kec. Pulogadung, Kota Adm. Jakarta Timur</v>
      </c>
      <c r="E838" s="24" t="str">
        <f>'DE ( Tarik barang retur )'!D815</f>
        <v>-</v>
      </c>
      <c r="F838" s="24" t="str">
        <f>'DE ( Tarik barang retur )'!R815</f>
        <v>TMP-INV-2025/05/29/ 1616978 TMP-INV-2025/06/18/ 1668891
TMP-INV-2025/06/19/ 1671058
TMP-INV-2025/06/20/ 1672780
TMP-INV-2025/06/20/ 1673058
TMP-INV-2025/09/10/ 1915447
TMP-INV-2025/10/08/ 2005004
TMP-INV-2025/10/08/ 2005810
TMP-INV-2025/10/09/ 2009092
TMP-INV-2026/01/07/ 2303929
TMP-INV-2026/01/07/ 2304288
TMP-INV-2026/01/13/ 2324172
TMP-INV-2026/03/06/ 2502766
TMP-INV-2026/03/09/ 2511248
TMP-INV-2026/03/25/ 2563350
TMP-INV-2026/04/07/ 2608235
TMP-INV-2026/04/20/ 2659043
TMP-INV-2026/05/06/ 2712860
TMP-INV-2026/05/13/ 2743164
TMP-INV-2026/05/17/ 2753952
TMP-INV-2026/05/25/ 2783665
 BLEMISH SPOT ACNEMED Surya Dermato GEL DUS, TUBE 12 GRAM BEBITHEN Erlimpex KRIM 50 MG DUS, 1 TUBE @ 20 GRAM
CONSTANTIA Novell SUSPENSI 20 MG DUS, 1 VIAL @ 12 ML
WOODS' PEPPERMINT EXPECTORANT Kalbe SIRUP DUS, 1 BOTOL PLASTIK @ 100 ML
VOMETRAZ Dexa Medica TABLET 8 MG DUS, 1 STRIP @ 10 TABLET SALUT SELAPUT
FLAMAR Sanbe TETES MATA DUS, 1 BOTOL PLASTIK @ 5 ML
NOREPINEPHRINE BITARTRATE MONOHYDRATE Hexpharm INJEKSI DUS, 1 BLISTER @ 5 AMPUL @ 4 ML
ENTRASOY Sanghiang RASA ALMOND DAN KEDELAI DUS, 5 SACHET @ 40 G
NOREPINEPHRINE BITARTRATE MONOHYDRATE Hexpharm INJEKSI DUS, 1 BLISTER @ 5 AMPUL @ 4 ML
TAZOVELL Novell TABLET 30 MG DUS, 3 STRIP @ 10 TABLET
OLIGO Sanghiang TROPICAL BANANA DUS, 3 SACHET @ 55 G
PEPTIBREN Sanghiang RASA KACANG HIJAU DUS, 3 SACHET @ 65 G
CHIL-KID GOLD Sanghiang Perkasa RASA MADU KARTON @ 390 G
MILNA BUBUR BAYI 8+ RASA SUP AYAM JAGUNG POUCH @ 100 G
MILNA NTURE RUMPUT LAUT POUCH, 13 G
DALFAROL 200 Darya-Varia KAPSUL DUS, 25 STRIP @ 4 KAPSUL LUNAK
YOU C-1000 LEMON WATER BOTOL PLASTIK @ 500 ML
YOU C-1000 LEMON WATER BOTOL PLASTIK @ 500 ML
YOU C-1000 LEMON WATER BOTOL PLASTIK @ 500 ML
MILNA KREKERS BERAS RASA UBI DAN WORTEL DUS, 5 SACHET @ 4 G
KRATINGDAENG RED BULL Asia Sejahtera Perdana KALENG @ 250 ML
TRINORDIOL-28 Sunthi TABLET DUS, 2 BLISTER @ 28 TABLET SALUT GULA
TRINORDIOL-28 Sunthi TABLET DUS, 2 BLISTER @ 28 TABLET SALUT GULA
 Tarik Barang Retur</v>
      </c>
      <c r="G838" s="36">
        <f>'DE ( Tarik barang retur )'!AF815</f>
        <v>46189</v>
      </c>
      <c r="H838" s="24"/>
      <c r="I838" s="24"/>
      <c r="J838" s="21" t="s">
        <v>5371</v>
      </c>
      <c r="K838" s="24"/>
      <c r="L838" s="24"/>
      <c r="M838" s="25" t="str">
        <f t="shared" si="11"/>
        <v>Jakarta</v>
      </c>
      <c r="N838" s="25" t="str">
        <f t="shared" si="12"/>
        <v>Daerah Khusus Ibukota Jakarta</v>
      </c>
      <c r="O838" s="49" t="s">
        <v>5372</v>
      </c>
      <c r="P838" s="25"/>
      <c r="Q838" s="25"/>
      <c r="R838" s="25"/>
      <c r="S838" s="25"/>
      <c r="T838" s="25"/>
      <c r="U838" s="25"/>
      <c r="V838" s="25"/>
      <c r="W838" s="25"/>
      <c r="X838" s="25"/>
      <c r="Y838" s="25"/>
      <c r="Z838" s="25"/>
      <c r="AA838" s="25"/>
      <c r="AB838" s="25"/>
      <c r="AC838" s="25"/>
    </row>
    <row r="839">
      <c r="A839" s="24" t="str">
        <f>'DE ( Tarik barang retur )'!AC816</f>
        <v>AWBR-14029-2026-6-16-01</v>
      </c>
      <c r="B839" s="24" t="str">
        <f>'DE ( Tarik barang retur )'!F816</f>
        <v>Apotek Inofarma Pulogebang</v>
      </c>
      <c r="C839" s="35">
        <f>'DE ( Tarik barang retur )'!G816</f>
        <v>6.28789E+17</v>
      </c>
      <c r="D839" s="24" t="str">
        <f>'DE ( Tarik barang retur )'!H816</f>
        <v>Jl. Pulo Gebang No. 63 RT 001 RW 006, Pulo Gebang, Cakung, Kota Jakarta Timur</v>
      </c>
      <c r="E839" s="24" t="str">
        <f>'DE ( Tarik barang retur )'!D816</f>
        <v>-</v>
      </c>
      <c r="F839" s="24" t="str">
        <f>'DE ( Tarik barang retur )'!R816</f>
        <v>TMP-INV-2026/04/04/ 2599950 TMP-INV-2026/04/09/ 2620225
TMP-INV-2026/04/09/ 2620404
TMP-INV-2026/04/10/ 2624354
TMP-INV-2026/04/13/ 2633569
TMP-INV-2026/05/12/ 2739015
TMP-INV-2026/05/15/ 2749621
TMP-INV-2026/04/09/ 2620225 BLACKMORES ULTRA REFINED HABBATUSSAUDA OIL Kalbe KAPSUL BOTOL KACA @ 30 KAPSUL LUNAK KIRANTI SEHAT DATANG BULAN ORANGE BOTOL @ 150 ML
YOU C-1000 LEMON WATER BOTOL PLASTIK @ 500 ML
MILNA NTURE RUMPUT LAUT POUCH, 13 G
PEPTIBREN Sanghiang RASA KACANG HIJAU DUS, 3 SACHET @ 65 G
GALVUSMET Novartis TABLET 50/500 MG DUS, 3 STRIP @ 10 TABLET SALUT SELAPUT
LIPITOR Pfizer TABLET 40 MG DUS, 3 BLISTER @ 10 TABLET SALUT SELAPUT
TRINORDIOL-28 Sunthi TABLET DUS, 2 BLISTER @ 28 TABLET SALUT GULA Tarik Barang Retur</v>
      </c>
      <c r="G839" s="36">
        <f>'DE ( Tarik barang retur )'!AF816</f>
        <v>46189</v>
      </c>
      <c r="H839" s="22">
        <v>46191.0</v>
      </c>
      <c r="I839" s="24"/>
      <c r="J839" s="21" t="s">
        <v>5295</v>
      </c>
      <c r="K839" s="24"/>
      <c r="L839" s="24"/>
      <c r="M839" s="25"/>
      <c r="N839" s="25"/>
      <c r="O839" s="25"/>
      <c r="P839" s="25"/>
      <c r="Q839" s="25"/>
      <c r="R839" s="25"/>
      <c r="S839" s="25"/>
      <c r="T839" s="25"/>
      <c r="U839" s="25"/>
      <c r="V839" s="25"/>
      <c r="W839" s="25"/>
      <c r="X839" s="25"/>
      <c r="Y839" s="25"/>
      <c r="Z839" s="25"/>
      <c r="AA839" s="25"/>
      <c r="AB839" s="25"/>
      <c r="AC839" s="25"/>
    </row>
    <row r="840">
      <c r="A840" s="24" t="str">
        <f>'DE ( Tarik barang retur )'!AC817</f>
        <v>AWBR-14025-2026-6-16-01</v>
      </c>
      <c r="B840" s="24" t="str">
        <f>'DE ( Tarik barang retur )'!F817</f>
        <v>Apotek Inofarma Syahdan</v>
      </c>
      <c r="C840" s="35">
        <f>'DE ( Tarik barang retur )'!G817</f>
        <v>6.28789E+17</v>
      </c>
      <c r="D840" s="24" t="str">
        <f>'DE ( Tarik barang retur )'!H817</f>
        <v>Jl. K.H. Syahdan No. 02 RT 003 RW 011, Kel. Palmerah, Kec. Pal Merah, Kota Jakarta Barat</v>
      </c>
      <c r="E840" s="24" t="str">
        <f>'DE ( Tarik barang retur )'!D817</f>
        <v>-</v>
      </c>
      <c r="F840" s="24" t="str">
        <f>'DE ( Tarik barang retur )'!R817</f>
        <v>TMP-INV-2026/04/16/ 2645820 TMP-INV-2026/05/22/ 2774960 PEPTIBREN Sanghiang RASA KACANG HIJAU DUS, 3 SACHET @ 65 G SYMBICORT TURBUHALER AstraZeneca SERBUK INHALASI 160 MCG /4.5 MCG DUS, 1 TURBUHALER @ 120 DOSIS Tarik Barang Retur</v>
      </c>
      <c r="G840" s="36">
        <f>'DE ( Tarik barang retur )'!AF817</f>
        <v>46189</v>
      </c>
      <c r="H840" s="22">
        <v>46189.0</v>
      </c>
      <c r="I840" s="22">
        <v>46190.0</v>
      </c>
      <c r="J840" s="21" t="s">
        <v>5294</v>
      </c>
      <c r="K840" s="24"/>
      <c r="L840" s="24"/>
      <c r="M840" s="24"/>
      <c r="N840" s="24"/>
      <c r="O840" s="24"/>
      <c r="P840" s="25"/>
      <c r="Q840" s="25"/>
      <c r="R840" s="25"/>
      <c r="S840" s="25"/>
      <c r="T840" s="25"/>
      <c r="U840" s="25"/>
      <c r="V840" s="25"/>
      <c r="W840" s="25"/>
      <c r="X840" s="25"/>
      <c r="Y840" s="25"/>
      <c r="Z840" s="25"/>
      <c r="AA840" s="25"/>
      <c r="AB840" s="25"/>
      <c r="AC840" s="25"/>
    </row>
    <row r="841">
      <c r="A841" s="24" t="str">
        <f>'DE ( Tarik barang retur )'!AC818</f>
        <v>AWBR-14034-2026-6-16-01</v>
      </c>
      <c r="B841" s="24" t="str">
        <f>'DE ( Tarik barang retur )'!F818</f>
        <v>Apotek Inofarma Taruna Jaya</v>
      </c>
      <c r="C841" s="35">
        <f>'DE ( Tarik barang retur )'!G818</f>
        <v>6.28789E+17</v>
      </c>
      <c r="D841" s="24" t="str">
        <f>'DE ( Tarik barang retur )'!H818</f>
        <v>Jl. Taruna Jaya RT 006 RW 005 RT 006 RW 005, Kel. Cibubur, Kec. Ciracas, Kota Jakarta Timur</v>
      </c>
      <c r="E841" s="24" t="str">
        <f>'DE ( Tarik barang retur )'!D818</f>
        <v>-</v>
      </c>
      <c r="F841" s="24" t="str">
        <f>'DE ( Tarik barang retur )'!R818</f>
        <v>TMP-INV-2026/04/26/ 2678782 TMP-INV-2026/04/21/ 2663432 PEPTIBREN Sanghiang RASA KACANG HIJAU DUS, 3 SACHET @ 65 G SYMBICORT TURBUHALER AstraZeneca SERBUK INHALASI 160 MCG /4.5 MCG DUS, 1 GALVUSMET Novartis TABLET 50/500 MG DUS, 3 STRIP @ 10 TABLET SALUT SELAPUT TURBUHALER @ 120 DOSIS Tarik Barang Retur</v>
      </c>
      <c r="G841" s="36">
        <f>'DE ( Tarik barang retur )'!AF818</f>
        <v>46189</v>
      </c>
      <c r="H841" s="24"/>
      <c r="I841" s="24"/>
      <c r="J841" s="21" t="s">
        <v>5307</v>
      </c>
      <c r="K841" s="24"/>
      <c r="L841" s="24"/>
      <c r="M841" s="24"/>
      <c r="N841" s="24"/>
      <c r="O841" s="24"/>
      <c r="P841" s="25"/>
      <c r="Q841" s="25"/>
      <c r="R841" s="25"/>
      <c r="S841" s="25"/>
      <c r="T841" s="25"/>
      <c r="U841" s="25"/>
      <c r="V841" s="25"/>
      <c r="W841" s="25"/>
      <c r="X841" s="25"/>
      <c r="Y841" s="25"/>
      <c r="Z841" s="25"/>
      <c r="AA841" s="25"/>
      <c r="AB841" s="25"/>
      <c r="AC841" s="25"/>
    </row>
    <row r="842">
      <c r="A842" s="24" t="str">
        <f>'DE ( Tarik barang retur )'!AC819</f>
        <v>AWBR-14009-2026-6-16-01</v>
      </c>
      <c r="B842" s="24" t="str">
        <f>'DE ( Tarik barang retur )'!F819</f>
        <v>Apotek Inofarma Warakas</v>
      </c>
      <c r="C842" s="35">
        <f>'DE ( Tarik barang retur )'!G819</f>
        <v>6.28786E+17</v>
      </c>
      <c r="D842" s="24" t="str">
        <f>'DE ( Tarik barang retur )'!H819</f>
        <v>Jl. Warakas I No 18, RT 004 RW 001, Warakas, Tanjung Priok, Kota Jakarta Utara, DKI Jakarta,14370</v>
      </c>
      <c r="E842" s="24" t="str">
        <f>'DE ( Tarik barang retur )'!D819</f>
        <v>-</v>
      </c>
      <c r="F842" s="24" t="str">
        <f>'DE ( Tarik barang retur )'!R819</f>
        <v>TMP-TO-08054 TMP-INV-2025/10/14/ 2026047
TMP-INV-2025/10/16/ 2029925
TMP-INV-2025/10/17/ 2036982
TMP-INV-2025/10/23/ 2052976
TMP-INV-2025/10/23/ 2055660
TMP-INV-2025/10/24/ 2059651
TMP-INV-2025/10/25/ 2062332
TMP-INV-2026/01/14/ 2328032
TMP-INV-2026/01/14/ 2328090
TMP-INV-2026/01/15/ 2331674
TMP-INV-2026/01/20/ 2348162
TMP-INV-2026/01/22/ 2354063
TMP-INV-2026/01/26/ 2365541
TMP-INV-2026/02/27/ 2478831
TMP-INV-2026/03/02/ 2487525
TMP-INV-2026/03/06/ 2502657
TMP-INV-2026/03/09/ 2511325
TMP-INV-2026/03/25/ 2563546
TMP-INV-2026/03/31/ 2586975
TMP-INV-2026/04/07/ 2608163
TMP-INV-2026/04/14/ 2637343
TMP-INV-2026/04/21/ 2663244
TMP-INV-2026/04/21/ 2663304
 PURITYFIC OMEGA ODOURLESS FISH OIL 1500 MG + VITAMIN D3 Lintas Batas KAPSUL BOTOL PLASTIK @ 60 KAPSUL LUNAK TROLIT Kalbe SERBUK DUS, 6 SACHET @ 4 GRAM
DALFAROL 200 Darya-Varia KAPSUL DUS, 25 STRIP @ 4 KAPSUL LUNAK
NEOCATE LCP Nutricia SERBUK KALENG 400 G
CONTREXYN DEMAM (RASA JERUK) Supra Ferbindo DROPS DUS BOTOL@15 ML
NELLCO SPESIAL OBH PE UNTUK ANAK-ANAK Nellco SIRUP RASA JERUK DUS, 1 BOTOL @ 55 ML
FLAMAR Sanbe TETES MATA DUS, 1 BOTOL PLASTIK @ 5 ML
SPIROLA 100 Dankos TABLET DUS, 5 STRIP @ 10 TABLET
MILNA BUBUR BAYI 6+ RASA TIM HATI AYAM BAYAM POUCH @ 120 G
MILNA BUBUR BAYI 8+ RASA SALMON CAH BAYAM POUCH @ 100 G
MILNA BUBUR BAYI 8+ RASA SUP AYAM JAGUNG POUCH @ 100 G
NEPHRISOL Sanghiang RASA CAPPUCCINO DUS, 3 SACHET @67 G
MILNA NTURE RUMPUT LAUT POUCH, 13 G
SERETIDE DISKUS Gsk SERBUK INHALER 50/100 MCG DUS, STRIP @ 60 BLISTER DOSIS
PEPTIBREN Sanghiang RASA KACANG HIJAU DUS, 3 SACHET @ 65 G
YOU C-1000 LEMON WATER BOTOL PLASTIK @ 500 ML
TROLIT Kalbe SERBUK DUS, 6 SACHET @ 4 GRAM
MILNA NTURE RUMPUT LAUT POUCH, 13 G
YOU C-1000 LEMON WATER BOTOL PLASTIK @ 500 ML
HARNAL D Combiphar TABLET DISPERSIBLE 0.2 MG DUS, 2 BLISTER @ 14 TABLET DISPERSIBEL
MILNA NTURE RUMPUT LAUT POUCH, 13 G
MILNA NTURE RUMPUT LAUT POUCH, 13 G
YOU C-1000 LEMON WATER BOTOL PLASTIK @ 500 ML
YOU C-1000 LEMON WATER BOTOL PLASTIK @ 500 ML
ACICLOVIR Phapros TABLET 200 MG DUS, 5 STRIP @ 10 TABLET
GALVUSMET Novartis TABLET 50/500 MG DUS, 3 STRIP @ 10 TABLET SALUT SELAPUT
 Tarik Barang Retur</v>
      </c>
      <c r="G842" s="36">
        <f>'DE ( Tarik barang retur )'!AF819</f>
        <v>46189</v>
      </c>
      <c r="H842" s="24"/>
      <c r="I842" s="24"/>
      <c r="J842" s="21" t="s">
        <v>5371</v>
      </c>
      <c r="K842" s="24"/>
      <c r="L842" s="24"/>
      <c r="M842" s="25" t="str">
        <f>GET_LOCATION(D842,"city")</f>
        <v>Jakarta Utara</v>
      </c>
      <c r="N842" s="25" t="str">
        <f>GET_LOCATION(D842,"province")</f>
        <v>Daerah Khusus Ibukota Jakarta</v>
      </c>
      <c r="O842" s="25" t="str">
        <f>VLOOKUP(M842,'Mapping Area'!A:C,3,0)</f>
        <v>GJ</v>
      </c>
      <c r="P842" s="25"/>
      <c r="Q842" s="25"/>
      <c r="R842" s="25"/>
      <c r="S842" s="25"/>
      <c r="T842" s="25"/>
      <c r="U842" s="25"/>
      <c r="V842" s="25"/>
      <c r="W842" s="25"/>
      <c r="X842" s="25"/>
      <c r="Y842" s="25"/>
      <c r="Z842" s="25"/>
      <c r="AA842" s="25"/>
      <c r="AB842" s="25"/>
      <c r="AC842" s="25"/>
    </row>
    <row r="843">
      <c r="A843" s="24" t="str">
        <f>'DE ( Tarik barang retur )'!AC820</f>
        <v>AWBR-10778-2026-6-16-01</v>
      </c>
      <c r="B843" s="24" t="str">
        <f>'DE ( Tarik barang retur )'!F820</f>
        <v>Apotek Rahmat Bojonggenteng Jampangkulon</v>
      </c>
      <c r="C843" s="35">
        <f>'DE ( Tarik barang retur )'!G820</f>
        <v>6.28531E+17</v>
      </c>
      <c r="D843" s="24" t="str">
        <f>'DE ( Tarik barang retur )'!H820</f>
        <v>Jl. Cinagen RT 008 RW 003 Desa Bojonggenteng Kec Jampangkulon Kab. Sukabumi 43170</v>
      </c>
      <c r="E843" s="24" t="str">
        <f>'DE ( Tarik barang retur )'!D820</f>
        <v>-</v>
      </c>
      <c r="F843" s="24" t="str">
        <f>'DE ( Tarik barang retur )'!R820</f>
        <v>TMP-INV-2026/05/27/ 2789811 SGM ANANDA GAIN 100 Sarihusada DUS, ALUMUNIUM FOIL @ 400 G Tarik Barang Retur</v>
      </c>
      <c r="G843" s="36">
        <f>'DE ( Tarik barang retur )'!AF820</f>
        <v>46189</v>
      </c>
      <c r="H843" s="22">
        <v>46189.0</v>
      </c>
      <c r="I843" s="24"/>
      <c r="J843" s="21" t="s">
        <v>5295</v>
      </c>
      <c r="K843" s="24"/>
      <c r="L843" s="24"/>
      <c r="M843" s="24"/>
      <c r="N843" s="24"/>
      <c r="O843" s="24"/>
      <c r="P843" s="25"/>
      <c r="Q843" s="25"/>
      <c r="R843" s="25"/>
      <c r="S843" s="25"/>
      <c r="T843" s="25"/>
      <c r="U843" s="25"/>
      <c r="V843" s="25"/>
      <c r="W843" s="25"/>
      <c r="X843" s="25"/>
      <c r="Y843" s="25"/>
      <c r="Z843" s="25"/>
      <c r="AA843" s="25"/>
      <c r="AB843" s="25"/>
      <c r="AC843" s="25"/>
    </row>
    <row r="844">
      <c r="A844" s="24" t="str">
        <f>'DE ( Tarik barang retur )'!AC821</f>
        <v>AWBR-TMP-103-2026-6-16-01</v>
      </c>
      <c r="B844" s="24" t="str">
        <f>'DE ( Tarik barang retur )'!F821</f>
        <v>Apotek Zam Zam Mulia</v>
      </c>
      <c r="C844" s="35">
        <f>'DE ( Tarik barang retur )'!G821</f>
        <v>6.21315E+16</v>
      </c>
      <c r="D844" s="24" t="str">
        <f>'DE ( Tarik barang retur )'!H821</f>
        <v>Jl Kebon Sirih Barat IX No 7D RT 004 RW 005 Kelurahan Kebon Sirih Kecamatan Menteng Jakarta Pusat DKI Jakarta 10340 (Rumah Ibu Elvi)</v>
      </c>
      <c r="E844" s="24" t="str">
        <f>'DE ( Tarik barang retur )'!D821</f>
        <v>-</v>
      </c>
      <c r="F844" s="24" t="str">
        <f>'DE ( Tarik barang retur )'!R821</f>
        <v>TMP-INV-2026/03/29/ 2578117 TMP-INV-2026/03/29/ 2578100
TMP-INV-2026/03/20/ 2554064
TMP-INV-2026/03/20/ 2553972
TMP-INV-2026/03/20/ 2553964
TMP-INV-2026/03/20/ 2554215
TMP-INV-2026/05/23/ 2776576 Tarik Faktur</v>
      </c>
      <c r="G844" s="36">
        <f>'DE ( Tarik barang retur )'!AF821</f>
        <v>46189</v>
      </c>
      <c r="H844" s="22">
        <v>46191.0</v>
      </c>
      <c r="I844" s="24"/>
      <c r="J844" s="21" t="s">
        <v>5295</v>
      </c>
      <c r="K844" s="24"/>
      <c r="L844" s="24"/>
      <c r="M844" s="25"/>
      <c r="N844" s="25"/>
      <c r="O844" s="25"/>
      <c r="P844" s="25"/>
      <c r="Q844" s="25"/>
      <c r="R844" s="25"/>
      <c r="S844" s="25"/>
      <c r="T844" s="25"/>
      <c r="U844" s="25"/>
      <c r="V844" s="25"/>
      <c r="W844" s="25"/>
      <c r="X844" s="25"/>
      <c r="Y844" s="25"/>
      <c r="Z844" s="25"/>
      <c r="AA844" s="25"/>
      <c r="AB844" s="25"/>
      <c r="AC844" s="25"/>
    </row>
    <row r="845">
      <c r="A845" s="24" t="str">
        <f>'DE ( Tarik barang retur )'!AC822</f>
        <v>AWBR-TMP-405-2026-6-16-01</v>
      </c>
      <c r="B845" s="24" t="str">
        <f>'DE ( Tarik barang retur )'!F822</f>
        <v>Apotek Alam Medika</v>
      </c>
      <c r="C845" s="35">
        <f>'DE ( Tarik barang retur )'!G822</f>
        <v>6.21315E+16</v>
      </c>
      <c r="D845" s="24" t="str">
        <f>'DE ( Tarik barang retur )'!H822</f>
        <v>Jl Kebon Sirih Barat IX No 7D RT 004 RW 005 Kelurahan Kebon Sirih Kecamatan Menteng Jakarta Pusat DKI Jakarta 10340 (Rumah Ibu Elvi)</v>
      </c>
      <c r="E845" s="24" t="str">
        <f>'DE ( Tarik barang retur )'!D822</f>
        <v>-</v>
      </c>
      <c r="F845" s="24" t="str">
        <f>'DE ( Tarik barang retur )'!R822</f>
        <v>TMP-INV-2026/05/23/ 2776576
TMP-INV-2026/05/22/ 2772993
TMP-INV-2026/05/14/ 2743853
TMP-INV-2026/05/14/ 2743780
TMP-INV-2026/05/14/ 2743814
 Tarik Faktur</v>
      </c>
      <c r="G845" s="36">
        <f>'DE ( Tarik barang retur )'!AF822</f>
        <v>46189</v>
      </c>
      <c r="H845" s="22">
        <v>46191.0</v>
      </c>
      <c r="I845" s="24"/>
      <c r="J845" s="21" t="s">
        <v>5295</v>
      </c>
      <c r="K845" s="24"/>
      <c r="L845" s="24"/>
      <c r="M845" s="25"/>
      <c r="N845" s="25"/>
      <c r="O845" s="25"/>
      <c r="P845" s="25"/>
      <c r="Q845" s="25"/>
      <c r="R845" s="25"/>
      <c r="S845" s="25"/>
      <c r="T845" s="25"/>
      <c r="U845" s="25"/>
      <c r="V845" s="25"/>
      <c r="W845" s="25"/>
      <c r="X845" s="25"/>
      <c r="Y845" s="25"/>
      <c r="Z845" s="25"/>
      <c r="AA845" s="25"/>
      <c r="AB845" s="25"/>
      <c r="AC845" s="25"/>
    </row>
    <row r="846">
      <c r="A846" s="24" t="str">
        <f>'DE ( Tarik barang retur )'!AC823</f>
        <v>AWBR-TMP-455-2026-6-16-01</v>
      </c>
      <c r="B846" s="24" t="str">
        <f>'DE ( Tarik barang retur )'!F823</f>
        <v>Apotek Rosa Farma</v>
      </c>
      <c r="C846" s="35">
        <f>'DE ( Tarik barang retur )'!G823</f>
        <v>6.21315E+16</v>
      </c>
      <c r="D846" s="24" t="str">
        <f>'DE ( Tarik barang retur )'!H823</f>
        <v>Jl Kebon Sirih Barat IX No 7D RT 004 RW 005 Kelurahan Kebon Sirih Kecamatan Menteng Jakarta Pusat DKI Jakarta 10340 (Rumah Ibu Elvi)</v>
      </c>
      <c r="E846" s="24" t="str">
        <f>'DE ( Tarik barang retur )'!D823</f>
        <v>-</v>
      </c>
      <c r="F846" s="24" t="str">
        <f>'DE ( Tarik barang retur )'!R823</f>
        <v>TMP-INV-2026/03/20/ 2553463
TMP-INV-2026/03/20/ 2553364
TMP-INV-2026/03/20/ 2553484
TMP-INV-2026/03/19/ 2553150
TMP-INV-2026/03/19/ 2553085
TMP-INV-2026/02/17/ 2441113
TMP-INV-2026/02/14/ 2432963
 Tarik Faktur</v>
      </c>
      <c r="G846" s="36">
        <f>'DE ( Tarik barang retur )'!AF823</f>
        <v>46189</v>
      </c>
      <c r="H846" s="22">
        <v>46191.0</v>
      </c>
      <c r="I846" s="24"/>
      <c r="J846" s="21" t="s">
        <v>5295</v>
      </c>
      <c r="K846" s="24"/>
      <c r="L846" s="24"/>
      <c r="M846" s="25"/>
      <c r="N846" s="25"/>
      <c r="O846" s="25"/>
      <c r="P846" s="25"/>
      <c r="Q846" s="25"/>
      <c r="R846" s="25"/>
      <c r="S846" s="25"/>
      <c r="T846" s="25"/>
      <c r="U846" s="25"/>
      <c r="V846" s="25"/>
      <c r="W846" s="25"/>
      <c r="X846" s="25"/>
      <c r="Y846" s="25"/>
      <c r="Z846" s="25"/>
      <c r="AA846" s="25"/>
      <c r="AB846" s="25"/>
      <c r="AC846" s="25"/>
    </row>
    <row r="847">
      <c r="A847" s="24" t="str">
        <f>'DE ( Tarik barang retur )'!AC824</f>
        <v>AWBR-TMP-475-2026-6-16-01</v>
      </c>
      <c r="B847" s="24" t="str">
        <f>'DE ( Tarik barang retur )'!F824</f>
        <v>Apotek 8</v>
      </c>
      <c r="C847" s="35">
        <f>'DE ( Tarik barang retur )'!G824</f>
        <v>6.21315E+16</v>
      </c>
      <c r="D847" s="24" t="str">
        <f>'DE ( Tarik barang retur )'!H824</f>
        <v>Jl Kebon Sirih Barat IX No 7D RT 004 RW 005 Kelurahan Kebon Sirih Kecamatan Menteng Jakarta Pusat DKI Jakarta 10340 (Rumah Ibu Elvi)</v>
      </c>
      <c r="E847" s="24" t="str">
        <f>'DE ( Tarik barang retur )'!D824</f>
        <v>-</v>
      </c>
      <c r="F847" s="24" t="str">
        <f>'DE ( Tarik barang retur )'!R824</f>
        <v>TMP-INV-2026/04/02/ 2593935 / TMP-INV-2026/03/19/ 2551975 Tarik Faktur</v>
      </c>
      <c r="G847" s="36">
        <f>'DE ( Tarik barang retur )'!AF824</f>
        <v>46189</v>
      </c>
      <c r="H847" s="22">
        <v>46191.0</v>
      </c>
      <c r="I847" s="24"/>
      <c r="J847" s="21" t="s">
        <v>5295</v>
      </c>
      <c r="K847" s="24"/>
      <c r="L847" s="24"/>
      <c r="M847" s="25"/>
      <c r="N847" s="25"/>
      <c r="O847" s="25"/>
      <c r="P847" s="25"/>
      <c r="Q847" s="25"/>
      <c r="R847" s="25"/>
      <c r="S847" s="25"/>
      <c r="T847" s="25"/>
      <c r="U847" s="25"/>
      <c r="V847" s="25"/>
      <c r="W847" s="25"/>
      <c r="X847" s="25"/>
      <c r="Y847" s="25"/>
      <c r="Z847" s="25"/>
      <c r="AA847" s="25"/>
      <c r="AB847" s="25"/>
      <c r="AC847" s="25"/>
    </row>
    <row r="848">
      <c r="A848" s="24" t="str">
        <f>'DE ( Tarik barang retur )'!AC825</f>
        <v>AWBR-TMP-657-2026-6-16-01</v>
      </c>
      <c r="B848" s="24" t="str">
        <f>'DE ( Tarik barang retur )'!F825</f>
        <v>Apotek Salva Medika</v>
      </c>
      <c r="C848" s="35">
        <f>'DE ( Tarik barang retur )'!G825</f>
        <v>6.21315E+16</v>
      </c>
      <c r="D848" s="24" t="str">
        <f>'DE ( Tarik barang retur )'!H825</f>
        <v>Jl Kebon Sirih Barat IX No 7D RT 004 RW 005 Kelurahan Kebon Sirih Kecamatan Menteng Jakarta Pusat DKI Jakarta 10340 (Rumah Ibu Elvi)</v>
      </c>
      <c r="E848" s="24" t="str">
        <f>'DE ( Tarik barang retur )'!D825</f>
        <v>-</v>
      </c>
      <c r="F848" s="24" t="str">
        <f>'DE ( Tarik barang retur )'!R825</f>
        <v>TMP-INV-2026/05/23/ 2776581
TMP-INV-2026/05/14/ 2744621
TMP-INV-2026/05/14/ 2744617
TMP-INV-2026/04/23/ 2667525
TMP-INV-2026/04/22/ 2667056
TMP-INV-2026/03/04/ 2495114
TMP-INV-2026/03/04/ 2494946
TMP-INV-2026/03/04/ 2495174
 Tarik Faktur</v>
      </c>
      <c r="G848" s="36">
        <f>'DE ( Tarik barang retur )'!AF825</f>
        <v>46189</v>
      </c>
      <c r="H848" s="22">
        <v>46191.0</v>
      </c>
      <c r="I848" s="24"/>
      <c r="J848" s="21" t="s">
        <v>5295</v>
      </c>
      <c r="K848" s="24"/>
      <c r="L848" s="24"/>
      <c r="M848" s="25"/>
      <c r="N848" s="25"/>
      <c r="O848" s="25"/>
      <c r="P848" s="25"/>
      <c r="Q848" s="25"/>
      <c r="R848" s="25"/>
      <c r="S848" s="25"/>
      <c r="T848" s="25"/>
      <c r="U848" s="25"/>
      <c r="V848" s="25"/>
      <c r="W848" s="25"/>
      <c r="X848" s="25"/>
      <c r="Y848" s="25"/>
      <c r="Z848" s="25"/>
      <c r="AA848" s="25"/>
      <c r="AB848" s="25"/>
      <c r="AC848" s="25"/>
    </row>
    <row r="849">
      <c r="A849" s="24" t="str">
        <f>'DE ( Tarik barang retur )'!AC826</f>
        <v>AWBR-TMP-722-2026-6-16-01</v>
      </c>
      <c r="B849" s="24" t="str">
        <f>'DE ( Tarik barang retur )'!F826</f>
        <v>Apotek Sehat Bersama 2</v>
      </c>
      <c r="C849" s="35">
        <f>'DE ( Tarik barang retur )'!G826</f>
        <v>6.21315E+16</v>
      </c>
      <c r="D849" s="24" t="str">
        <f>'DE ( Tarik barang retur )'!H826</f>
        <v>Jl Kebon Sirih Barat IX No 7D RT 004 RW 005 Kelurahan Kebon Sirih Kecamatan Menteng Jakarta Pusat DKI Jakarta 10340 (Rumah Ibu Elvi)</v>
      </c>
      <c r="E849" s="24" t="str">
        <f>'DE ( Tarik barang retur )'!D826</f>
        <v>-</v>
      </c>
      <c r="F849" s="24" t="str">
        <f>'DE ( Tarik barang retur )'!R826</f>
        <v>TMP-INV-2026/03/30/ 2581578
TMP-INV-2026/03/30/ 2581423
TMP-INV-2026/03/19/ 2551611
 Tarik Faktur</v>
      </c>
      <c r="G849" s="36">
        <f>'DE ( Tarik barang retur )'!AF826</f>
        <v>46189</v>
      </c>
      <c r="H849" s="22">
        <v>46191.0</v>
      </c>
      <c r="I849" s="24"/>
      <c r="J849" s="21" t="s">
        <v>5295</v>
      </c>
      <c r="K849" s="24"/>
      <c r="L849" s="24"/>
      <c r="M849" s="25"/>
      <c r="N849" s="25"/>
      <c r="O849" s="25"/>
      <c r="P849" s="25"/>
      <c r="Q849" s="25"/>
      <c r="R849" s="25"/>
      <c r="S849" s="25"/>
      <c r="T849" s="25"/>
      <c r="U849" s="25"/>
      <c r="V849" s="25"/>
      <c r="W849" s="25"/>
      <c r="X849" s="25"/>
      <c r="Y849" s="25"/>
      <c r="Z849" s="25"/>
      <c r="AA849" s="25"/>
      <c r="AB849" s="25"/>
      <c r="AC849" s="25"/>
    </row>
    <row r="850">
      <c r="A850" s="24" t="str">
        <f>'DE ( Tarik barang retur )'!AC827</f>
        <v>AWBR-TMP-982-2026-6-16-01</v>
      </c>
      <c r="B850" s="24" t="str">
        <f>'DE ( Tarik barang retur )'!F827</f>
        <v>Apotek Pondok Gede Farma</v>
      </c>
      <c r="C850" s="35">
        <f>'DE ( Tarik barang retur )'!G827</f>
        <v>6.21315E+16</v>
      </c>
      <c r="D850" s="24" t="str">
        <f>'DE ( Tarik barang retur )'!H827</f>
        <v>Jl Kebon Sirih Barat IX No 7D RT 004 RW 005 Kelurahan Kebon Sirih Kecamatan Menteng Jakarta Pusat DKI Jakarta 10340 (Rumah Ibu Elvi)</v>
      </c>
      <c r="E850" s="24" t="str">
        <f>'DE ( Tarik barang retur )'!D827</f>
        <v>-</v>
      </c>
      <c r="F850" s="24" t="str">
        <f>'DE ( Tarik barang retur )'!R827</f>
        <v>TMP-INV-2026/04/07/ 2610969 TMP-INV-2026/04/07/ 2611430
TMP-INV-2026/03/26/ 2567622
TMP-INV-2026/03/26/ 2567774
TMP-INV-2026/03/24/ 2560066
TMP-INV-2026/03/24/ 2560194
TMP-INV-2026/03/24/ 2560335
TMP-INV-2026/03/23/ 2555975
TMP-INV-2026/03/23/ 2556391
TMP-INV-2026/03/23/ 2556654
TMP-INV-2026/03/20/ 2553548
TMP-INV-2026/03/20/ 2553906
TMP-INV-2026/03/20/ 2553818
TMP-INV-2026/03/20/ 2553404
TMP-INV-2026/03/18/ 2548714
TMP-INV-2026/03/17/ 2543799
 Tarik Faktur</v>
      </c>
      <c r="G850" s="36">
        <f>'DE ( Tarik barang retur )'!AF827</f>
        <v>46189</v>
      </c>
      <c r="H850" s="22">
        <v>46191.0</v>
      </c>
      <c r="I850" s="24"/>
      <c r="J850" s="21" t="s">
        <v>5295</v>
      </c>
      <c r="K850" s="24"/>
      <c r="L850" s="24"/>
      <c r="M850" s="25"/>
      <c r="N850" s="25"/>
      <c r="O850" s="25"/>
      <c r="P850" s="25"/>
      <c r="Q850" s="25"/>
      <c r="R850" s="25"/>
      <c r="S850" s="25"/>
      <c r="T850" s="25"/>
      <c r="U850" s="25"/>
      <c r="V850" s="25"/>
      <c r="W850" s="25"/>
      <c r="X850" s="25"/>
      <c r="Y850" s="25"/>
      <c r="Z850" s="25"/>
      <c r="AA850" s="25"/>
      <c r="AB850" s="25"/>
      <c r="AC850" s="25"/>
    </row>
    <row r="851">
      <c r="A851" s="24" t="str">
        <f>'DE ( Tarik barang retur )'!AC828</f>
        <v>AWBR-TMP-1036-2026-6-16-01</v>
      </c>
      <c r="B851" s="24" t="str">
        <f>'DE ( Tarik barang retur )'!F828</f>
        <v>Klinik Pratama Adia Bintara</v>
      </c>
      <c r="C851" s="35">
        <f>'DE ( Tarik barang retur )'!G828</f>
        <v>6.21315E+16</v>
      </c>
      <c r="D851" s="24" t="str">
        <f>'DE ( Tarik barang retur )'!H828</f>
        <v>Jl Kebon Sirih Barat IX No 7D RT 004 RW 005 Kelurahan Kebon Sirih Kecamatan Menteng Jakarta Pusat DKI Jakarta 10340 (Rumah Ibu Elvi)</v>
      </c>
      <c r="E851" s="24" t="str">
        <f>'DE ( Tarik barang retur )'!D828</f>
        <v>-</v>
      </c>
      <c r="F851" s="24" t="str">
        <f>'DE ( Tarik barang retur )'!R828</f>
        <v>TMP-INV-2026/05/06/ 2713236
TMP-INV-2026/05/06/ 2713325
TMP-INV-2026/04/29/ 2688976
 Tarik Faktur</v>
      </c>
      <c r="G851" s="36">
        <f>'DE ( Tarik barang retur )'!AF828</f>
        <v>46189</v>
      </c>
      <c r="H851" s="22">
        <v>46191.0</v>
      </c>
      <c r="I851" s="24"/>
      <c r="J851" s="21" t="s">
        <v>5295</v>
      </c>
      <c r="K851" s="24"/>
      <c r="L851" s="24"/>
      <c r="M851" s="25"/>
      <c r="N851" s="25"/>
      <c r="O851" s="25"/>
      <c r="P851" s="25"/>
      <c r="Q851" s="25"/>
      <c r="R851" s="25"/>
      <c r="S851" s="25"/>
      <c r="T851" s="25"/>
      <c r="U851" s="25"/>
      <c r="V851" s="25"/>
      <c r="W851" s="25"/>
      <c r="X851" s="25"/>
      <c r="Y851" s="25"/>
      <c r="Z851" s="25"/>
      <c r="AA851" s="25"/>
      <c r="AB851" s="25"/>
      <c r="AC851" s="25"/>
    </row>
    <row r="852">
      <c r="A852" s="24" t="str">
        <f>'DE ( Tarik barang retur )'!AC829</f>
        <v>AWBR-TMP-1184-2026-6-16-01</v>
      </c>
      <c r="B852" s="24" t="str">
        <f>'DE ( Tarik barang retur )'!F829</f>
        <v>Apotek K24 Pondok Kelapa 1184</v>
      </c>
      <c r="C852" s="35">
        <f>'DE ( Tarik barang retur )'!G829</f>
        <v>6.21315E+16</v>
      </c>
      <c r="D852" s="24" t="str">
        <f>'DE ( Tarik barang retur )'!H829</f>
        <v>Jl Kebon Sirih Barat IX No 7D RT 004 RW 005 Kelurahan Kebon Sirih Kecamatan Menteng Jakarta Pusat DKI Jakarta 10340 (Rumah Ibu Elvi)</v>
      </c>
      <c r="E852" s="24" t="str">
        <f>'DE ( Tarik barang retur )'!D829</f>
        <v>-</v>
      </c>
      <c r="F852" s="24" t="str">
        <f>'DE ( Tarik barang retur )'!R829</f>
        <v>TMP-INV-2026/05/25/ 2782093
TMP-INV-2026/05/25/ 2782648
TMP-INV-2026/05/25/ 2781950
TMP-INV-2026/05/25/ 2782285
TMP-INV-2026/05/23/ 2777098
TMP-INV-2026/05/23/ 2776941
TMP-INV-2026/01/03/ 2290531
 Tarik Faktur</v>
      </c>
      <c r="G852" s="36">
        <f>'DE ( Tarik barang retur )'!AF829</f>
        <v>46189</v>
      </c>
      <c r="H852" s="22">
        <v>46191.0</v>
      </c>
      <c r="I852" s="24"/>
      <c r="J852" s="21" t="s">
        <v>5295</v>
      </c>
      <c r="K852" s="24"/>
      <c r="L852" s="24"/>
      <c r="M852" s="25"/>
      <c r="N852" s="25"/>
      <c r="O852" s="25"/>
      <c r="P852" s="25"/>
      <c r="Q852" s="25"/>
      <c r="R852" s="25"/>
      <c r="S852" s="25"/>
      <c r="T852" s="25"/>
      <c r="U852" s="25"/>
      <c r="V852" s="25"/>
      <c r="W852" s="25"/>
      <c r="X852" s="25"/>
      <c r="Y852" s="25"/>
      <c r="Z852" s="25"/>
      <c r="AA852" s="25"/>
      <c r="AB852" s="25"/>
      <c r="AC852" s="25"/>
    </row>
    <row r="853">
      <c r="A853" s="24" t="str">
        <f>'DE ( Tarik barang retur )'!AC830</f>
        <v>AWBR-TMP-1442-2026-6-16-01</v>
      </c>
      <c r="B853" s="24" t="str">
        <f>'DE ( Tarik barang retur )'!F830</f>
        <v>Apotek Faisal</v>
      </c>
      <c r="C853" s="35">
        <f>'DE ( Tarik barang retur )'!G830</f>
        <v>6.21315E+16</v>
      </c>
      <c r="D853" s="24" t="str">
        <f>'DE ( Tarik barang retur )'!H830</f>
        <v>Jl Kebon Sirih Barat IX No 7D RT 004 RW 005 Kelurahan Kebon Sirih Kecamatan Menteng Jakarta Pusat DKI Jakarta 10340 (Rumah Ibu Elvi)</v>
      </c>
      <c r="E853" s="24" t="str">
        <f>'DE ( Tarik barang retur )'!D830</f>
        <v>-</v>
      </c>
      <c r="F853" s="24" t="str">
        <f>'DE ( Tarik barang retur )'!R830</f>
        <v>TMP-INV-2026/04/07/ 2610899
TMP-INV-2026/04/07/ 2611269
TMP-INV-2026/03/26/ 2567297
TMP-INV-2026/03/26/ 2566659
TMP-INV-2026/03/26/ 2567635
TMP-INV-2026/03/16/ 2538720
 Tarik Faktur</v>
      </c>
      <c r="G853" s="36">
        <f>'DE ( Tarik barang retur )'!AF830</f>
        <v>46189</v>
      </c>
      <c r="H853" s="22">
        <v>46191.0</v>
      </c>
      <c r="I853" s="24"/>
      <c r="J853" s="21" t="s">
        <v>5295</v>
      </c>
      <c r="K853" s="24"/>
      <c r="L853" s="24"/>
      <c r="M853" s="25"/>
      <c r="N853" s="25"/>
      <c r="O853" s="25"/>
      <c r="P853" s="25"/>
      <c r="Q853" s="25"/>
      <c r="R853" s="25"/>
      <c r="S853" s="25"/>
      <c r="T853" s="25"/>
      <c r="U853" s="25"/>
      <c r="V853" s="25"/>
      <c r="W853" s="25"/>
      <c r="X853" s="25"/>
      <c r="Y853" s="25"/>
      <c r="Z853" s="25"/>
      <c r="AA853" s="25"/>
      <c r="AB853" s="25"/>
      <c r="AC853" s="25"/>
    </row>
    <row r="854">
      <c r="A854" s="24" t="str">
        <f>'DE ( Tarik barang retur )'!AC831</f>
        <v>AWBR-TMP-1455-2026-6-16-01</v>
      </c>
      <c r="B854" s="24" t="str">
        <f>'DE ( Tarik barang retur )'!F831</f>
        <v>Apotek Sahabat Sehat 1455</v>
      </c>
      <c r="C854" s="35">
        <f>'DE ( Tarik barang retur )'!G831</f>
        <v>6.21315E+16</v>
      </c>
      <c r="D854" s="24" t="str">
        <f>'DE ( Tarik barang retur )'!H831</f>
        <v>Jl Kebon Sirih Barat IX No 7D RT 004 RW 005 Kelurahan Kebon Sirih Kecamatan Menteng Jakarta Pusat DKI Jakarta 10340 (Rumah Ibu Elvi)</v>
      </c>
      <c r="E854" s="24" t="str">
        <f>'DE ( Tarik barang retur )'!D831</f>
        <v>-</v>
      </c>
      <c r="F854" s="24" t="str">
        <f>'DE ( Tarik barang retur )'!R831</f>
        <v>TMP-INV-2026/04/07/ 2611187
TMP-INV-2026/04/07/ 2611759
TMP-INV-2026/04/01/ 2589818
TMP-INV-2026/03/31/ 2585501
TMP-INV-2026/03/31/ 2585623
TMP-INV-2026/03/31/ 2586161
TMP-INV-2026/03/31/ 2583615
TMP-INV-2026/03/25/ 2563709
TMP-INV-2026/03/25/ 2563733
TMP-INV-2026/03/25/ 2563829
TMP-INV-2026/03/25/ 2563231
TMP-INV-2026/03/25/ 2563929
TMP-INV-2026/03/25/ 2561471
TMP-INV-2026/03/20/ 2553340
TMP-INV-2026/03/19/ 2553202
TMP-INV-2026/03/20/ 2553594
TMP-INV-2026/03/19/ 2552467
TMP-INV-2026/03/19/ 2552303
TMP-INV-2026/03/18/ 2549605
TMP-INV-2026/03/19/ 2552311
TMP-INV-2026/02/11/ 2421752
TMP-INV-2026/02/11/ 2422104
TMP-INV-2026/02/11/ 2421653
TMP-INV-2026/02/11/ 2420262
TMP-INV-2026/02/11/ 2421425
TMP-INV-2026/02/11/ 2421055
TMP-INV-2026/01/21/ 2348573
 Tarik Faktur</v>
      </c>
      <c r="G854" s="36">
        <f>'DE ( Tarik barang retur )'!AF831</f>
        <v>46189</v>
      </c>
      <c r="H854" s="22">
        <v>46191.0</v>
      </c>
      <c r="I854" s="24"/>
      <c r="J854" s="21" t="s">
        <v>5295</v>
      </c>
      <c r="K854" s="24"/>
      <c r="L854" s="24"/>
      <c r="M854" s="25"/>
      <c r="N854" s="25"/>
      <c r="O854" s="25"/>
      <c r="P854" s="25"/>
      <c r="Q854" s="25"/>
      <c r="R854" s="25"/>
      <c r="S854" s="25"/>
      <c r="T854" s="25"/>
      <c r="U854" s="25"/>
      <c r="V854" s="25"/>
      <c r="W854" s="25"/>
      <c r="X854" s="25"/>
      <c r="Y854" s="25"/>
      <c r="Z854" s="25"/>
      <c r="AA854" s="25"/>
      <c r="AB854" s="25"/>
      <c r="AC854" s="25"/>
    </row>
    <row r="855">
      <c r="A855" s="24" t="str">
        <f>'DE ( Tarik barang retur )'!AC832</f>
        <v>AWBR-TMP-1518-2026-6-16-01</v>
      </c>
      <c r="B855" s="24" t="str">
        <f>'DE ( Tarik barang retur )'!F832</f>
        <v>Apotek Kita Farma 1518</v>
      </c>
      <c r="C855" s="35">
        <f>'DE ( Tarik barang retur )'!G832</f>
        <v>6.21315E+16</v>
      </c>
      <c r="D855" s="24" t="str">
        <f>'DE ( Tarik barang retur )'!H832</f>
        <v>Jl Kebon Sirih Barat IX No 7D RT 004 RW 005 Kelurahan Kebon Sirih Kecamatan Menteng Jakarta Pusat DKI Jakarta 10340 (Rumah Ibu Elvi)</v>
      </c>
      <c r="E855" s="24" t="str">
        <f>'DE ( Tarik barang retur )'!D832</f>
        <v>-</v>
      </c>
      <c r="F855" s="24" t="str">
        <f>'DE ( Tarik barang retur )'!R832</f>
        <v>TMP-INV-2026/04/03/ 2598653
TMP-INV-2026/04/04/ 2599578
TMP-INV-2026/04/02/ 2594113
TMP-INV-2026/04/02/ 2594082
TMP-INV-2026/03/10/ 2513808
TMP-INV-2026/03/10/ 2515628
 Tarik Faktur</v>
      </c>
      <c r="G855" s="36">
        <f>'DE ( Tarik barang retur )'!AF832</f>
        <v>46189</v>
      </c>
      <c r="H855" s="22">
        <v>46191.0</v>
      </c>
      <c r="I855" s="24"/>
      <c r="J855" s="21" t="s">
        <v>5295</v>
      </c>
      <c r="K855" s="24"/>
      <c r="L855" s="24"/>
      <c r="M855" s="25"/>
      <c r="N855" s="25"/>
      <c r="O855" s="25"/>
      <c r="P855" s="25"/>
      <c r="Q855" s="25"/>
      <c r="R855" s="25"/>
      <c r="S855" s="25"/>
      <c r="T855" s="25"/>
      <c r="U855" s="25"/>
      <c r="V855" s="25"/>
      <c r="W855" s="25"/>
      <c r="X855" s="25"/>
      <c r="Y855" s="25"/>
      <c r="Z855" s="25"/>
      <c r="AA855" s="25"/>
      <c r="AB855" s="25"/>
      <c r="AC855" s="25"/>
    </row>
    <row r="856">
      <c r="A856" s="24" t="str">
        <f>'DE ( Tarik barang retur )'!AC833</f>
        <v>AWBR-TMP-1629-2026-6-16-01</v>
      </c>
      <c r="B856" s="24" t="str">
        <f>'DE ( Tarik barang retur )'!F833</f>
        <v>Apotek Kombi Pondok Kelapa</v>
      </c>
      <c r="C856" s="35">
        <f>'DE ( Tarik barang retur )'!G833</f>
        <v>6.21315E+16</v>
      </c>
      <c r="D856" s="24" t="str">
        <f>'DE ( Tarik barang retur )'!H833</f>
        <v>Jl Kebon Sirih Barat IX No 7D RT 004 RW 005 Kelurahan Kebon Sirih Kecamatan Menteng Jakarta Pusat DKI Jakarta 10340 (Rumah Ibu Elvi)</v>
      </c>
      <c r="E856" s="24" t="str">
        <f>'DE ( Tarik barang retur )'!D833</f>
        <v>-</v>
      </c>
      <c r="F856" s="24" t="str">
        <f>'DE ( Tarik barang retur )'!R833</f>
        <v>TMP-INV-2026/04/22/ 2664826
TMP-INV-2026/04/18/ 2651686
TMP-INV-2026/04/11/ 2626315
 Tarik Faktur</v>
      </c>
      <c r="G856" s="36">
        <f>'DE ( Tarik barang retur )'!AF833</f>
        <v>46189</v>
      </c>
      <c r="H856" s="22">
        <v>46191.0</v>
      </c>
      <c r="I856" s="24"/>
      <c r="J856" s="21" t="s">
        <v>5295</v>
      </c>
      <c r="K856" s="24"/>
      <c r="L856" s="24"/>
      <c r="M856" s="25"/>
      <c r="N856" s="25"/>
      <c r="O856" s="25"/>
      <c r="P856" s="25"/>
      <c r="Q856" s="25"/>
      <c r="R856" s="25"/>
      <c r="S856" s="25"/>
      <c r="T856" s="25"/>
      <c r="U856" s="25"/>
      <c r="V856" s="25"/>
      <c r="W856" s="25"/>
      <c r="X856" s="25"/>
      <c r="Y856" s="25"/>
      <c r="Z856" s="25"/>
      <c r="AA856" s="25"/>
      <c r="AB856" s="25"/>
      <c r="AC856" s="25"/>
    </row>
    <row r="857">
      <c r="A857" s="24" t="str">
        <f>'DE ( Tarik barang retur )'!AC834</f>
        <v>AWBR-TMP-2124-2026-6-16-01</v>
      </c>
      <c r="B857" s="24" t="str">
        <f>'DE ( Tarik barang retur )'!F834</f>
        <v>Apotek Bintara 8</v>
      </c>
      <c r="C857" s="35">
        <f>'DE ( Tarik barang retur )'!G834</f>
        <v>6.21315E+16</v>
      </c>
      <c r="D857" s="24" t="str">
        <f>'DE ( Tarik barang retur )'!H834</f>
        <v>Jl Kebon Sirih Barat IX No 7D RT 004 RW 005 Kelurahan Kebon Sirih Kecamatan Menteng Jakarta Pusat DKI Jakarta 10340 (Rumah Ibu Elvi)</v>
      </c>
      <c r="E857" s="24" t="str">
        <f>'DE ( Tarik barang retur )'!D834</f>
        <v>-</v>
      </c>
      <c r="F857" s="24" t="str">
        <f>'DE ( Tarik barang retur )'!R834</f>
        <v>TMP-INV-2026/05/08/ 2721582
TMP-INV-2026/03/11/ 2521477
 Tarik Faktur</v>
      </c>
      <c r="G857" s="36">
        <f>'DE ( Tarik barang retur )'!AF834</f>
        <v>46189</v>
      </c>
      <c r="H857" s="22">
        <v>46191.0</v>
      </c>
      <c r="I857" s="24"/>
      <c r="J857" s="21" t="s">
        <v>5295</v>
      </c>
      <c r="K857" s="24"/>
      <c r="L857" s="24"/>
      <c r="M857" s="25"/>
      <c r="N857" s="25"/>
      <c r="O857" s="25"/>
      <c r="P857" s="25"/>
      <c r="Q857" s="25"/>
      <c r="R857" s="25"/>
      <c r="S857" s="25"/>
      <c r="T857" s="25"/>
      <c r="U857" s="25"/>
      <c r="V857" s="25"/>
      <c r="W857" s="25"/>
      <c r="X857" s="25"/>
      <c r="Y857" s="25"/>
      <c r="Z857" s="25"/>
      <c r="AA857" s="25"/>
      <c r="AB857" s="25"/>
      <c r="AC857" s="25"/>
    </row>
    <row r="858">
      <c r="A858" s="24" t="str">
        <f>'DE ( Tarik barang retur )'!AC835</f>
        <v>AWBR-TMP-2131-2026-6-16-01</v>
      </c>
      <c r="B858" s="24" t="str">
        <f>'DE ( Tarik barang retur )'!F835</f>
        <v>Apotek Angsana 3</v>
      </c>
      <c r="C858" s="35">
        <f>'DE ( Tarik barang retur )'!G835</f>
        <v>6.21315E+16</v>
      </c>
      <c r="D858" s="24" t="str">
        <f>'DE ( Tarik barang retur )'!H835</f>
        <v>Jl Kebon Sirih Barat IX No 7D RT 004 RW 005 Kelurahan Kebon Sirih Kecamatan Menteng Jakarta Pusat DKI Jakarta 10340 (Rumah Ibu Elvi)</v>
      </c>
      <c r="E858" s="24" t="str">
        <f>'DE ( Tarik barang retur )'!D835</f>
        <v>-</v>
      </c>
      <c r="F858" s="24" t="str">
        <f>'DE ( Tarik barang retur )'!R835</f>
        <v>TMP-INV-2026/05/23/ 2775398
TMP-INV-2026/05/23/ 2776370
TMP-INV-2026/05/23/ 2775259
TMP-INV-2026/05/14/ 2745058
TMP-INV-2026/05/08/ 2721458
TMP-INV-2026/05/08/ 2721691
TMP-INV-2026/05/08/ 2721424
 Tarik Faktur</v>
      </c>
      <c r="G858" s="36">
        <f>'DE ( Tarik barang retur )'!AF835</f>
        <v>46189</v>
      </c>
      <c r="H858" s="22">
        <v>46191.0</v>
      </c>
      <c r="I858" s="24"/>
      <c r="J858" s="21" t="s">
        <v>5295</v>
      </c>
      <c r="K858" s="24"/>
      <c r="L858" s="24"/>
      <c r="M858" s="25"/>
      <c r="N858" s="25"/>
      <c r="O858" s="25"/>
      <c r="P858" s="25"/>
      <c r="Q858" s="25"/>
      <c r="R858" s="25"/>
      <c r="S858" s="25"/>
      <c r="T858" s="25"/>
      <c r="U858" s="25"/>
      <c r="V858" s="25"/>
      <c r="W858" s="25"/>
      <c r="X858" s="25"/>
      <c r="Y858" s="25"/>
      <c r="Z858" s="25"/>
      <c r="AA858" s="25"/>
      <c r="AB858" s="25"/>
      <c r="AC858" s="25"/>
    </row>
    <row r="859">
      <c r="A859" s="24" t="str">
        <f>'DE ( Tarik barang retur )'!AC836</f>
        <v>AWBR-TMP-2412-2026-6-16-01</v>
      </c>
      <c r="B859" s="24" t="str">
        <f>'DE ( Tarik barang retur )'!F836</f>
        <v>Apotek Sentra</v>
      </c>
      <c r="C859" s="35">
        <f>'DE ( Tarik barang retur )'!G836</f>
        <v>6.21315E+16</v>
      </c>
      <c r="D859" s="24" t="str">
        <f>'DE ( Tarik barang retur )'!H836</f>
        <v>Jl Kebon Sirih Barat IX No 7D RT 004 RW 005 Kelurahan Kebon Sirih Kecamatan Menteng Jakarta Pusat DKI Jakarta 10340 (Rumah Ibu Elvi)</v>
      </c>
      <c r="E859" s="24" t="str">
        <f>'DE ( Tarik barang retur )'!D836</f>
        <v>-</v>
      </c>
      <c r="F859" s="24" t="str">
        <f>'DE ( Tarik barang retur )'!R836</f>
        <v>TMP-INV-2026/05/23/ 2775949
TMP-INV-2026/05/23/ 2775852
TMP-INV-2026/05/23/ 2776023
TMP-INV-2026/05/23/ 2775697
TMP-INV-2026/05/23/ 2775687
 Tarik Faktur</v>
      </c>
      <c r="G859" s="36">
        <f>'DE ( Tarik barang retur )'!AF836</f>
        <v>46189</v>
      </c>
      <c r="H859" s="22">
        <v>46191.0</v>
      </c>
      <c r="I859" s="24"/>
      <c r="J859" s="21" t="s">
        <v>5295</v>
      </c>
      <c r="K859" s="24"/>
      <c r="L859" s="24"/>
      <c r="M859" s="25"/>
      <c r="N859" s="25"/>
      <c r="O859" s="25"/>
      <c r="P859" s="25"/>
      <c r="Q859" s="25"/>
      <c r="R859" s="25"/>
      <c r="S859" s="25"/>
      <c r="T859" s="25"/>
      <c r="U859" s="25"/>
      <c r="V859" s="25"/>
      <c r="W859" s="25"/>
      <c r="X859" s="25"/>
      <c r="Y859" s="25"/>
      <c r="Z859" s="25"/>
      <c r="AA859" s="25"/>
      <c r="AB859" s="25"/>
      <c r="AC859" s="25"/>
    </row>
    <row r="860">
      <c r="A860" s="24" t="str">
        <f>'DE ( Tarik barang retur )'!AC837</f>
        <v>AWBR-TMP-3369-2026-6-16-01</v>
      </c>
      <c r="B860" s="24" t="str">
        <f>'DE ( Tarik barang retur )'!F837</f>
        <v>Apotek Candra Farma</v>
      </c>
      <c r="C860" s="35">
        <f>'DE ( Tarik barang retur )'!G837</f>
        <v>6.21315E+16</v>
      </c>
      <c r="D860" s="24" t="str">
        <f>'DE ( Tarik barang retur )'!H837</f>
        <v>Jl Kebon Sirih Barat IX No 7D RT 004 RW 005 Kelurahan Kebon Sirih Kecamatan Menteng Jakarta Pusat DKI Jakarta 10340 (Rumah Ibu Elvi)</v>
      </c>
      <c r="E860" s="24" t="str">
        <f>'DE ( Tarik barang retur )'!D837</f>
        <v>-</v>
      </c>
      <c r="F860" s="24" t="str">
        <f>'DE ( Tarik barang retur )'!R837</f>
        <v>TMP-INV-2026/05/23/ 2775804
TMP-INV-2026/05/23/ 2776497
TMP-INV-2026/04/27/ 2680155
TMP-INV-2026/04/27/ 2680241
TMP-INV-2026/04/27/ 2681570
 Tarik Faktur</v>
      </c>
      <c r="G860" s="36">
        <f>'DE ( Tarik barang retur )'!AF837</f>
        <v>46189</v>
      </c>
      <c r="H860" s="22">
        <v>46191.0</v>
      </c>
      <c r="I860" s="24"/>
      <c r="J860" s="21" t="s">
        <v>5295</v>
      </c>
      <c r="K860" s="24"/>
      <c r="L860" s="24"/>
      <c r="M860" s="25"/>
      <c r="N860" s="25"/>
      <c r="O860" s="25"/>
      <c r="P860" s="25"/>
      <c r="Q860" s="25"/>
      <c r="R860" s="25"/>
      <c r="S860" s="25"/>
      <c r="T860" s="25"/>
      <c r="U860" s="25"/>
      <c r="V860" s="25"/>
      <c r="W860" s="25"/>
      <c r="X860" s="25"/>
      <c r="Y860" s="25"/>
      <c r="Z860" s="25"/>
      <c r="AA860" s="25"/>
      <c r="AB860" s="25"/>
      <c r="AC860" s="25"/>
    </row>
    <row r="861">
      <c r="A861" s="24" t="str">
        <f>'DE ( Tarik barang retur )'!AC838</f>
        <v>AWBR-TMP-4376-2026-6-16-01</v>
      </c>
      <c r="B861" s="24" t="str">
        <f>'DE ( Tarik barang retur )'!F838</f>
        <v>Apotek Najeeb Farma</v>
      </c>
      <c r="C861" s="35">
        <f>'DE ( Tarik barang retur )'!G838</f>
        <v>6.21315E+16</v>
      </c>
      <c r="D861" s="24" t="str">
        <f>'DE ( Tarik barang retur )'!H838</f>
        <v>Jl Kebon Sirih Barat IX No 7D RT 004 RW 005 Kelurahan Kebon Sirih Kecamatan Menteng Jakarta Pusat DKI Jakarta 10340 (Rumah Ibu Elvi)</v>
      </c>
      <c r="E861" s="24" t="str">
        <f>'DE ( Tarik barang retur )'!D838</f>
        <v>-</v>
      </c>
      <c r="F861" s="24" t="str">
        <f>'DE ( Tarik barang retur )'!R838</f>
        <v>TMP-INV-2026/05/23/ 2776663
TMP-INV-2026/05/23/ 2775892
TMP-INV-2026/05/14/ 2744959
TMP-INV-2026/05/14/ 2744856
TMP-INV-2026/05/14/ 2744091
TMP-INV-2026/04/07/ 2608160
TMP-INV-2026/02/12/ 2423999
TMP-INV-2026/02/12/ 2424393
 Tarik Faktur</v>
      </c>
      <c r="G861" s="36">
        <f>'DE ( Tarik barang retur )'!AF838</f>
        <v>46189</v>
      </c>
      <c r="H861" s="22">
        <v>46191.0</v>
      </c>
      <c r="I861" s="24"/>
      <c r="J861" s="21" t="s">
        <v>5295</v>
      </c>
      <c r="K861" s="24"/>
      <c r="L861" s="24"/>
      <c r="M861" s="25"/>
      <c r="N861" s="25"/>
      <c r="O861" s="25"/>
      <c r="P861" s="25"/>
      <c r="Q861" s="25"/>
      <c r="R861" s="25"/>
      <c r="S861" s="25"/>
      <c r="T861" s="25"/>
      <c r="U861" s="25"/>
      <c r="V861" s="25"/>
      <c r="W861" s="25"/>
      <c r="X861" s="25"/>
      <c r="Y861" s="25"/>
      <c r="Z861" s="25"/>
      <c r="AA861" s="25"/>
      <c r="AB861" s="25"/>
      <c r="AC861" s="25"/>
    </row>
    <row r="862">
      <c r="A862" s="24" t="str">
        <f>'DE ( Tarik barang retur )'!AC839</f>
        <v>AWBR-TMP-5349-2026-6-16-01</v>
      </c>
      <c r="B862" s="24" t="str">
        <f>'DE ( Tarik barang retur )'!F839</f>
        <v>Apotek Rizki 5349</v>
      </c>
      <c r="C862" s="35">
        <f>'DE ( Tarik barang retur )'!G839</f>
        <v>6.21315E+16</v>
      </c>
      <c r="D862" s="24" t="str">
        <f>'DE ( Tarik barang retur )'!H839</f>
        <v>Jl Kebon Sirih Barat IX No 7D RT 004 RW 005 Kelurahan Kebon Sirih Kecamatan Menteng Jakarta Pusat DKI Jakarta 10340 (Rumah Ibu Elvi)</v>
      </c>
      <c r="E862" s="24" t="str">
        <f>'DE ( Tarik barang retur )'!D839</f>
        <v>-</v>
      </c>
      <c r="F862" s="24" t="str">
        <f>'DE ( Tarik barang retur )'!R839</f>
        <v>TMP-INV-2026/04/07/ 2611497
TMP-INV-2026/04/07/ 2611073
TMP-INV-2026/04/07/ 2609857
TMP-INV-2026/04/07/ 2611608
TMP-INV-2026/04/03/ 2597844
TMP-INV-2026/03/30/ 2581330
TMP-INV-2026/03/30/ 2580437
TMP-INV-2026/03/29/ 2578375
TMP-INV-2026/03/29/ 2578173
TMP-INV-2026/03/29/ 2578075
TMP-INV-2026/03/29/ 2577386
TMP-INV-2026/03/18/ 2548834
TMP-INV-2026/02/18/ 2444871
TMP-INV-2026/02/11/ 2421905
TMP-INV-2026/02/11/ 2421705
 Tarik Faktur</v>
      </c>
      <c r="G862" s="36">
        <f>'DE ( Tarik barang retur )'!AF839</f>
        <v>46189</v>
      </c>
      <c r="H862" s="22">
        <v>46191.0</v>
      </c>
      <c r="I862" s="24"/>
      <c r="J862" s="21" t="s">
        <v>5295</v>
      </c>
      <c r="K862" s="24"/>
      <c r="L862" s="24"/>
      <c r="M862" s="25"/>
      <c r="N862" s="25"/>
      <c r="O862" s="25"/>
      <c r="P862" s="25"/>
      <c r="Q862" s="25"/>
      <c r="R862" s="25"/>
      <c r="S862" s="25"/>
      <c r="T862" s="25"/>
      <c r="U862" s="25"/>
      <c r="V862" s="25"/>
      <c r="W862" s="25"/>
      <c r="X862" s="25"/>
      <c r="Y862" s="25"/>
      <c r="Z862" s="25"/>
      <c r="AA862" s="25"/>
      <c r="AB862" s="25"/>
      <c r="AC862" s="25"/>
    </row>
    <row r="863">
      <c r="A863" s="24" t="str">
        <f>'DE ( Tarik barang retur )'!AC840</f>
        <v>AWBR-TMP-6006-2026-6-16-01</v>
      </c>
      <c r="B863" s="24" t="str">
        <f>'DE ( Tarik barang retur )'!F840</f>
        <v>Apotek Visa Farma</v>
      </c>
      <c r="C863" s="35">
        <f>'DE ( Tarik barang retur )'!G840</f>
        <v>6.21315E+16</v>
      </c>
      <c r="D863" s="24" t="str">
        <f>'DE ( Tarik barang retur )'!H840</f>
        <v>Jl Kebon Sirih Barat IX No 7D RT 004 RW 005 Kelurahan Kebon Sirih Kecamatan Menteng Jakarta Pusat DKI Jakarta 10340 (Rumah Ibu Elvi)</v>
      </c>
      <c r="E863" s="24" t="str">
        <f>'DE ( Tarik barang retur )'!D840</f>
        <v>-</v>
      </c>
      <c r="F863" s="24" t="str">
        <f>'DE ( Tarik barang retur )'!R840</f>
        <v>TMP-INV-2026/05/23/ 2775258
TMP-INV-2026/05/23/ 2775847
TMP-INV-2026/05/23/ 2775331
TMP-INV-2026/05/23/ 2776569
TMP-INV-2026/05/08/ 2722050
TMP-INV-2026/05/04/ 2703901
TMP-INV-2026/05/04/ 2703910
TMP-INV-2026/05/04/ 2704090
TMP-INV-2026/05/04/ 2703956
TMP-INV-2026/05/04/ 2704059
TMP-INV-2026/05/04/ 2704099
TMP-INV-2026/05/04/ 2703848
TMP-INV-2026/05/04/ 2704478
TMP-INV-2026/05/04/ 2704317
TMP-INV-2026/05/04/ 2703862
TMP-INV-2026/05/04/ 2703990
TMP-INV-2026/01/28/ 2371947
TMP-INV-2026/01/28/ 2371769 Tarik Faktur</v>
      </c>
      <c r="G863" s="36">
        <f>'DE ( Tarik barang retur )'!AF840</f>
        <v>46189</v>
      </c>
      <c r="H863" s="22">
        <v>46191.0</v>
      </c>
      <c r="I863" s="24"/>
      <c r="J863" s="21" t="s">
        <v>5295</v>
      </c>
      <c r="K863" s="24"/>
      <c r="L863" s="24"/>
      <c r="M863" s="25"/>
      <c r="N863" s="25"/>
      <c r="O863" s="25"/>
      <c r="P863" s="25"/>
      <c r="Q863" s="25"/>
      <c r="R863" s="25"/>
      <c r="S863" s="25"/>
      <c r="T863" s="25"/>
      <c r="U863" s="25"/>
      <c r="V863" s="25"/>
      <c r="W863" s="25"/>
      <c r="X863" s="25"/>
      <c r="Y863" s="25"/>
      <c r="Z863" s="25"/>
      <c r="AA863" s="25"/>
      <c r="AB863" s="25"/>
      <c r="AC863" s="25"/>
    </row>
    <row r="864">
      <c r="A864" s="24" t="str">
        <f>'DE ( Tarik barang retur )'!AC841</f>
        <v>AWBR-TMP-8787-2026-6-16-01</v>
      </c>
      <c r="B864" s="24" t="str">
        <f>'DE ( Tarik barang retur )'!F841</f>
        <v>Apotek Hazira Farma Jaticempaka Pd Gede</v>
      </c>
      <c r="C864" s="35">
        <f>'DE ( Tarik barang retur )'!G841</f>
        <v>6.21315E+16</v>
      </c>
      <c r="D864" s="24" t="str">
        <f>'DE ( Tarik barang retur )'!H841</f>
        <v>Jl Kebon Sirih Barat IX No 7D RT 004 RW 005 Kelurahan Kebon Sirih Kecamatan Menteng Jakarta Pusat DKI Jakarta 10340 (Rumah Ibu Elvi)</v>
      </c>
      <c r="E864" s="24" t="str">
        <f>'DE ( Tarik barang retur )'!D841</f>
        <v>-</v>
      </c>
      <c r="F864" s="24" t="str">
        <f>'DE ( Tarik barang retur )'!R841</f>
        <v>TMP-INV-2026/04/03/ 2596926
TMP-INV-2026/04/03/ 2597722
TMP-INV-2026/04/03/ 2597263
TMP-INV-2026/04/03/ 2596459
TMP-INV-2026/04/02/ 2594206
TMP-INV-2026/03/17/ 2543399
TMP-INV-2026/03/17/ 2544551
TMP-INV-2026/03/18/ 2548626
TMP-INV-2026/03/18/ 2548972
TMP-INV-2026/03/13/ 2527880
TMP-INV-2026/03/13/ 2526587
TMP-INV-2026/03/13/ 2528275
TMP-INV-2026/03/13/ 2528320
 Tarik Faktur</v>
      </c>
      <c r="G864" s="36">
        <f>'DE ( Tarik barang retur )'!AF841</f>
        <v>46189</v>
      </c>
      <c r="H864" s="22">
        <v>46191.0</v>
      </c>
      <c r="I864" s="24"/>
      <c r="J864" s="21" t="s">
        <v>5295</v>
      </c>
      <c r="K864" s="24"/>
      <c r="L864" s="24"/>
      <c r="M864" s="25"/>
      <c r="N864" s="25"/>
      <c r="O864" s="25"/>
      <c r="P864" s="25"/>
      <c r="Q864" s="25"/>
      <c r="R864" s="25"/>
      <c r="S864" s="25"/>
      <c r="T864" s="25"/>
      <c r="U864" s="25"/>
      <c r="V864" s="25"/>
      <c r="W864" s="25"/>
      <c r="X864" s="25"/>
      <c r="Y864" s="25"/>
      <c r="Z864" s="25"/>
      <c r="AA864" s="25"/>
      <c r="AB864" s="25"/>
      <c r="AC864" s="25"/>
    </row>
    <row r="865">
      <c r="A865" s="24" t="str">
        <f>'DE ( Tarik barang retur )'!AC842</f>
        <v>AWBR-TMP-10824-2026-6-16-01</v>
      </c>
      <c r="B865" s="24" t="str">
        <f>'DE ( Tarik barang retur )'!F842</f>
        <v>Apotek Shakira Sehat Bersama Jaticempaka Pondok Gede</v>
      </c>
      <c r="C865" s="35">
        <f>'DE ( Tarik barang retur )'!G842</f>
        <v>6.21315E+16</v>
      </c>
      <c r="D865" s="24" t="str">
        <f>'DE ( Tarik barang retur )'!H842</f>
        <v>Jl Kebon Sirih Barat IX No 7D RT 004 RW 005 Kelurahan Kebon Sirih Kecamatan Menteng Jakarta Pusat DKI Jakarta 10340 (Rumah Ibu Elvi)</v>
      </c>
      <c r="E865" s="24" t="str">
        <f>'DE ( Tarik barang retur )'!D842</f>
        <v>-</v>
      </c>
      <c r="F865" s="24" t="str">
        <f>'DE ( Tarik barang retur )'!R842</f>
        <v>TMP-INV-2026/04/07/ 2611387
TMP-INV-2026/04/07/ 2610999
TMP-INV-2026/04/07/ 2609635
TMP-INV-2026/04/07/ 2611012
TMP-INV-2026/04/07/ 2609237
TMP-INV-2026/04/07/ 2611509
TMP-INV-2026/03/29/ 2578092
TMP-INV-2026/03/29/ 2578231
TMP-INV-2026/03/29/ 2578270
TMP-INV-2026/03/29/ 2577683
TMP-INV-2026/03/29/ 2578051
TMP-INV-2026/03/20/ 2553491
 Tarik Faktur</v>
      </c>
      <c r="G865" s="36">
        <f>'DE ( Tarik barang retur )'!AF842</f>
        <v>46189</v>
      </c>
      <c r="H865" s="22">
        <v>46191.0</v>
      </c>
      <c r="I865" s="24"/>
      <c r="J865" s="21" t="s">
        <v>5295</v>
      </c>
      <c r="K865" s="24"/>
      <c r="L865" s="24"/>
      <c r="M865" s="25"/>
      <c r="N865" s="25"/>
      <c r="O865" s="25"/>
      <c r="P865" s="25"/>
      <c r="Q865" s="25"/>
      <c r="R865" s="25"/>
      <c r="S865" s="25"/>
      <c r="T865" s="25"/>
      <c r="U865" s="25"/>
      <c r="V865" s="25"/>
      <c r="W865" s="25"/>
      <c r="X865" s="25"/>
      <c r="Y865" s="25"/>
      <c r="Z865" s="25"/>
      <c r="AA865" s="25"/>
      <c r="AB865" s="25"/>
      <c r="AC865" s="25"/>
    </row>
    <row r="866">
      <c r="A866" s="24" t="str">
        <f>'DE ( Tarik barang retur )'!AC843</f>
        <v>AWBR-TMP-10858-2026-6-16-01</v>
      </c>
      <c r="B866" s="24" t="str">
        <f>'DE ( Tarik barang retur )'!F843</f>
        <v>Apotek Fany Farma Bintara Bekasi Barat</v>
      </c>
      <c r="C866" s="35">
        <f>'DE ( Tarik barang retur )'!G843</f>
        <v>6.21315E+16</v>
      </c>
      <c r="D866" s="24" t="str">
        <f>'DE ( Tarik barang retur )'!H843</f>
        <v>Jl Kebon Sirih Barat IX No 7D RT 004 RW 005 Kelurahan Kebon Sirih Kecamatan Menteng Jakarta Pusat DKI Jakarta 10340 (Rumah Ibu Elvi)</v>
      </c>
      <c r="E866" s="24" t="str">
        <f>'DE ( Tarik barang retur )'!D843</f>
        <v>-</v>
      </c>
      <c r="F866" s="24" t="str">
        <f>'DE ( Tarik barang retur )'!R843</f>
        <v>TMP-INV-2026/05/23/ 2775833
TMP-INV-2026/05/23/ 2776612
TMP-INV-2026/03/12/ 2523056
 Tarik Faktur</v>
      </c>
      <c r="G866" s="36">
        <f>'DE ( Tarik barang retur )'!AF843</f>
        <v>46189</v>
      </c>
      <c r="H866" s="22">
        <v>46191.0</v>
      </c>
      <c r="I866" s="24"/>
      <c r="J866" s="21" t="s">
        <v>5295</v>
      </c>
      <c r="K866" s="24"/>
      <c r="L866" s="24"/>
      <c r="M866" s="25"/>
      <c r="N866" s="25"/>
      <c r="O866" s="25"/>
      <c r="P866" s="25"/>
      <c r="Q866" s="25"/>
      <c r="R866" s="25"/>
      <c r="S866" s="25"/>
      <c r="T866" s="25"/>
      <c r="U866" s="25"/>
      <c r="V866" s="25"/>
      <c r="W866" s="25"/>
      <c r="X866" s="25"/>
      <c r="Y866" s="25"/>
      <c r="Z866" s="25"/>
      <c r="AA866" s="25"/>
      <c r="AB866" s="25"/>
      <c r="AC866" s="25"/>
    </row>
    <row r="867">
      <c r="A867" s="24" t="str">
        <f>'DE ( Tarik barang retur )'!AC844</f>
        <v>AWBR-TMP-11809-2026-6-16-01</v>
      </c>
      <c r="B867" s="24" t="str">
        <f>'DE ( Tarik barang retur )'!F844</f>
        <v>Apotek Sehat Bersama 4 Jatimakmur Pd Gede</v>
      </c>
      <c r="C867" s="35">
        <f>'DE ( Tarik barang retur )'!G844</f>
        <v>6.21315E+16</v>
      </c>
      <c r="D867" s="24" t="str">
        <f>'DE ( Tarik barang retur )'!H844</f>
        <v>Jl Kebon Sirih Barat IX No 7D RT 004 RW 005 Kelurahan Kebon Sirih Kecamatan Menteng Jakarta Pusat DKI Jakarta 10340 (Rumah Ibu Elvi)</v>
      </c>
      <c r="E867" s="24" t="str">
        <f>'DE ( Tarik barang retur )'!D844</f>
        <v>-</v>
      </c>
      <c r="F867" s="24" t="str">
        <f>'DE ( Tarik barang retur )'!R844</f>
        <v>TMP-INV-2026/05/19/ 2763168
TMP-INV-2026/05/06/ 2716259
TMP-INV-2026/04/04/ 2600561
TMP-INV-2026/04/01/ 2589241
TMP-INV-2026/03/25/ 2561350
TMP-INV-2026/03/10/ 2516548
 Tarik Faktur</v>
      </c>
      <c r="G867" s="36">
        <f>'DE ( Tarik barang retur )'!AF844</f>
        <v>46189</v>
      </c>
      <c r="H867" s="22">
        <v>46191.0</v>
      </c>
      <c r="I867" s="24"/>
      <c r="J867" s="21" t="s">
        <v>5295</v>
      </c>
      <c r="K867" s="24"/>
      <c r="L867" s="24"/>
      <c r="M867" s="25"/>
      <c r="N867" s="25"/>
      <c r="O867" s="25"/>
      <c r="P867" s="25"/>
      <c r="Q867" s="25"/>
      <c r="R867" s="25"/>
      <c r="S867" s="25"/>
      <c r="T867" s="25"/>
      <c r="U867" s="25"/>
      <c r="V867" s="25"/>
      <c r="W867" s="25"/>
      <c r="X867" s="25"/>
      <c r="Y867" s="25"/>
      <c r="Z867" s="25"/>
      <c r="AA867" s="25"/>
      <c r="AB867" s="25"/>
      <c r="AC867" s="25"/>
    </row>
    <row r="868">
      <c r="A868" s="24" t="str">
        <f>'DE ( Tarik barang retur )'!AC845</f>
        <v>AWBR-TMP-11873-2026-6-16-01</v>
      </c>
      <c r="B868" s="24" t="str">
        <f>'DE ( Tarik barang retur )'!F845</f>
        <v>Apotek K24 Jatimakmur Jatimakmur Pondok Gede</v>
      </c>
      <c r="C868" s="35">
        <f>'DE ( Tarik barang retur )'!G845</f>
        <v>6.21315E+16</v>
      </c>
      <c r="D868" s="24" t="str">
        <f>'DE ( Tarik barang retur )'!H845</f>
        <v>Jl Kebon Sirih Barat IX No 7D RT 004 RW 005 Kelurahan Kebon Sirih Kecamatan Menteng Jakarta Pusat DKI Jakarta 10340 (Rumah Ibu Elvi)</v>
      </c>
      <c r="E868" s="24" t="str">
        <f>'DE ( Tarik barang retur )'!D845</f>
        <v>-</v>
      </c>
      <c r="F868" s="24" t="str">
        <f>'DE ( Tarik barang retur )'!R845</f>
        <v>TMP-INV-2026/04/01/ 2589671
TMP-INV-2026/03/31/ 2585675
TMP-INV-2026/03/31/ 2585556
TMP-INV-2026/03/31/ 2585934
TMP-INV-2026/03/31/ 2585604
TMP-INV-2026/03/31/ 2585634
TMP-INV-2026/03/31/ 2583141
TMP-INV-2026/03/31/ 2584767
TMP-INV-2026/03/27/ 2571571
TMP-INV-2026/03/27/ 2571737
 Tarik Faktur</v>
      </c>
      <c r="G868" s="36">
        <f>'DE ( Tarik barang retur )'!AF845</f>
        <v>46189</v>
      </c>
      <c r="H868" s="22">
        <v>46191.0</v>
      </c>
      <c r="I868" s="24"/>
      <c r="J868" s="21" t="s">
        <v>5295</v>
      </c>
      <c r="K868" s="24"/>
      <c r="L868" s="24"/>
      <c r="M868" s="25"/>
      <c r="N868" s="25"/>
      <c r="O868" s="25"/>
      <c r="P868" s="25"/>
      <c r="Q868" s="25"/>
      <c r="R868" s="25"/>
      <c r="S868" s="25"/>
      <c r="T868" s="25"/>
      <c r="U868" s="25"/>
      <c r="V868" s="25"/>
      <c r="W868" s="25"/>
      <c r="X868" s="25"/>
      <c r="Y868" s="25"/>
      <c r="Z868" s="25"/>
      <c r="AA868" s="25"/>
      <c r="AB868" s="25"/>
      <c r="AC868" s="25"/>
    </row>
    <row r="869">
      <c r="A869" s="24" t="str">
        <f>'DE ( Tarik barang retur )'!AC846</f>
        <v>AWBR-TMP-11952-2026-6-16-01</v>
      </c>
      <c r="B869" s="24" t="str">
        <f>'DE ( Tarik barang retur )'!F846</f>
        <v>Apotek Sahabat Galenika 1 Jatiwaringin Pondok Gede</v>
      </c>
      <c r="C869" s="35">
        <f>'DE ( Tarik barang retur )'!G846</f>
        <v>6.21315E+16</v>
      </c>
      <c r="D869" s="24" t="str">
        <f>'DE ( Tarik barang retur )'!H846</f>
        <v>Jl Kebon Sirih Barat IX No 7D RT 004 RW 005 Kelurahan Kebon Sirih Kecamatan Menteng Jakarta Pusat DKI Jakarta 10340 (Rumah Ibu Elvi)</v>
      </c>
      <c r="E869" s="24" t="str">
        <f>'DE ( Tarik barang retur )'!D846</f>
        <v>-</v>
      </c>
      <c r="F869" s="24" t="str">
        <f>'DE ( Tarik barang retur )'!R846</f>
        <v>TMP-INV-2026/05/10/ 2729966
TMP-INV-2026/05/10/ 2730361
TMP-INV-2026/05/08/ 2724559
TMP-INV-2026/05/06/ 2716034
TMP-INV-2026/05/06/ 2716221
TMP-INV-2026/05/06/ 2716060
TMP-INV-2026/04/07/ 2611630
TMP-INV-2026/04/07/ 2611778
TMP-INV-2026/04/04/ 2600647
TMP-INV-2026/04/03/ 2597838
TMP-INV-2026/04/03/ 2596860
TMP-INV-2026/04/01/ 2589581
TMP-INV-2026/03/19/ 2553105
TMP-INV-2026/03/19/ 2551439
TMP-INV-2026/03/19/ 2551370
TMP-INV-2026/03/18/ 2549589
TMP-INV-2026/03/18/ 2548989
TMP-INV-2026/03/19/ 2551513
TMP-INV-2026/03/11/ 2519640
TMP-INV-2026/03/11/ 2520463
TMP-INV-2026/03/11/ 2520485
TMP-INV-2026/03/11/ 2519014
 Tarik Faktur</v>
      </c>
      <c r="G869" s="36">
        <f>'DE ( Tarik barang retur )'!AF846</f>
        <v>46189</v>
      </c>
      <c r="H869" s="22">
        <v>46191.0</v>
      </c>
      <c r="I869" s="24"/>
      <c r="J869" s="21" t="s">
        <v>5295</v>
      </c>
      <c r="K869" s="24"/>
      <c r="L869" s="24"/>
      <c r="M869" s="25"/>
      <c r="N869" s="25"/>
      <c r="O869" s="25"/>
      <c r="P869" s="25"/>
      <c r="Q869" s="25"/>
      <c r="R869" s="25"/>
      <c r="S869" s="25"/>
      <c r="T869" s="25"/>
      <c r="U869" s="25"/>
      <c r="V869" s="25"/>
      <c r="W869" s="25"/>
      <c r="X869" s="25"/>
      <c r="Y869" s="25"/>
      <c r="Z869" s="25"/>
      <c r="AA869" s="25"/>
      <c r="AB869" s="25"/>
      <c r="AC869" s="25"/>
    </row>
    <row r="870">
      <c r="A870" s="24" t="str">
        <f>'DE ( Tarik barang retur )'!AC847</f>
        <v>AWBR-TMP-12103-2026-6-16-01</v>
      </c>
      <c r="B870" s="24" t="str">
        <f>'DE ( Tarik barang retur )'!F847</f>
        <v>Apotek Dhifa Farma Baru Bekasi Barat</v>
      </c>
      <c r="C870" s="35">
        <f>'DE ( Tarik barang retur )'!G847</f>
        <v>6.21315E+16</v>
      </c>
      <c r="D870" s="24" t="str">
        <f>'DE ( Tarik barang retur )'!H847</f>
        <v>Jl Kebon Sirih Barat IX No 7D RT 004 RW 005 Kelurahan Kebon Sirih Kecamatan Menteng Jakarta Pusat DKI Jakarta 10340 (Rumah Ibu Elvi)</v>
      </c>
      <c r="E870" s="24" t="str">
        <f>'DE ( Tarik barang retur )'!D847</f>
        <v>-</v>
      </c>
      <c r="F870" s="24" t="str">
        <f>'DE ( Tarik barang retur )'!R847</f>
        <v>TMP-INV-2026/03/28/ 2575015
TMP-INV-2026/03/28/ 2574753
TMP-INV-2026/03/28/ 2574668
 Tarik Faktur</v>
      </c>
      <c r="G870" s="36">
        <f>'DE ( Tarik barang retur )'!AF847</f>
        <v>46189</v>
      </c>
      <c r="H870" s="22">
        <v>46191.0</v>
      </c>
      <c r="I870" s="24"/>
      <c r="J870" s="21" t="s">
        <v>5295</v>
      </c>
      <c r="K870" s="24"/>
      <c r="L870" s="24"/>
      <c r="M870" s="25"/>
      <c r="N870" s="25"/>
      <c r="O870" s="25"/>
      <c r="P870" s="25"/>
      <c r="Q870" s="25"/>
      <c r="R870" s="25"/>
      <c r="S870" s="25"/>
      <c r="T870" s="25"/>
      <c r="U870" s="25"/>
      <c r="V870" s="25"/>
      <c r="W870" s="25"/>
      <c r="X870" s="25"/>
      <c r="Y870" s="25"/>
      <c r="Z870" s="25"/>
      <c r="AA870" s="25"/>
      <c r="AB870" s="25"/>
      <c r="AC870" s="25"/>
    </row>
    <row r="871">
      <c r="A871" s="24" t="str">
        <f>'DE ( Tarik barang retur )'!AC848</f>
        <v>AWBR-TMP-12114-2026-6-16-01</v>
      </c>
      <c r="B871" s="24" t="str">
        <f>'DE ( Tarik barang retur )'!F848</f>
        <v>Apotek Farma DR17 Jatikramat Jati Asih</v>
      </c>
      <c r="C871" s="35">
        <f>'DE ( Tarik barang retur )'!G848</f>
        <v>6.21315E+16</v>
      </c>
      <c r="D871" s="24" t="str">
        <f>'DE ( Tarik barang retur )'!H848</f>
        <v>Jl Kebon Sirih Barat IX No 7D RT 004 RW 005 Kelurahan Kebon Sirih Kecamatan Menteng Jakarta Pusat DKI Jakarta 10340 (Rumah Ibu Elvi)</v>
      </c>
      <c r="E871" s="24" t="str">
        <f>'DE ( Tarik barang retur )'!D848</f>
        <v>-</v>
      </c>
      <c r="F871" s="24" t="str">
        <f>'DE ( Tarik barang retur )'!R848</f>
        <v>TMP-INV-2026/05/03/ 2702589 Tarik Faktur</v>
      </c>
      <c r="G871" s="36">
        <f>'DE ( Tarik barang retur )'!AF848</f>
        <v>46189</v>
      </c>
      <c r="H871" s="22">
        <v>46191.0</v>
      </c>
      <c r="I871" s="24"/>
      <c r="J871" s="21" t="s">
        <v>5295</v>
      </c>
      <c r="K871" s="24"/>
      <c r="L871" s="24"/>
      <c r="M871" s="25"/>
      <c r="N871" s="25"/>
      <c r="O871" s="25"/>
      <c r="P871" s="25"/>
      <c r="Q871" s="25"/>
      <c r="R871" s="25"/>
      <c r="S871" s="25"/>
      <c r="T871" s="25"/>
      <c r="U871" s="25"/>
      <c r="V871" s="25"/>
      <c r="W871" s="25"/>
      <c r="X871" s="25"/>
      <c r="Y871" s="25"/>
      <c r="Z871" s="25"/>
      <c r="AA871" s="25"/>
      <c r="AB871" s="25"/>
      <c r="AC871" s="25"/>
    </row>
    <row r="872">
      <c r="A872" s="24" t="str">
        <f>'DE ( Tarik barang retur )'!AC849</f>
        <v>AWBR-TMP-12745-2026-6-16-01</v>
      </c>
      <c r="B872" s="24" t="str">
        <f>'DE ( Tarik barang retur )'!F849</f>
        <v>Apotek Living Kota Baru Bekasi Barat</v>
      </c>
      <c r="C872" s="35">
        <f>'DE ( Tarik barang retur )'!G849</f>
        <v>6.21315E+16</v>
      </c>
      <c r="D872" s="24" t="str">
        <f>'DE ( Tarik barang retur )'!H849</f>
        <v>Jl Kebon Sirih Barat IX No 7D RT 004 RW 005 Kelurahan Kebon Sirih Kecamatan Menteng Jakarta Pusat DKI Jakarta 10340 (Rumah Ibu Elvi)</v>
      </c>
      <c r="E872" s="24" t="str">
        <f>'DE ( Tarik barang retur )'!D849</f>
        <v>-</v>
      </c>
      <c r="F872" s="24" t="str">
        <f>'DE ( Tarik barang retur )'!R849</f>
        <v>TMP-INV-2026/04/14/ 2634396 Tarik Faktur</v>
      </c>
      <c r="G872" s="36">
        <f>'DE ( Tarik barang retur )'!AF849</f>
        <v>46189</v>
      </c>
      <c r="H872" s="22">
        <v>46191.0</v>
      </c>
      <c r="I872" s="24"/>
      <c r="J872" s="21" t="s">
        <v>5295</v>
      </c>
      <c r="K872" s="24"/>
      <c r="L872" s="24"/>
      <c r="M872" s="25"/>
      <c r="N872" s="25"/>
      <c r="O872" s="25"/>
      <c r="P872" s="25"/>
      <c r="Q872" s="25"/>
      <c r="R872" s="25"/>
      <c r="S872" s="25"/>
      <c r="T872" s="25"/>
      <c r="U872" s="25"/>
      <c r="V872" s="25"/>
      <c r="W872" s="25"/>
      <c r="X872" s="25"/>
      <c r="Y872" s="25"/>
      <c r="Z872" s="25"/>
      <c r="AA872" s="25"/>
      <c r="AB872" s="25"/>
      <c r="AC872" s="25"/>
    </row>
    <row r="873">
      <c r="A873" s="24" t="str">
        <f>'DE ( Tarik barang retur )'!AC850</f>
        <v>AWBR-TMP-12892-2026-6-16-01</v>
      </c>
      <c r="B873" s="24" t="str">
        <f>'DE ( Tarik barang retur )'!F850</f>
        <v>Apotek Arini Farma Bintara Bekasi Barat</v>
      </c>
      <c r="C873" s="35">
        <f>'DE ( Tarik barang retur )'!G850</f>
        <v>6.21315E+16</v>
      </c>
      <c r="D873" s="24" t="str">
        <f>'DE ( Tarik barang retur )'!H850</f>
        <v>Jl Kebon Sirih Barat IX No 7D RT 004 RW 005 Kelurahan Kebon Sirih Kecamatan Menteng Jakarta Pusat DKI Jakarta 10340 (Rumah Ibu Elvi)</v>
      </c>
      <c r="E873" s="24" t="str">
        <f>'DE ( Tarik barang retur )'!D850</f>
        <v>-</v>
      </c>
      <c r="F873" s="24" t="str">
        <f>'DE ( Tarik barang retur )'!R850</f>
        <v>TMP-INV-2026/05/23/ 2776505
TMP-INV-2026/05/14/ 2745057
TMP-INV-2026/05/14/ 2744741
TMP-INV-2026/04/30/ 2692921
TMP-INV-2026/04/30/ 2693157
 Tarik Faktur</v>
      </c>
      <c r="G873" s="36">
        <f>'DE ( Tarik barang retur )'!AF850</f>
        <v>46189</v>
      </c>
      <c r="H873" s="22">
        <v>46191.0</v>
      </c>
      <c r="I873" s="24"/>
      <c r="J873" s="21" t="s">
        <v>5295</v>
      </c>
      <c r="K873" s="24"/>
      <c r="L873" s="24"/>
      <c r="M873" s="25"/>
      <c r="N873" s="25"/>
      <c r="O873" s="25"/>
      <c r="P873" s="25"/>
      <c r="Q873" s="25"/>
      <c r="R873" s="25"/>
      <c r="S873" s="25"/>
      <c r="T873" s="25"/>
      <c r="U873" s="25"/>
      <c r="V873" s="25"/>
      <c r="W873" s="25"/>
      <c r="X873" s="25"/>
      <c r="Y873" s="25"/>
      <c r="Z873" s="25"/>
      <c r="AA873" s="25"/>
      <c r="AB873" s="25"/>
      <c r="AC873" s="25"/>
    </row>
    <row r="874">
      <c r="A874" s="24" t="str">
        <f>'DE ( Tarik barang retur )'!AC851</f>
        <v>AWBR-TMP-13278-2026-6-16-01</v>
      </c>
      <c r="B874" s="24" t="str">
        <f>'DE ( Tarik barang retur )'!F851</f>
        <v>Apotek Sahabat Sehat 2 Jatibening Baru Pondok Gede</v>
      </c>
      <c r="C874" s="35">
        <f>'DE ( Tarik barang retur )'!G851</f>
        <v>6.21315E+16</v>
      </c>
      <c r="D874" s="24" t="str">
        <f>'DE ( Tarik barang retur )'!H851</f>
        <v>Jl Kebon Sirih Barat IX No 7D RT 004 RW 005 Kelurahan Kebon Sirih Kecamatan Menteng Jakarta Pusat DKI Jakarta 10340 (Rumah Ibu Elvi)</v>
      </c>
      <c r="E874" s="24" t="str">
        <f>'DE ( Tarik barang retur )'!D851</f>
        <v>-</v>
      </c>
      <c r="F874" s="24" t="str">
        <f>'DE ( Tarik barang retur )'!R851</f>
        <v>TMP-INV-2026/04/30/ 2695078
TMP-INV-2026/04/13/ 2632043
TMP-INV-2026/04/13/ 2632203
TMP-INV-2026/04/13/ 2632213
TMP-INV-2026/04/07/ 2611157
TMP-INV-2026/04/07/ 2611425
TMP-INV-2026/04/07/ 2611117
TMP-INV-2026/04/05/ 2603040
TMP-INV-2026/04/05/ 2602644
TMP-INV-2026/04/03/ 2597825
TMP-INV-2026/04/03/ 2597251
TMP-INV-2026/03/31/ 2585719
TMP-INV-2026/03/31/ 2585846
TMP-INV-2026/03/30/ 2581833
TMP-INV-2026/03/23/ 2554684
TMP-INV-2026/03/23/ 2556526
TMP-INV-2026/03/23/ 2556431
TMP-INV-2026/03/19/ 2552125
TMP-INV-2026/03/19/ 2551940
TMP-INV-2026/03/19/ 2551974
TMP-INV-2026/03/15/ 2534666
TMP-INV-2026/03/15/ 2534691
TMP-INV-2026/02/05/ 2401298
TMP-INV-2026/02/05/ 2400853
TMP-INV-2026/02/05/ 2400439
TMP-INV-2026/02/05/ 2401421 Tarik Faktur</v>
      </c>
      <c r="G874" s="36">
        <f>'DE ( Tarik barang retur )'!AF851</f>
        <v>46189</v>
      </c>
      <c r="H874" s="22">
        <v>46191.0</v>
      </c>
      <c r="I874" s="24"/>
      <c r="J874" s="21" t="s">
        <v>5295</v>
      </c>
      <c r="K874" s="24"/>
      <c r="L874" s="24"/>
      <c r="M874" s="25"/>
      <c r="N874" s="25"/>
      <c r="O874" s="25"/>
      <c r="P874" s="25"/>
      <c r="Q874" s="25"/>
      <c r="R874" s="25"/>
      <c r="S874" s="25"/>
      <c r="T874" s="25"/>
      <c r="U874" s="25"/>
      <c r="V874" s="25"/>
      <c r="W874" s="25"/>
      <c r="X874" s="25"/>
      <c r="Y874" s="25"/>
      <c r="Z874" s="25"/>
      <c r="AA874" s="25"/>
      <c r="AB874" s="25"/>
      <c r="AC874" s="25"/>
    </row>
    <row r="875">
      <c r="A875" s="24" t="str">
        <f>'DE ( Tarik barang retur )'!AC852</f>
        <v>AWBR-TMP-13379-2026-6-16-01</v>
      </c>
      <c r="B875" s="24" t="str">
        <f>'DE ( Tarik barang retur )'!F852</f>
        <v>Apotek K24 Bintara Bekasi Bintara Bekasi Barat</v>
      </c>
      <c r="C875" s="35">
        <f>'DE ( Tarik barang retur )'!G852</f>
        <v>6.21315E+16</v>
      </c>
      <c r="D875" s="24" t="str">
        <f>'DE ( Tarik barang retur )'!H852</f>
        <v>Jl Kebon Sirih Barat IX No 7D RT 004 RW 005 Kelurahan Kebon Sirih Kecamatan Menteng Jakarta Pusat DKI Jakarta 10340 (Rumah Ibu Elvi)</v>
      </c>
      <c r="E875" s="24" t="str">
        <f>'DE ( Tarik barang retur )'!D852</f>
        <v>-</v>
      </c>
      <c r="F875" s="24" t="str">
        <f>'DE ( Tarik barang retur )'!R852</f>
        <v>TMP-INV-2026/05/24/ 2778653
TMP-INV-2026/05/23/ 2776442
TMP-INV-2026/05/23/ 2775826 Tarik Faktur</v>
      </c>
      <c r="G875" s="36">
        <f>'DE ( Tarik barang retur )'!AF852</f>
        <v>46189</v>
      </c>
      <c r="H875" s="22">
        <v>46191.0</v>
      </c>
      <c r="I875" s="24"/>
      <c r="J875" s="21" t="s">
        <v>5295</v>
      </c>
      <c r="K875" s="24"/>
      <c r="L875" s="24"/>
      <c r="M875" s="25"/>
      <c r="N875" s="25"/>
      <c r="O875" s="25"/>
      <c r="P875" s="25"/>
      <c r="Q875" s="25"/>
      <c r="R875" s="25"/>
      <c r="S875" s="25"/>
      <c r="T875" s="25"/>
      <c r="U875" s="25"/>
      <c r="V875" s="25"/>
      <c r="W875" s="25"/>
      <c r="X875" s="25"/>
      <c r="Y875" s="25"/>
      <c r="Z875" s="25"/>
      <c r="AA875" s="25"/>
      <c r="AB875" s="25"/>
      <c r="AC875" s="25"/>
    </row>
    <row r="876">
      <c r="A876" s="24" t="str">
        <f>'DE ( Tarik barang retur )'!AC853</f>
        <v>AWBR-TMP-13709-2026-6-16-01</v>
      </c>
      <c r="B876" s="24" t="str">
        <f>'DE ( Tarik barang retur )'!F853</f>
        <v>Klinik Pratama Regency Medical Jatiwaringin Pondokgede</v>
      </c>
      <c r="C876" s="35">
        <f>'DE ( Tarik barang retur )'!G853</f>
        <v>6.21315E+16</v>
      </c>
      <c r="D876" s="24" t="str">
        <f>'DE ( Tarik barang retur )'!H853</f>
        <v>Jl Kebon Sirih Barat IX No 7D RT 004 RW 005 Kelurahan Kebon Sirih Kecamatan Menteng Jakarta Pusat DKI Jakarta 10340 (Rumah Ibu Elvi)</v>
      </c>
      <c r="E876" s="24" t="str">
        <f>'DE ( Tarik barang retur )'!D853</f>
        <v>-</v>
      </c>
      <c r="F876" s="24" t="str">
        <f>'DE ( Tarik barang retur )'!R853</f>
        <v>TMP-INV-2026/05/15/ 2749372
TMP-INV-2026/03/15/ 2533987 Tarik Faktur</v>
      </c>
      <c r="G876" s="36">
        <f>'DE ( Tarik barang retur )'!AF853</f>
        <v>46189</v>
      </c>
      <c r="H876" s="22">
        <v>46191.0</v>
      </c>
      <c r="I876" s="24"/>
      <c r="J876" s="21" t="s">
        <v>5295</v>
      </c>
      <c r="K876" s="24"/>
      <c r="L876" s="24"/>
      <c r="M876" s="25"/>
      <c r="N876" s="25"/>
      <c r="O876" s="25"/>
      <c r="P876" s="25"/>
      <c r="Q876" s="25"/>
      <c r="R876" s="25"/>
      <c r="S876" s="25"/>
      <c r="T876" s="25"/>
      <c r="U876" s="25"/>
      <c r="V876" s="25"/>
      <c r="W876" s="25"/>
      <c r="X876" s="25"/>
      <c r="Y876" s="25"/>
      <c r="Z876" s="25"/>
      <c r="AA876" s="25"/>
      <c r="AB876" s="25"/>
      <c r="AC876" s="25"/>
    </row>
    <row r="877">
      <c r="A877" s="24" t="str">
        <f>'DE ( Tarik barang retur )'!AC854</f>
        <v>AWBR-TMP-15096-2026-6-16-01</v>
      </c>
      <c r="B877" s="24" t="str">
        <f>'DE ( Tarik barang retur )'!F854</f>
        <v>Apotek Thara Jatibening Baru Pondok Gede</v>
      </c>
      <c r="C877" s="35">
        <f>'DE ( Tarik barang retur )'!G854</f>
        <v>6.21315E+16</v>
      </c>
      <c r="D877" s="24" t="str">
        <f>'DE ( Tarik barang retur )'!H854</f>
        <v>Jl Kebon Sirih Barat IX No 7D RT 004 RW 005 Kelurahan Kebon Sirih Kecamatan Menteng Jakarta Pusat DKI Jakarta 10340 (Rumah Ibu Elvi)</v>
      </c>
      <c r="E877" s="24" t="str">
        <f>'DE ( Tarik barang retur )'!D854</f>
        <v>-</v>
      </c>
      <c r="F877" s="24" t="str">
        <f>'DE ( Tarik barang retur )'!R854</f>
        <v>TMP-INV-2026/05/22/ 2774221
TMP-INV-2026/05/08/ 2724750
TMP-INV-2026/05/08/ 2724777
TMP-INV-2026/03/29/ 2578230
TMP-INV-2026/03/29/ 2578354
TMP-INV-2026/02/21/ 2458726 Tarik Faktur</v>
      </c>
      <c r="G877" s="36">
        <f>'DE ( Tarik barang retur )'!AF854</f>
        <v>46189</v>
      </c>
      <c r="H877" s="22">
        <v>46191.0</v>
      </c>
      <c r="I877" s="24"/>
      <c r="J877" s="21" t="s">
        <v>5295</v>
      </c>
      <c r="K877" s="24"/>
      <c r="L877" s="24"/>
      <c r="M877" s="25"/>
      <c r="N877" s="25"/>
      <c r="O877" s="25"/>
      <c r="P877" s="25"/>
      <c r="Q877" s="25"/>
      <c r="R877" s="25"/>
      <c r="S877" s="25"/>
      <c r="T877" s="25"/>
      <c r="U877" s="25"/>
      <c r="V877" s="25"/>
      <c r="W877" s="25"/>
      <c r="X877" s="25"/>
      <c r="Y877" s="25"/>
      <c r="Z877" s="25"/>
      <c r="AA877" s="25"/>
      <c r="AB877" s="25"/>
      <c r="AC877" s="25"/>
    </row>
    <row r="878">
      <c r="A878" s="24" t="str">
        <f>'DE ( Tarik barang retur )'!AC855</f>
        <v>AWBR-TMP-15313-2026-6-16-01</v>
      </c>
      <c r="B878" s="24" t="str">
        <f>'DE ( Tarik barang retur )'!F855</f>
        <v>Apotek EMJE Baru Bekasi Barat</v>
      </c>
      <c r="C878" s="35">
        <f>'DE ( Tarik barang retur )'!G855</f>
        <v>6.21315E+16</v>
      </c>
      <c r="D878" s="24" t="str">
        <f>'DE ( Tarik barang retur )'!H855</f>
        <v>Jl Kebon Sirih Barat IX No 7D RT 004 RW 005 Kelurahan Kebon Sirih Kecamatan Menteng Jakarta Pusat DKI Jakarta 10340 (Rumah Ibu Elvi)</v>
      </c>
      <c r="E878" s="24" t="str">
        <f>'DE ( Tarik barang retur )'!D855</f>
        <v>-</v>
      </c>
      <c r="F878" s="24" t="str">
        <f>'DE ( Tarik barang retur )'!R855</f>
        <v>TMP-INV-2026/05/04/ 2705730
TMP-INV-2026/05/04/ 2704957
 Tarik Faktur</v>
      </c>
      <c r="G878" s="36">
        <f>'DE ( Tarik barang retur )'!AF855</f>
        <v>46189</v>
      </c>
      <c r="H878" s="22">
        <v>46191.0</v>
      </c>
      <c r="I878" s="24"/>
      <c r="J878" s="21" t="s">
        <v>5295</v>
      </c>
      <c r="K878" s="24"/>
      <c r="L878" s="24"/>
      <c r="M878" s="25"/>
      <c r="N878" s="25"/>
      <c r="O878" s="25"/>
      <c r="P878" s="25"/>
      <c r="Q878" s="25"/>
      <c r="R878" s="25"/>
      <c r="S878" s="25"/>
      <c r="T878" s="25"/>
      <c r="U878" s="25"/>
      <c r="V878" s="25"/>
      <c r="W878" s="25"/>
      <c r="X878" s="25"/>
      <c r="Y878" s="25"/>
      <c r="Z878" s="25"/>
      <c r="AA878" s="25"/>
      <c r="AB878" s="25"/>
      <c r="AC878" s="25"/>
    </row>
    <row r="879">
      <c r="A879" s="24" t="str">
        <f>'DE ( Tarik barang retur )'!AC856</f>
        <v>AWBR-TMP-15869-2026-6-16-01</v>
      </c>
      <c r="B879" s="24" t="str">
        <f>'DE ( Tarik barang retur )'!F856</f>
        <v>Apotek K24 Jatiwaringin Jaticempaka Pondokgede</v>
      </c>
      <c r="C879" s="35">
        <f>'DE ( Tarik barang retur )'!G856</f>
        <v>6.21315E+16</v>
      </c>
      <c r="D879" s="24" t="str">
        <f>'DE ( Tarik barang retur )'!H856</f>
        <v>Jl Kebon Sirih Barat IX No 7D RT 004 RW 005 Kelurahan Kebon Sirih Kecamatan Menteng Jakarta Pusat DKI Jakarta 10340 (Rumah Ibu Elvi)</v>
      </c>
      <c r="E879" s="24" t="str">
        <f>'DE ( Tarik barang retur )'!D856</f>
        <v>-</v>
      </c>
      <c r="F879" s="24" t="str">
        <f>'DE ( Tarik barang retur )'!R856</f>
        <v>TMP-INV-2026/04/07/ 2611715
TMP-INV-2026/04/07/ 2611158
TMP-INV-2026/04/03/ 2597674
TMP-INV-2026/03/26/ 2566728
TMP-INV-2026/03/20/ 2554148
TMP-INV-2026/03/20/ 2554028
 Tarik Faktur</v>
      </c>
      <c r="G879" s="36">
        <f>'DE ( Tarik barang retur )'!AF856</f>
        <v>46189</v>
      </c>
      <c r="H879" s="22">
        <v>46191.0</v>
      </c>
      <c r="I879" s="24"/>
      <c r="J879" s="21" t="s">
        <v>5295</v>
      </c>
      <c r="K879" s="24"/>
      <c r="L879" s="24"/>
      <c r="M879" s="25"/>
      <c r="N879" s="25"/>
      <c r="O879" s="25"/>
      <c r="P879" s="25"/>
      <c r="Q879" s="25"/>
      <c r="R879" s="25"/>
      <c r="S879" s="25"/>
      <c r="T879" s="25"/>
      <c r="U879" s="25"/>
      <c r="V879" s="25"/>
      <c r="W879" s="25"/>
      <c r="X879" s="25"/>
      <c r="Y879" s="25"/>
      <c r="Z879" s="25"/>
      <c r="AA879" s="25"/>
      <c r="AB879" s="25"/>
      <c r="AC879" s="25"/>
    </row>
    <row r="880">
      <c r="A880" s="24" t="str">
        <f>'DE ( Tarik barang retur )'!AC857</f>
        <v>AWBR-TMP-16587-2026-6-16-01</v>
      </c>
      <c r="B880" s="24" t="str">
        <f>'DE ( Tarik barang retur )'!F857</f>
        <v>Apotek Fatih Jatibening Baru Pondok Gede</v>
      </c>
      <c r="C880" s="35">
        <f>'DE ( Tarik barang retur )'!G857</f>
        <v>6.21315E+16</v>
      </c>
      <c r="D880" s="24" t="str">
        <f>'DE ( Tarik barang retur )'!H857</f>
        <v>Jl Kebon Sirih Barat IX No 7D RT 004 RW 005 Kelurahan Kebon Sirih Kecamatan Menteng Jakarta Pusat DKI Jakarta 10340 (Rumah Ibu Elvi)</v>
      </c>
      <c r="E880" s="24" t="str">
        <f>'DE ( Tarik barang retur )'!D857</f>
        <v>-</v>
      </c>
      <c r="F880" s="24" t="str">
        <f>'DE ( Tarik barang retur )'!R857</f>
        <v>TMP-INV-2026/04/14/ 2636612
TMP-INV-2026/04/14/ 2636232
TMP-INV-2026/04/14/ 2637156
TMP-INV-2026/04/14/ 2635511
TMP-INV-2026/04/01/ 2590030
TMP-INV-2026/03/25/ 2563233
TMP-INV-2026/03/25/ 2564027
TMP-INV-2026/03/15/ 2533629
TMP-INV-2026/03/15/ 2534828
TMP-INV-2026/03/15/ 2533483
TMP-INV-2026/02/14/ 2432833
TMP-INV-2026/02/14/ 2431323
TMP-INV-2026/02/14/ 2432360
TMP-INV-2026/02/14/ 2431721
 Tarik Faktur</v>
      </c>
      <c r="G880" s="36">
        <f>'DE ( Tarik barang retur )'!AF857</f>
        <v>46189</v>
      </c>
      <c r="H880" s="22">
        <v>46191.0</v>
      </c>
      <c r="I880" s="24"/>
      <c r="J880" s="21" t="s">
        <v>5295</v>
      </c>
      <c r="K880" s="24"/>
      <c r="L880" s="24"/>
      <c r="M880" s="25"/>
      <c r="N880" s="25"/>
      <c r="O880" s="25"/>
      <c r="P880" s="25"/>
      <c r="Q880" s="25"/>
      <c r="R880" s="25"/>
      <c r="S880" s="25"/>
      <c r="T880" s="25"/>
      <c r="U880" s="25"/>
      <c r="V880" s="25"/>
      <c r="W880" s="25"/>
      <c r="X880" s="25"/>
      <c r="Y880" s="25"/>
      <c r="Z880" s="25"/>
      <c r="AA880" s="25"/>
      <c r="AB880" s="25"/>
      <c r="AC880" s="25"/>
    </row>
    <row r="881">
      <c r="A881" s="24" t="str">
        <f>'DE ( Tarik barang retur )'!AC858</f>
        <v>AWBR-3320345800-01</v>
      </c>
      <c r="B881" s="24" t="str">
        <f>'DE ( Tarik barang retur )'!F858</f>
        <v>Apotek Prima Medika Jelambar Baru Grogol Petamburan</v>
      </c>
      <c r="C881" s="35">
        <f>'DE ( Tarik barang retur )'!G858</f>
        <v>6.28552E+16</v>
      </c>
      <c r="D881" s="24" t="str">
        <f>'DE ( Tarik barang retur )'!H858</f>
        <v>Jl.Jelambar Utama Raya No.81 RT.003 / RW.004,Desa/Kelurahan Jelambar Baru,Kec.Grogol Petamburan, Kota.Jakarta Barat</v>
      </c>
      <c r="E881" s="24" t="str">
        <f>'DE ( Tarik barang retur )'!D858</f>
        <v>TMP-INV-2026/02/06/ 2404497</v>
      </c>
      <c r="F881" s="24" t="str">
        <f>'DE ( Tarik barang retur )'!R858</f>
        <v>Invoice: TMP-INV-2025/08/23/ 1857429
1x YOUVIT MULTIVITAMIN GUMMY RASA STRAWBERRY, GOJIBERRY, CANBERRY, RASPBERRY, BLUEBERRY Yupi - DUS Tarik Barang Retur</v>
      </c>
      <c r="G881" s="36">
        <f>'DE ( Tarik barang retur )'!AF858</f>
        <v>46189</v>
      </c>
      <c r="H881" s="22">
        <v>46190.0</v>
      </c>
      <c r="I881" s="24"/>
      <c r="J881" s="21" t="s">
        <v>5295</v>
      </c>
      <c r="K881" s="24"/>
      <c r="L881" s="24"/>
      <c r="M881" s="25"/>
      <c r="N881" s="25"/>
      <c r="O881" s="25"/>
      <c r="P881" s="25"/>
      <c r="Q881" s="25"/>
      <c r="R881" s="25"/>
      <c r="S881" s="25"/>
      <c r="T881" s="25"/>
      <c r="U881" s="25"/>
      <c r="V881" s="25"/>
      <c r="W881" s="25"/>
      <c r="X881" s="25"/>
      <c r="Y881" s="25"/>
      <c r="Z881" s="25"/>
      <c r="AA881" s="25"/>
      <c r="AB881" s="25"/>
      <c r="AC881" s="25"/>
    </row>
    <row r="882">
      <c r="A882" s="24" t="str">
        <f>'DE ( Tarik barang retur )'!AC859</f>
        <v>AWBR-3320346695-01</v>
      </c>
      <c r="B882" s="24" t="str">
        <f>'DE ( Tarik barang retur )'!F859</f>
        <v>Apotek Raja Sehat Ciganjur Jagakarsa</v>
      </c>
      <c r="C882" s="35">
        <f>'DE ( Tarik barang retur )'!G859</f>
        <v>6.28129E+17</v>
      </c>
      <c r="D882" s="24" t="str">
        <f>'DE ( Tarik barang retur )'!H859</f>
        <v>Jl. Moch. Kahfi 2 No. 5A RT. 05 RW 04 Kel. Ciganjur Kec. Jagakarsa Kota Jakarta Selatan</v>
      </c>
      <c r="E882" s="24" t="str">
        <f>'DE ( Tarik barang retur )'!D859</f>
        <v>TMP-INV-2026/06/13/ 2850539</v>
      </c>
      <c r="F882" s="24" t="str">
        <f>'DE ( Tarik barang retur )'!R859</f>
        <v>Invoice: TMP-INV-2026/06/12/ 2847532
3x TEMPRA (RASA ANGGUR) Taisho SIRUP 2-6 Tahun Tarik Barang Retur</v>
      </c>
      <c r="G882" s="36">
        <f>'DE ( Tarik barang retur )'!AF859</f>
        <v>46189</v>
      </c>
      <c r="H882" s="22">
        <v>46190.0</v>
      </c>
      <c r="I882" s="24"/>
      <c r="J882" s="21" t="s">
        <v>5295</v>
      </c>
      <c r="K882" s="24"/>
      <c r="L882" s="24"/>
      <c r="M882" s="25"/>
      <c r="N882" s="25"/>
      <c r="O882" s="25"/>
      <c r="P882" s="25"/>
      <c r="Q882" s="25"/>
      <c r="R882" s="25"/>
      <c r="S882" s="25"/>
      <c r="T882" s="25"/>
      <c r="U882" s="25"/>
      <c r="V882" s="25"/>
      <c r="W882" s="25"/>
      <c r="X882" s="25"/>
      <c r="Y882" s="25"/>
      <c r="Z882" s="25"/>
      <c r="AA882" s="25"/>
      <c r="AB882" s="25"/>
      <c r="AC882" s="25"/>
    </row>
    <row r="883">
      <c r="A883" s="24" t="str">
        <f>'DE ( Tarik barang retur )'!AC860</f>
        <v>AWBR-3320460720-01</v>
      </c>
      <c r="B883" s="24" t="str">
        <f>'DE ( Tarik barang retur )'!F860</f>
        <v>Apotek Marta Farma 2</v>
      </c>
      <c r="C883" s="35">
        <f>'DE ( Tarik barang retur )'!G860</f>
        <v>8121962657</v>
      </c>
      <c r="D883" s="24" t="str">
        <f>'DE ( Tarik barang retur )'!H860</f>
        <v>Jalan Raya Leuwiliang BTN Purnasari Blok E RT. 01 RW. 01 Desa Leuwiliang Kecamatan Leuwiliang Kabupaten Bogor 16640</v>
      </c>
      <c r="E883" s="24" t="str">
        <f>'DE ( Tarik barang retur )'!D860</f>
        <v>TMP-INV-2026/06/12/ 2846727</v>
      </c>
      <c r="F883" s="24" t="str">
        <f>'DE ( Tarik barang retur )'!R860</f>
        <v>Invoice: TMP-INV-2026/06/14/ 2852516
1x VISANNE Bayer TABLET 2 MG Tarik Barang Retur</v>
      </c>
      <c r="G883" s="36">
        <f>'DE ( Tarik barang retur )'!AF860</f>
        <v>46189</v>
      </c>
      <c r="H883" s="22">
        <v>46190.0</v>
      </c>
      <c r="I883" s="24"/>
      <c r="J883" s="21" t="s">
        <v>5295</v>
      </c>
      <c r="K883" s="24"/>
      <c r="L883" s="24"/>
      <c r="M883" s="25"/>
      <c r="N883" s="25"/>
      <c r="O883" s="25"/>
      <c r="P883" s="25"/>
      <c r="Q883" s="25"/>
      <c r="R883" s="25"/>
      <c r="S883" s="25"/>
      <c r="T883" s="25"/>
      <c r="U883" s="25"/>
      <c r="V883" s="25"/>
      <c r="W883" s="25"/>
      <c r="X883" s="25"/>
      <c r="Y883" s="25"/>
      <c r="Z883" s="25"/>
      <c r="AA883" s="25"/>
      <c r="AB883" s="25"/>
      <c r="AC883" s="25"/>
    </row>
    <row r="884">
      <c r="A884" s="24" t="str">
        <f>'DE ( Tarik barang retur )'!AC861</f>
        <v>AWBR-3320452001-01</v>
      </c>
      <c r="B884" s="24" t="str">
        <f>'DE ( Tarik barang retur )'!F861</f>
        <v>Apotek K24 Jatirahayu Jatirahayu Pondok Melati</v>
      </c>
      <c r="C884" s="35">
        <f>'DE ( Tarik barang retur )'!G861</f>
        <v>6.28228E+17</v>
      </c>
      <c r="D884" s="24" t="str">
        <f>'DE ( Tarik barang retur )'!H861</f>
        <v>Jl Raya Hankam No. 114 Kel. Jatirahayu Kec. Pondok Melati Kota Bekasi</v>
      </c>
      <c r="E884" s="24" t="str">
        <f>'DE ( Tarik barang retur )'!D861</f>
        <v>TMP-INV-2026/06/14/ 2853253</v>
      </c>
      <c r="F884" s="24" t="str">
        <f>'DE ( Tarik barang retur )'!R861</f>
        <v>Invoice: TMP-INV-2026/06/13/ 2851639
1x DETTOL ANTISEPTIK CAIR Tarik Barang Retur</v>
      </c>
      <c r="G884" s="36">
        <f>'DE ( Tarik barang retur )'!AF861</f>
        <v>46189</v>
      </c>
      <c r="H884" s="22">
        <v>46191.0</v>
      </c>
      <c r="I884" s="24"/>
      <c r="J884" s="21" t="s">
        <v>5295</v>
      </c>
      <c r="K884" s="24"/>
      <c r="L884" s="24"/>
      <c r="M884" s="25"/>
      <c r="N884" s="25"/>
      <c r="O884" s="25"/>
      <c r="P884" s="25"/>
      <c r="Q884" s="25"/>
      <c r="R884" s="25"/>
      <c r="S884" s="25"/>
      <c r="T884" s="25"/>
      <c r="U884" s="25"/>
      <c r="V884" s="25"/>
      <c r="W884" s="25"/>
      <c r="X884" s="25"/>
      <c r="Y884" s="25"/>
      <c r="Z884" s="25"/>
      <c r="AA884" s="25"/>
      <c r="AB884" s="25"/>
      <c r="AC884" s="25"/>
    </row>
    <row r="885">
      <c r="A885" s="24" t="str">
        <f>'DE ( Tarik barang retur )'!AC862</f>
        <v>AWBR-3320350114-01</v>
      </c>
      <c r="B885" s="24" t="str">
        <f>'DE ( Tarik barang retur )'!F862</f>
        <v>Apotek Cenina Farma Bantargebang Bantar Gebang</v>
      </c>
      <c r="C885" s="35">
        <f>'DE ( Tarik barang retur )'!G862</f>
        <v>6.28226E+17</v>
      </c>
      <c r="D885" s="24" t="str">
        <f>'DE ( Tarik barang retur )'!H862</f>
        <v>Ruko Cahaya Mustika No.8 D Jl. Prapatan Kel. Bantargebang Kec. Bantar Gebang Kota Bekasi</v>
      </c>
      <c r="E885" s="24" t="str">
        <f>'DE ( Tarik barang retur )'!D862</f>
        <v>TMP-INV-2025/08/23/ 1857429</v>
      </c>
      <c r="F885" s="24" t="str">
        <f>'DE ( Tarik barang retur )'!R862</f>
        <v>Invoice: TMP-INV-2025/09/17/ 1938501
1x NEPHRISOL Sanghiang RASA VANILA Tarik Barang Retur</v>
      </c>
      <c r="G885" s="36">
        <f>'DE ( Tarik barang retur )'!AF862</f>
        <v>46189</v>
      </c>
      <c r="H885" s="22">
        <v>46191.0</v>
      </c>
      <c r="I885" s="24"/>
      <c r="J885" s="21" t="s">
        <v>5295</v>
      </c>
      <c r="K885" s="24"/>
      <c r="L885" s="24"/>
      <c r="M885" s="25"/>
      <c r="N885" s="25"/>
      <c r="O885" s="25"/>
      <c r="P885" s="25"/>
      <c r="Q885" s="25"/>
      <c r="R885" s="25"/>
      <c r="S885" s="25"/>
      <c r="T885" s="25"/>
      <c r="U885" s="25"/>
      <c r="V885" s="25"/>
      <c r="W885" s="25"/>
      <c r="X885" s="25"/>
      <c r="Y885" s="25"/>
      <c r="Z885" s="25"/>
      <c r="AA885" s="25"/>
      <c r="AB885" s="25"/>
      <c r="AC885" s="25"/>
    </row>
    <row r="886">
      <c r="A886" s="24" t="str">
        <f>'DE ( Tarik barang retur )'!AC863</f>
        <v>AWBR-3320348514-01</v>
      </c>
      <c r="B886" s="24" t="str">
        <f>'DE ( Tarik barang retur )'!F863</f>
        <v>Apotek Jihan Farma</v>
      </c>
      <c r="C886" s="35">
        <f>'DE ( Tarik barang retur )'!G863</f>
        <v>81318831683</v>
      </c>
      <c r="D886" s="24" t="str">
        <f>'DE ( Tarik barang retur )'!H863</f>
        <v>Bekasi junction LT. UG Blok S - No. 215,216,197,198, Desa/Kelurahan Margahayu, Kec. Bekasi Timur, Kota Bekasi, 17113</v>
      </c>
      <c r="E886" s="24" t="str">
        <f>'DE ( Tarik barang retur )'!D863</f>
        <v>TMP-INV-2026/06/12/ 2846363</v>
      </c>
      <c r="F886" s="24" t="str">
        <f>'DE ( Tarik barang retur )'!R863</f>
        <v>Invoice: TMP-INV-2026/06/14/2853631
12x ELZSA Sydna TABLET Tarik Barang Retur</v>
      </c>
      <c r="G886" s="36">
        <f>'DE ( Tarik barang retur )'!AF863</f>
        <v>46189</v>
      </c>
      <c r="H886" s="22">
        <v>46191.0</v>
      </c>
      <c r="I886" s="24"/>
      <c r="J886" s="21" t="s">
        <v>5295</v>
      </c>
      <c r="K886" s="24"/>
      <c r="L886" s="24"/>
      <c r="M886" s="49"/>
      <c r="N886" s="25"/>
      <c r="O886" s="25"/>
      <c r="P886" s="25"/>
      <c r="Q886" s="25"/>
      <c r="R886" s="25"/>
      <c r="S886" s="25"/>
      <c r="T886" s="25"/>
      <c r="U886" s="25"/>
      <c r="V886" s="25"/>
      <c r="W886" s="25"/>
      <c r="X886" s="25"/>
      <c r="Y886" s="25"/>
      <c r="Z886" s="25"/>
      <c r="AA886" s="25"/>
      <c r="AB886" s="25"/>
      <c r="AC886" s="25"/>
    </row>
    <row r="887">
      <c r="A887" s="24" t="str">
        <f>'DE ( Tarik barang retur )'!AC864</f>
        <v>AWBR-3320940275-01</v>
      </c>
      <c r="B887" s="24" t="str">
        <f>'DE ( Tarik barang retur )'!F864</f>
        <v>Apotek Medpharm GDC Tirtajaya Sukmajaya</v>
      </c>
      <c r="C887" s="35">
        <f>'DE ( Tarik barang retur )'!G864</f>
        <v>6.28138E+17</v>
      </c>
      <c r="D887" s="24" t="str">
        <f>'DE ( Tarik barang retur )'!H864</f>
        <v>Ruko Gardenia, Grand Depok City, Grand Depok City, Jalan KSU Parung Serab, Kelurahan Tirtajaya, Kecamatan Sukmajaya, Kota Depok, Jawa Barat 16412</v>
      </c>
      <c r="E887" s="24" t="str">
        <f>'DE ( Tarik barang retur )'!D864</f>
        <v>TMP-INV-2024/05/22/ 796137</v>
      </c>
      <c r="F887" s="24" t="str">
        <f>'DE ( Tarik barang retur )'!R864</f>
        <v>Invoice: TMP-INV-2026/06/15/ 2857552
2x VECTRINE Dexa Medica KAPSUL 300 MG
1x MADU MURNI TJ Ultrasakti
----------------------------------------
Invoice: TMP-INV-2026/06/15/ 2857092
Complete Return Tarik Barang Retur</v>
      </c>
      <c r="G887" s="36">
        <f>'DE ( Tarik barang retur )'!AF864</f>
        <v>46189</v>
      </c>
      <c r="H887" s="22">
        <v>46190.0</v>
      </c>
      <c r="I887" s="24"/>
      <c r="J887" s="21" t="s">
        <v>5295</v>
      </c>
      <c r="K887" s="24"/>
      <c r="L887" s="24"/>
      <c r="M887" s="25"/>
      <c r="N887" s="25"/>
      <c r="O887" s="25"/>
      <c r="P887" s="25"/>
      <c r="Q887" s="25"/>
      <c r="R887" s="25"/>
      <c r="S887" s="25"/>
      <c r="T887" s="25"/>
      <c r="U887" s="25"/>
      <c r="V887" s="25"/>
      <c r="W887" s="25"/>
      <c r="X887" s="25"/>
      <c r="Y887" s="25"/>
      <c r="Z887" s="25"/>
      <c r="AA887" s="25"/>
      <c r="AB887" s="25"/>
      <c r="AC887" s="25"/>
    </row>
    <row r="888">
      <c r="A888" s="24" t="str">
        <f>'DE ( Tarik barang retur )'!AC865</f>
        <v>AWBR-3321743603-01</v>
      </c>
      <c r="B888" s="24" t="str">
        <f>'DE ( Tarik barang retur )'!F865</f>
        <v>Apotek Inafarma Selomartani Kalasan</v>
      </c>
      <c r="C888" s="35">
        <f>'DE ( Tarik barang retur )'!G865</f>
        <v>6.2858E+16</v>
      </c>
      <c r="D888" s="24" t="str">
        <f>'DE ( Tarik barang retur )'!H865</f>
        <v>Jl. Raya Selomartani , Salakan, Desa/Kelurahan Selomartani, Kecamatan Kalasan,Kabupaten Sleman,DI Yogyakarta,55571</v>
      </c>
      <c r="E888" s="24" t="str">
        <f>'DE ( Tarik barang retur )'!D865</f>
        <v>TMP-INV-2026/06/15/ 2857924</v>
      </c>
      <c r="F888" s="24" t="str">
        <f>'DE ( Tarik barang retur )'!R865</f>
        <v>Invoice: TMP-INV-2026/06/15/ 2857924
2x LACTULAX COKLAT Ika SIRUP Tarik Barang Retur</v>
      </c>
      <c r="G888" s="36">
        <f>'DE ( Tarik barang retur )'!AF865</f>
        <v>46191</v>
      </c>
      <c r="H888" s="24"/>
      <c r="I888" s="24"/>
      <c r="J888" s="21" t="s">
        <v>5371</v>
      </c>
      <c r="K888" s="24"/>
      <c r="L888" s="24"/>
      <c r="M888" s="25" t="str">
        <f t="shared" ref="M888:M914" si="13">GET_LOCATION(D888,"city")</f>
        <v>Kabupaten Sleman</v>
      </c>
      <c r="N888" s="25" t="str">
        <f t="shared" ref="N888:N914" si="14">GET_LOCATION(D888,"province")</f>
        <v>Daerah Istimewa Yogyakarta</v>
      </c>
      <c r="O888" s="25" t="str">
        <f>VLOOKUP(M888,'Mapping Area'!A:C,3,0)</f>
        <v>CJ</v>
      </c>
      <c r="P888" s="25"/>
      <c r="Q888" s="25"/>
      <c r="R888" s="25"/>
      <c r="S888" s="25"/>
      <c r="T888" s="25"/>
      <c r="U888" s="25"/>
      <c r="V888" s="25"/>
      <c r="W888" s="25"/>
      <c r="X888" s="25"/>
      <c r="Y888" s="25"/>
      <c r="Z888" s="25"/>
      <c r="AA888" s="25"/>
      <c r="AB888" s="25"/>
      <c r="AC888" s="25"/>
    </row>
    <row r="889">
      <c r="A889" s="24" t="str">
        <f>'DE ( Tarik barang retur )'!AC866</f>
        <v>AWBR-3321664336-01</v>
      </c>
      <c r="B889" s="24" t="str">
        <f>'DE ( Tarik barang retur )'!F866</f>
        <v>Apotek Camp Medika Bolon Colomadu</v>
      </c>
      <c r="C889" s="35">
        <f>'DE ( Tarik barang retur )'!G866</f>
        <v>6.28579E+17</v>
      </c>
      <c r="D889" s="24" t="str">
        <f>'DE ( Tarik barang retur )'!H866</f>
        <v>Jl. Tentara Pelajar, Dusun Madoh RT.01 RW.08, Kel./Desa Bolon, Kec Colomadu, Kab. Karanganyar, Jawa Tengah, 57178</v>
      </c>
      <c r="E889" s="24" t="str">
        <f>'DE ( Tarik barang retur )'!D866</f>
        <v>TMP-INV-2026/06/13/ 2852022</v>
      </c>
      <c r="F889" s="24" t="str">
        <f>'DE ( Tarik barang retur )'!R866</f>
        <v>Invoice: TMP-INV-2026/06/13/ 2852022
Complete Return Tarik Barang Retur</v>
      </c>
      <c r="G889" s="36">
        <f>'DE ( Tarik barang retur )'!AF866</f>
        <v>46191</v>
      </c>
      <c r="H889" s="24"/>
      <c r="I889" s="24"/>
      <c r="J889" s="21" t="s">
        <v>5371</v>
      </c>
      <c r="K889" s="24"/>
      <c r="L889" s="24"/>
      <c r="M889" s="25" t="str">
        <f t="shared" si="13"/>
        <v>Kabupaten Karanganyar</v>
      </c>
      <c r="N889" s="25" t="str">
        <f t="shared" si="14"/>
        <v>Jawa Tengah</v>
      </c>
      <c r="O889" s="25" t="str">
        <f>VLOOKUP(M889,'Mapping Area'!A:C,3,0)</f>
        <v>CJ</v>
      </c>
      <c r="P889" s="25"/>
      <c r="Q889" s="25"/>
      <c r="R889" s="25"/>
      <c r="S889" s="25"/>
      <c r="T889" s="25"/>
      <c r="U889" s="25"/>
      <c r="V889" s="25"/>
      <c r="W889" s="25"/>
      <c r="X889" s="25"/>
      <c r="Y889" s="25"/>
      <c r="Z889" s="25"/>
      <c r="AA889" s="25"/>
      <c r="AB889" s="25"/>
      <c r="AC889" s="25"/>
    </row>
    <row r="890">
      <c r="A890" s="24" t="str">
        <f>'DE ( Tarik barang retur )'!AC867</f>
        <v>AWBR-3321677661-01</v>
      </c>
      <c r="B890" s="24" t="str">
        <f>'DE ( Tarik barang retur )'!F867</f>
        <v>Apotek Padma 5853</v>
      </c>
      <c r="C890" s="35">
        <f>'DE ( Tarik barang retur )'!G867</f>
        <v>6.2823E+16</v>
      </c>
      <c r="D890" s="24" t="str">
        <f>'DE ( Tarik barang retur )'!H867</f>
        <v>Jalan RM Said No.156 Kelurahan Punggawan, Kecamatan Banjarsari, Kota Surakarta, Jawa Tengah 57131</v>
      </c>
      <c r="E890" s="24" t="str">
        <f>'DE ( Tarik barang retur )'!D867</f>
        <v>TMP-INV-2026/06/16/ 2858591</v>
      </c>
      <c r="F890" s="24" t="str">
        <f>'DE ( Tarik barang retur )'!R867</f>
        <v>Invoice: TMP-INV-2026/06/16/ 2858591
3x KENALOG IN ORABASE Taisho SALEP Tarik Barang Retur</v>
      </c>
      <c r="G890" s="36">
        <f>'DE ( Tarik barang retur )'!AF867</f>
        <v>46191</v>
      </c>
      <c r="H890" s="24"/>
      <c r="I890" s="24"/>
      <c r="J890" s="21" t="s">
        <v>5371</v>
      </c>
      <c r="K890" s="24"/>
      <c r="L890" s="24"/>
      <c r="M890" s="25" t="str">
        <f t="shared" si="13"/>
        <v>Kota Surakarta</v>
      </c>
      <c r="N890" s="25" t="str">
        <f t="shared" si="14"/>
        <v>Jawa Tengah</v>
      </c>
      <c r="O890" s="49" t="s">
        <v>5373</v>
      </c>
      <c r="P890" s="25"/>
      <c r="Q890" s="25"/>
      <c r="R890" s="25"/>
      <c r="S890" s="25"/>
      <c r="T890" s="25"/>
      <c r="U890" s="25"/>
      <c r="V890" s="25"/>
      <c r="W890" s="25"/>
      <c r="X890" s="25"/>
      <c r="Y890" s="25"/>
      <c r="Z890" s="25"/>
      <c r="AA890" s="25"/>
      <c r="AB890" s="25"/>
      <c r="AC890" s="25"/>
    </row>
    <row r="891">
      <c r="A891" s="24" t="str">
        <f>'DE ( Tarik barang retur )'!AC868</f>
        <v>AWBR-3320351375-01</v>
      </c>
      <c r="B891" s="24" t="str">
        <f>'DE ( Tarik barang retur )'!F868</f>
        <v>Apotek Enggal Waras Kadipiro Banjarsari</v>
      </c>
      <c r="C891" s="35">
        <f>'DE ( Tarik barang retur )'!G868</f>
        <v>6.28214E+17</v>
      </c>
      <c r="D891" s="24" t="str">
        <f>'DE ( Tarik barang retur )'!H868</f>
        <v>Bayan RT 004 RW 014 Bayan Krajan,Desa/Kelurahan Kadipiro,Kecamatan Banjarsari,Kota Surakarta,Jawa Tengah,57136</v>
      </c>
      <c r="E891" s="24" t="str">
        <f>'DE ( Tarik barang retur )'!D868</f>
        <v>TMP-INV-2025/08/07/ 1808282</v>
      </c>
      <c r="F891" s="24" t="str">
        <f>'DE ( Tarik barang retur )'!R868</f>
        <v>Invoice: TMP-INV-2025/08/07/ 1808282
1x ALOCLAIR PLUS Enseval GEL
1x ALOCLAIR PLUS MOUTHWASH Enseval OBAT KUMUR Tarik Barang Retur</v>
      </c>
      <c r="G891" s="36">
        <f>'DE ( Tarik barang retur )'!AF868</f>
        <v>46191</v>
      </c>
      <c r="H891" s="24"/>
      <c r="I891" s="24"/>
      <c r="J891" s="21" t="s">
        <v>5371</v>
      </c>
      <c r="K891" s="24"/>
      <c r="L891" s="24"/>
      <c r="M891" s="25" t="str">
        <f t="shared" si="13"/>
        <v>Kota Surakarta</v>
      </c>
      <c r="N891" s="25" t="str">
        <f t="shared" si="14"/>
        <v>Jawa Tengah</v>
      </c>
      <c r="O891" s="49" t="s">
        <v>5373</v>
      </c>
      <c r="P891" s="25"/>
      <c r="Q891" s="25"/>
      <c r="R891" s="25"/>
      <c r="S891" s="25"/>
      <c r="T891" s="25"/>
      <c r="U891" s="25"/>
      <c r="V891" s="25"/>
      <c r="W891" s="25"/>
      <c r="X891" s="25"/>
      <c r="Y891" s="25"/>
      <c r="Z891" s="25"/>
      <c r="AA891" s="25"/>
      <c r="AB891" s="25"/>
      <c r="AC891" s="25"/>
    </row>
    <row r="892">
      <c r="A892" s="24" t="str">
        <f>'DE ( Tarik barang retur )'!AC869</f>
        <v>AWBR-3320465038-01</v>
      </c>
      <c r="B892" s="24" t="str">
        <f>'DE ( Tarik barang retur )'!F869</f>
        <v>Apotek Narendra</v>
      </c>
      <c r="C892" s="35">
        <f>'DE ( Tarik barang retur )'!G869</f>
        <v>6.28775E+17</v>
      </c>
      <c r="D892" s="24" t="str">
        <f>'DE ( Tarik barang retur )'!H869</f>
        <v>Jalan Raya Bungah No. 8 Dusun Nongkokerep, Desa/Kelurahan Bungah, Kecamatan Bungah, Kabupaten Gresik, Jawa Timur 61152</v>
      </c>
      <c r="E892" s="24" t="str">
        <f>'DE ( Tarik barang retur )'!D869</f>
        <v>TMP-INV-2026/06/14/ 2852818</v>
      </c>
      <c r="F892" s="24" t="str">
        <f>'DE ( Tarik barang retur )'!R869</f>
        <v>Invoice: TMP-INV-2026/06/14/ 2852818
2x MEDISIO Faratu 36 % Tarik Barang Retur</v>
      </c>
      <c r="G892" s="36">
        <f>'DE ( Tarik barang retur )'!AF869</f>
        <v>46191</v>
      </c>
      <c r="H892" s="24"/>
      <c r="I892" s="24"/>
      <c r="J892" s="21" t="s">
        <v>5371</v>
      </c>
      <c r="K892" s="24"/>
      <c r="L892" s="24"/>
      <c r="M892" s="25" t="str">
        <f t="shared" si="13"/>
        <v>Kabupaten Gresik</v>
      </c>
      <c r="N892" s="25" t="str">
        <f t="shared" si="14"/>
        <v>Jawa Timur</v>
      </c>
      <c r="O892" s="25" t="str">
        <f>VLOOKUP(M892,'Mapping Area'!A:C,3,0)</f>
        <v>EJ</v>
      </c>
      <c r="P892" s="25"/>
      <c r="Q892" s="25"/>
      <c r="R892" s="25"/>
      <c r="S892" s="25"/>
      <c r="T892" s="25"/>
      <c r="U892" s="25"/>
      <c r="V892" s="25"/>
      <c r="W892" s="25"/>
      <c r="X892" s="25"/>
      <c r="Y892" s="25"/>
      <c r="Z892" s="25"/>
      <c r="AA892" s="25"/>
      <c r="AB892" s="25"/>
      <c r="AC892" s="25"/>
    </row>
    <row r="893">
      <c r="A893" s="24" t="str">
        <f>'DE ( Tarik barang retur )'!AC870</f>
        <v>AWBR-3321712420-01</v>
      </c>
      <c r="B893" s="24" t="str">
        <f>'DE ( Tarik barang retur )'!F870</f>
        <v>Apotek Abirama Farma</v>
      </c>
      <c r="C893" s="35">
        <f>'DE ( Tarik barang retur )'!G870</f>
        <v>6.28133E+17</v>
      </c>
      <c r="D893" s="24" t="str">
        <f>'DE ( Tarik barang retur )'!H870</f>
        <v>Jalan Raya Slamet No. 35 RT. 16 RW. 5, Desa Slamet, Kec. Tumpang, Kab. Malang, Jawa Timur 65156</v>
      </c>
      <c r="E893" s="24" t="str">
        <f>'DE ( Tarik barang retur )'!D870</f>
        <v>TMP-INV-2026/06/16/ 2858530</v>
      </c>
      <c r="F893" s="24" t="str">
        <f>'DE ( Tarik barang retur )'!R870</f>
        <v>Invoice: TMP-INV-2026/06/16/ 2858530
3x BETADINE ANTISEPTIC SPRAY CLEAR Mbf Tarik Barang Retur</v>
      </c>
      <c r="G893" s="36">
        <f>'DE ( Tarik barang retur )'!AF870</f>
        <v>46191</v>
      </c>
      <c r="H893" s="24"/>
      <c r="I893" s="24"/>
      <c r="J893" s="21" t="s">
        <v>5371</v>
      </c>
      <c r="K893" s="24"/>
      <c r="L893" s="24"/>
      <c r="M893" s="25" t="str">
        <f t="shared" si="13"/>
        <v>Kabupaten Malang</v>
      </c>
      <c r="N893" s="25" t="str">
        <f t="shared" si="14"/>
        <v>Jawa Timur</v>
      </c>
      <c r="O893" s="25" t="str">
        <f>VLOOKUP(M893,'Mapping Area'!A:C,3,0)</f>
        <v>EJ</v>
      </c>
      <c r="P893" s="25"/>
      <c r="Q893" s="25"/>
      <c r="R893" s="25"/>
      <c r="S893" s="25"/>
      <c r="T893" s="25"/>
      <c r="U893" s="25"/>
      <c r="V893" s="25"/>
      <c r="W893" s="25"/>
      <c r="X893" s="25"/>
      <c r="Y893" s="25"/>
      <c r="Z893" s="25"/>
      <c r="AA893" s="25"/>
      <c r="AB893" s="25"/>
      <c r="AC893" s="25"/>
    </row>
    <row r="894">
      <c r="A894" s="24" t="str">
        <f>'DE ( Tarik barang retur )'!AC871</f>
        <v>AWBR-3321674536-01</v>
      </c>
      <c r="B894" s="24" t="str">
        <f>'DE ( Tarik barang retur )'!F871</f>
        <v>Apotek Karanganyar Karanganyar Poncokusumo</v>
      </c>
      <c r="C894" s="35">
        <f>'DE ( Tarik barang retur )'!G871</f>
        <v>6.28223E+17</v>
      </c>
      <c r="D894" s="24" t="str">
        <f>'DE ( Tarik barang retur )'!H871</f>
        <v>RT.01 RW.01,Desa/Kelurahan Karanganyar,Kecamatan Poncokusumo,Kabupaten Malang,Jawa Timur,65157</v>
      </c>
      <c r="E894" s="24" t="str">
        <f>'DE ( Tarik barang retur )'!D871</f>
        <v>TMP-INV-2026/06/16/ 2858819</v>
      </c>
      <c r="F894" s="24" t="str">
        <f>'DE ( Tarik barang retur )'!R871</f>
        <v>Invoice: TMP-INV-2026/06/16/ 2858819
1x ACARBOSE Dexa Medica TABLET 100 MG Tarik Barang Retur</v>
      </c>
      <c r="G894" s="36">
        <f>'DE ( Tarik barang retur )'!AF871</f>
        <v>46191</v>
      </c>
      <c r="H894" s="24"/>
      <c r="I894" s="24"/>
      <c r="J894" s="21" t="s">
        <v>5371</v>
      </c>
      <c r="K894" s="24"/>
      <c r="L894" s="24"/>
      <c r="M894" s="25" t="str">
        <f t="shared" si="13"/>
        <v>Malang Regency</v>
      </c>
      <c r="N894" s="25" t="str">
        <f t="shared" si="14"/>
        <v>East Java</v>
      </c>
      <c r="O894" s="25" t="str">
        <f>VLOOKUP(M894,'Mapping Area'!A:C,3,0)</f>
        <v>EJ</v>
      </c>
      <c r="P894" s="25"/>
      <c r="Q894" s="25"/>
      <c r="R894" s="25"/>
      <c r="S894" s="25"/>
      <c r="T894" s="25"/>
      <c r="U894" s="25"/>
      <c r="V894" s="25"/>
      <c r="W894" s="25"/>
      <c r="X894" s="25"/>
      <c r="Y894" s="25"/>
      <c r="Z894" s="25"/>
      <c r="AA894" s="25"/>
      <c r="AB894" s="25"/>
      <c r="AC894" s="25"/>
    </row>
    <row r="895">
      <c r="A895" s="24" t="str">
        <f>'DE ( Tarik barang retur )'!AC872</f>
        <v>AWBR-3321011705-01</v>
      </c>
      <c r="B895" s="24" t="str">
        <f>'DE ( Tarik barang retur )'!F872</f>
        <v>Apotek Sidomakmur Mulyoagung Dau</v>
      </c>
      <c r="C895" s="35">
        <f>'DE ( Tarik barang retur )'!G872</f>
        <v>6.28133E+17</v>
      </c>
      <c r="D895" s="24" t="str">
        <f>'DE ( Tarik barang retur )'!H872</f>
        <v>Jalan Sido Makmur 94 Kav 5,Desa/Kelurahan Mulyoagung,Kecamatan Dau, Kabupaten Malang,Jawa Timur,65151</v>
      </c>
      <c r="E895" s="24" t="str">
        <f>'DE ( Tarik barang retur )'!D872</f>
        <v>TMP-INV-2026/06/15/ 2855035</v>
      </c>
      <c r="F895" s="24" t="str">
        <f>'DE ( Tarik barang retur )'!R872</f>
        <v>Invoice: TMP-INV-2026/06/15/ 2855035
4x DICLOFENAC POTASSIUM Nulab TABLET 25 MG Tarik Barang Retur</v>
      </c>
      <c r="G895" s="36">
        <f>'DE ( Tarik barang retur )'!AF872</f>
        <v>46191</v>
      </c>
      <c r="H895" s="24"/>
      <c r="I895" s="24"/>
      <c r="J895" s="21" t="s">
        <v>5371</v>
      </c>
      <c r="K895" s="24"/>
      <c r="L895" s="24"/>
      <c r="M895" s="25" t="str">
        <f t="shared" si="13"/>
        <v>Kabupaten Malang</v>
      </c>
      <c r="N895" s="25" t="str">
        <f t="shared" si="14"/>
        <v>Jawa Timur</v>
      </c>
      <c r="O895" s="25" t="str">
        <f>VLOOKUP(M895,'Mapping Area'!A:C,3,0)</f>
        <v>EJ</v>
      </c>
      <c r="P895" s="25"/>
      <c r="Q895" s="25"/>
      <c r="R895" s="25"/>
      <c r="S895" s="25"/>
      <c r="T895" s="25"/>
      <c r="U895" s="25"/>
      <c r="V895" s="25"/>
      <c r="W895" s="25"/>
      <c r="X895" s="25"/>
      <c r="Y895" s="25"/>
      <c r="Z895" s="25"/>
      <c r="AA895" s="25"/>
      <c r="AB895" s="25"/>
      <c r="AC895" s="25"/>
    </row>
    <row r="896">
      <c r="A896" s="24" t="str">
        <f>'DE ( Tarik barang retur )'!AC873</f>
        <v>AWBR-3320443091-01</v>
      </c>
      <c r="B896" s="24" t="str">
        <f>'DE ( Tarik barang retur )'!F873</f>
        <v>Apotek An Najaah Manduro Manggunggajah Ngoro</v>
      </c>
      <c r="C896" s="35">
        <f>'DE ( Tarik barang retur )'!G873</f>
        <v>6.28573E+17</v>
      </c>
      <c r="D896" s="24" t="str">
        <f>'DE ( Tarik barang retur )'!H873</f>
        <v>Jalan Gempol-Mojokerto RT.013 RW.002 Kelurahan Manduro Manggunggajah, Kecamatan Ngoro, Kabupaten Mojokerto, Jawa Timur,61385</v>
      </c>
      <c r="E896" s="24" t="str">
        <f>'DE ( Tarik barang retur )'!D873</f>
        <v>TMP-INV-2025/09/30/ 1976772</v>
      </c>
      <c r="F896" s="24" t="str">
        <f>'DE ( Tarik barang retur )'!R873</f>
        <v>Invoice: TMP-INV-2025/09/30/ 1976772
4x IMUNPED DROPS Darya-Varia Tarik Barang Retur</v>
      </c>
      <c r="G896" s="36">
        <f>'DE ( Tarik barang retur )'!AF873</f>
        <v>46191</v>
      </c>
      <c r="H896" s="24"/>
      <c r="I896" s="24"/>
      <c r="J896" s="21" t="s">
        <v>5371</v>
      </c>
      <c r="K896" s="24"/>
      <c r="L896" s="24"/>
      <c r="M896" s="25" t="str">
        <f t="shared" si="13"/>
        <v>Kabupaten Mojokerto</v>
      </c>
      <c r="N896" s="25" t="str">
        <f t="shared" si="14"/>
        <v>Jawa Timur</v>
      </c>
      <c r="O896" s="49" t="s">
        <v>5338</v>
      </c>
      <c r="P896" s="25"/>
      <c r="Q896" s="25"/>
      <c r="R896" s="25"/>
      <c r="S896" s="25"/>
      <c r="T896" s="25"/>
      <c r="U896" s="25"/>
      <c r="V896" s="25"/>
      <c r="W896" s="25"/>
      <c r="X896" s="25"/>
      <c r="Y896" s="25"/>
      <c r="Z896" s="25"/>
      <c r="AA896" s="25"/>
      <c r="AB896" s="25"/>
      <c r="AC896" s="25"/>
    </row>
    <row r="897">
      <c r="A897" s="24" t="str">
        <f>'DE ( Tarik barang retur )'!AC874</f>
        <v>AWBR-3321679060-01</v>
      </c>
      <c r="B897" s="24" t="str">
        <f>'DE ( Tarik barang retur )'!F874</f>
        <v>Apotek Bugar Dot Com</v>
      </c>
      <c r="C897" s="35">
        <f>'DE ( Tarik barang retur )'!G874</f>
        <v>6.28575E+17</v>
      </c>
      <c r="D897" s="24" t="str">
        <f>'DE ( Tarik barang retur )'!H874</f>
        <v>Jalan Raya Ngetal No. 4, DEsa Karangrejo, Kecamatan Gempol, Kabupaten Pasuruan, Jawa Timur 67155</v>
      </c>
      <c r="E897" s="24" t="str">
        <f>'DE ( Tarik barang retur )'!D874</f>
        <v>TMP-INV-2026/06/14/ 2852312</v>
      </c>
      <c r="F897" s="24" t="str">
        <f>'DE ( Tarik barang retur )'!R874</f>
        <v>Invoice: TMP-INV-2026/06/14/ 2852312
2x TOPSY Galenium KRIM Tarik Barang Retur</v>
      </c>
      <c r="G897" s="36">
        <f>'DE ( Tarik barang retur )'!AF874</f>
        <v>46191</v>
      </c>
      <c r="H897" s="24"/>
      <c r="I897" s="24"/>
      <c r="J897" s="21" t="s">
        <v>5371</v>
      </c>
      <c r="K897" s="24"/>
      <c r="L897" s="24"/>
      <c r="M897" s="25" t="str">
        <f t="shared" si="13"/>
        <v>Pasuruan</v>
      </c>
      <c r="N897" s="25" t="str">
        <f t="shared" si="14"/>
        <v>Jawa Timur</v>
      </c>
      <c r="O897" s="25" t="str">
        <f>VLOOKUP(M897,'Mapping Area'!A:C,3,0)</f>
        <v>EJ</v>
      </c>
      <c r="P897" s="25"/>
      <c r="Q897" s="25"/>
      <c r="R897" s="25"/>
      <c r="S897" s="25"/>
      <c r="T897" s="25"/>
      <c r="U897" s="25"/>
      <c r="V897" s="25"/>
      <c r="W897" s="25"/>
      <c r="X897" s="25"/>
      <c r="Y897" s="25"/>
      <c r="Z897" s="25"/>
      <c r="AA897" s="25"/>
      <c r="AB897" s="25"/>
      <c r="AC897" s="25"/>
    </row>
    <row r="898">
      <c r="A898" s="24" t="str">
        <f>'DE ( Tarik barang retur )'!AC875</f>
        <v>AWBR-3321672627-01</v>
      </c>
      <c r="B898" s="24" t="str">
        <f>'DE ( Tarik barang retur )'!F875</f>
        <v>Apotek Meditama Midi</v>
      </c>
      <c r="C898" s="35">
        <f>'DE ( Tarik barang retur )'!G875</f>
        <v>8161388744</v>
      </c>
      <c r="D898" s="24" t="str">
        <f>'DE ( Tarik barang retur )'!H875</f>
        <v>Jalan Tarum Barat 2 Ruko Midi Niaga Blok C2 No.8-9 Desa Jayamukti Kecamatan Cikarang Pusat Kabupaten Bekasi 17531</v>
      </c>
      <c r="E898" s="24" t="str">
        <f>'DE ( Tarik barang retur )'!D875</f>
        <v>TMP-INV-2026/06/16/ 2858197</v>
      </c>
      <c r="F898" s="24" t="str">
        <f>'DE ( Tarik barang retur )'!R875</f>
        <v>Invoice: TMP-INV-2026/06/16/ 2858197
Complete Return Tarik Barang Retur</v>
      </c>
      <c r="G898" s="36">
        <f>'DE ( Tarik barang retur )'!AF875</f>
        <v>46191</v>
      </c>
      <c r="H898" s="24"/>
      <c r="I898" s="24"/>
      <c r="J898" s="21" t="s">
        <v>5371</v>
      </c>
      <c r="K898" s="24"/>
      <c r="L898" s="24"/>
      <c r="M898" s="25" t="str">
        <f t="shared" si="13"/>
        <v>Kabupaten Bekasi</v>
      </c>
      <c r="N898" s="25" t="str">
        <f t="shared" si="14"/>
        <v>Jawa Barat</v>
      </c>
      <c r="O898" s="25" t="str">
        <f>VLOOKUP(M898,'Mapping Area'!A:C,3,0)</f>
        <v>GJ</v>
      </c>
      <c r="P898" s="25"/>
      <c r="Q898" s="25"/>
      <c r="R898" s="25"/>
      <c r="S898" s="25"/>
      <c r="T898" s="25"/>
      <c r="U898" s="25"/>
      <c r="V898" s="25"/>
      <c r="W898" s="25"/>
      <c r="X898" s="25"/>
      <c r="Y898" s="25"/>
      <c r="Z898" s="25"/>
      <c r="AA898" s="25"/>
      <c r="AB898" s="25"/>
      <c r="AC898" s="25"/>
    </row>
    <row r="899">
      <c r="A899" s="24" t="str">
        <f>'DE ( Tarik barang retur )'!AC876</f>
        <v>AWBR-3321668077-01</v>
      </c>
      <c r="B899" s="24" t="str">
        <f>'DE ( Tarik barang retur )'!F876</f>
        <v>Apotek Azalea</v>
      </c>
      <c r="C899" s="35">
        <f>'DE ( Tarik barang retur )'!G876</f>
        <v>8176710000</v>
      </c>
      <c r="D899" s="24" t="str">
        <f>'DE ( Tarik barang retur )'!H876</f>
        <v>Ruko Arana Blok IX-2 No. 27 Kota Harapan Indah Kelurahan Setia Asih Kecamatan Tarumajaya Kabupaten Bekasi 17215</v>
      </c>
      <c r="E899" s="24" t="str">
        <f>'DE ( Tarik barang retur )'!D876</f>
        <v>TMP-INV-2026/06/16/ 2859451</v>
      </c>
      <c r="F899" s="24" t="str">
        <f>'DE ( Tarik barang retur )'!R876</f>
        <v>Invoice: TMP-INV-2026/06/16/ 2859451
1x BLACKMORES BIO C 1000 MG Kalbe Tarik Barang Retur</v>
      </c>
      <c r="G899" s="36">
        <f>'DE ( Tarik barang retur )'!AF876</f>
        <v>46191</v>
      </c>
      <c r="H899" s="24"/>
      <c r="I899" s="24"/>
      <c r="J899" s="21" t="s">
        <v>5371</v>
      </c>
      <c r="K899" s="24"/>
      <c r="L899" s="24"/>
      <c r="M899" s="25" t="str">
        <f t="shared" si="13"/>
        <v>Kabupaten Bekasi</v>
      </c>
      <c r="N899" s="25" t="str">
        <f t="shared" si="14"/>
        <v>Jawa Barat</v>
      </c>
      <c r="O899" s="25" t="str">
        <f>VLOOKUP(M899,'Mapping Area'!A:C,3,0)</f>
        <v>GJ</v>
      </c>
      <c r="P899" s="25"/>
      <c r="Q899" s="25"/>
      <c r="R899" s="25"/>
      <c r="S899" s="25"/>
      <c r="T899" s="25"/>
      <c r="U899" s="25"/>
      <c r="V899" s="25"/>
      <c r="W899" s="25"/>
      <c r="X899" s="25"/>
      <c r="Y899" s="25"/>
      <c r="Z899" s="25"/>
      <c r="AA899" s="25"/>
      <c r="AB899" s="25"/>
      <c r="AC899" s="25"/>
    </row>
    <row r="900">
      <c r="A900" s="24" t="str">
        <f>'DE ( Tarik barang retur )'!AC877</f>
        <v>AWBR-3321663473-01</v>
      </c>
      <c r="B900" s="24" t="str">
        <f>'DE ( Tarik barang retur )'!F877</f>
        <v>Apotek Meditama Midi</v>
      </c>
      <c r="C900" s="35">
        <f>'DE ( Tarik barang retur )'!G877</f>
        <v>8161388744</v>
      </c>
      <c r="D900" s="24" t="str">
        <f>'DE ( Tarik barang retur )'!H877</f>
        <v>Jalan Tarum Barat 2 Ruko Midi Niaga Blok C2 No.8-9 Desa Jayamukti Kecamatan Cikarang Pusat Kabupaten Bekasi 17531</v>
      </c>
      <c r="E900" s="24" t="str">
        <f>'DE ( Tarik barang retur )'!D877</f>
        <v>TMP-INV-2026/06/16/ 2858197</v>
      </c>
      <c r="F900" s="24" t="str">
        <f>'DE ( Tarik barang retur )'!R877</f>
        <v>Invoice: TMP-INV-2026/06/16/ 2858197
Complete Return Tarik Barang Retur</v>
      </c>
      <c r="G900" s="36">
        <f>'DE ( Tarik barang retur )'!AF877</f>
        <v>46191</v>
      </c>
      <c r="H900" s="24"/>
      <c r="I900" s="24"/>
      <c r="J900" s="21" t="s">
        <v>5371</v>
      </c>
      <c r="K900" s="24"/>
      <c r="L900" s="24"/>
      <c r="M900" s="25" t="str">
        <f t="shared" si="13"/>
        <v>Kabupaten Bekasi</v>
      </c>
      <c r="N900" s="25" t="str">
        <f t="shared" si="14"/>
        <v>Jawa Barat</v>
      </c>
      <c r="O900" s="25" t="str">
        <f>VLOOKUP(M900,'Mapping Area'!A:C,3,0)</f>
        <v>GJ</v>
      </c>
      <c r="P900" s="25"/>
      <c r="Q900" s="25"/>
      <c r="R900" s="25"/>
      <c r="S900" s="25"/>
      <c r="T900" s="25"/>
      <c r="U900" s="25"/>
      <c r="V900" s="25"/>
      <c r="W900" s="25"/>
      <c r="X900" s="25"/>
      <c r="Y900" s="25"/>
      <c r="Z900" s="25"/>
      <c r="AA900" s="25"/>
      <c r="AB900" s="25"/>
      <c r="AC900" s="25"/>
    </row>
    <row r="901">
      <c r="A901" s="24" t="str">
        <f>'DE ( Tarik barang retur )'!AC878</f>
        <v>AWBR-3321107191-01</v>
      </c>
      <c r="B901" s="24" t="str">
        <f>'DE ( Tarik barang retur )'!F878</f>
        <v>Apotek Bintang Sehat 1 Jayamulya Serang Baru</v>
      </c>
      <c r="C901" s="35">
        <f>'DE ( Tarik barang retur )'!G878</f>
        <v>6.28199E+17</v>
      </c>
      <c r="D901" s="24" t="str">
        <f>'DE ( Tarik barang retur )'!H878</f>
        <v>Perum Grand Vista Blok D1 RT 003 RW 009 Desa Jayamulya Kec. Serang Baru Kab. Bekasi</v>
      </c>
      <c r="E901" s="24" t="str">
        <f>'DE ( Tarik barang retur )'!D878</f>
        <v>TMP-INV-2026/06/14/ 2853170</v>
      </c>
      <c r="F901" s="24" t="str">
        <f>'DE ( Tarik barang retur )'!R878</f>
        <v>Invoice: TMP-INV-2026/06/14/ 2853170
5x AINIE EXTRACT PAPAYA BRIGHTENING SOAP WITH VITAMIN Sekawan Kosmetik SABUN BATANG Tarik Barang Retur</v>
      </c>
      <c r="G901" s="36">
        <f>'DE ( Tarik barang retur )'!AF878</f>
        <v>46191</v>
      </c>
      <c r="H901" s="24"/>
      <c r="I901" s="24"/>
      <c r="J901" s="21" t="s">
        <v>5371</v>
      </c>
      <c r="K901" s="24"/>
      <c r="L901" s="24"/>
      <c r="M901" s="25" t="str">
        <f t="shared" si="13"/>
        <v>Kabupaten Bekasi</v>
      </c>
      <c r="N901" s="25" t="str">
        <f t="shared" si="14"/>
        <v>Jawa Barat</v>
      </c>
      <c r="O901" s="25" t="str">
        <f>VLOOKUP(M901,'Mapping Area'!A:C,3,0)</f>
        <v>GJ</v>
      </c>
      <c r="P901" s="25"/>
      <c r="Q901" s="25"/>
      <c r="R901" s="25"/>
      <c r="S901" s="25"/>
      <c r="T901" s="25"/>
      <c r="U901" s="25"/>
      <c r="V901" s="25"/>
      <c r="W901" s="25"/>
      <c r="X901" s="25"/>
      <c r="Y901" s="25"/>
      <c r="Z901" s="25"/>
      <c r="AA901" s="25"/>
      <c r="AB901" s="25"/>
      <c r="AC901" s="25"/>
    </row>
    <row r="902">
      <c r="A902" s="24" t="str">
        <f>'DE ( Tarik barang retur )'!AC879</f>
        <v>AWBR-3321672195-01</v>
      </c>
      <c r="B902" s="24" t="str">
        <f>'DE ( Tarik barang retur )'!F879</f>
        <v>Apotek Marta Farma 2</v>
      </c>
      <c r="C902" s="35">
        <f>'DE ( Tarik barang retur )'!G879</f>
        <v>8121962657</v>
      </c>
      <c r="D902" s="24" t="str">
        <f>'DE ( Tarik barang retur )'!H879</f>
        <v>Jalan Raya Leuwiliang BTN Purnasari Blok E RT. 01 RW. 01 Desa Leuwiliang Kecamatan Leuwiliang Kabupaten Bogor 16640</v>
      </c>
      <c r="E902" s="24" t="str">
        <f>'DE ( Tarik barang retur )'!D879</f>
        <v>TMP-INV-2026/06/14/ 2852516</v>
      </c>
      <c r="F902" s="24" t="str">
        <f>'DE ( Tarik barang retur )'!R879</f>
        <v>Invoice: TMP-INV-2026/06/14/ 2852516
1x VISANNE Bayer TABLET 2 MG Tarik Barang Retur</v>
      </c>
      <c r="G902" s="36">
        <f>'DE ( Tarik barang retur )'!AF879</f>
        <v>46191</v>
      </c>
      <c r="H902" s="24"/>
      <c r="I902" s="24"/>
      <c r="J902" s="21" t="s">
        <v>5371</v>
      </c>
      <c r="K902" s="24"/>
      <c r="L902" s="24"/>
      <c r="M902" s="25" t="str">
        <f t="shared" si="13"/>
        <v>Kabupaten Bogor</v>
      </c>
      <c r="N902" s="25" t="str">
        <f t="shared" si="14"/>
        <v>Jawa Barat</v>
      </c>
      <c r="O902" s="25" t="str">
        <f>VLOOKUP(M902,'Mapping Area'!A:C,3,0)</f>
        <v>GJ</v>
      </c>
      <c r="P902" s="25"/>
      <c r="Q902" s="25"/>
      <c r="R902" s="25"/>
      <c r="S902" s="25"/>
      <c r="T902" s="25"/>
      <c r="U902" s="25"/>
      <c r="V902" s="25"/>
      <c r="W902" s="25"/>
      <c r="X902" s="25"/>
      <c r="Y902" s="25"/>
      <c r="Z902" s="25"/>
      <c r="AA902" s="25"/>
      <c r="AB902" s="25"/>
      <c r="AC902" s="25"/>
    </row>
    <row r="903">
      <c r="A903" s="24" t="str">
        <f>'DE ( Tarik barang retur )'!AC880</f>
        <v>AWBR-3321743913-01</v>
      </c>
      <c r="B903" s="24" t="str">
        <f>'DE ( Tarik barang retur )'!F880</f>
        <v>Apotek Siaga 25 Pucung Baru</v>
      </c>
      <c r="C903" s="35">
        <f>'DE ( Tarik barang retur )'!G880</f>
        <v>6.28219E+17</v>
      </c>
      <c r="D903" s="24" t="str">
        <f>'DE ( Tarik barang retur )'!H880</f>
        <v>Kp. Krajan RT/RW 002/003 Desa/Kelurahan Pucung Kecamatan Kotabaru Kabupaten Karawang</v>
      </c>
      <c r="E903" s="24" t="str">
        <f>'DE ( Tarik barang retur )'!D880</f>
        <v>TMP-INV-2026/06/15/ 2854246</v>
      </c>
      <c r="F903" s="24" t="str">
        <f>'DE ( Tarik barang retur )'!R880</f>
        <v>Invoice: TMP-INV-2026/06/15/ 2854246
2x BUFECT FORTE Sanbe SUSPENSI
1x CORTIDEX Sanbe TABLET 0.5 MG
1x FLAMAR Sanbe TABLET 50 MG
1x MUCERA Otto TABLET 30 MG
1x PARAMEX Konimex TABLET Tarik Barang Retur</v>
      </c>
      <c r="G903" s="36">
        <f>'DE ( Tarik barang retur )'!AF880</f>
        <v>46191</v>
      </c>
      <c r="H903" s="24"/>
      <c r="I903" s="24"/>
      <c r="J903" s="21" t="s">
        <v>5371</v>
      </c>
      <c r="K903" s="24"/>
      <c r="L903" s="24"/>
      <c r="M903" s="25" t="str">
        <f t="shared" si="13"/>
        <v>Karawang</v>
      </c>
      <c r="N903" s="25" t="str">
        <f t="shared" si="14"/>
        <v>West Java</v>
      </c>
      <c r="O903" s="49" t="s">
        <v>5372</v>
      </c>
      <c r="P903" s="25"/>
      <c r="Q903" s="25"/>
      <c r="R903" s="25"/>
      <c r="S903" s="25"/>
      <c r="T903" s="25"/>
      <c r="U903" s="25"/>
      <c r="V903" s="25"/>
      <c r="W903" s="25"/>
      <c r="X903" s="25"/>
      <c r="Y903" s="25"/>
      <c r="Z903" s="25"/>
      <c r="AA903" s="25"/>
      <c r="AB903" s="25"/>
      <c r="AC903" s="25"/>
    </row>
    <row r="904">
      <c r="A904" s="24" t="str">
        <f>'DE ( Tarik barang retur )'!AC881</f>
        <v>AWBR-3321680000-01</v>
      </c>
      <c r="B904" s="24" t="str">
        <f>'DE ( Tarik barang retur )'!F881</f>
        <v>Apotek Filia</v>
      </c>
      <c r="C904" s="35">
        <f>'DE ( Tarik barang retur )'!G881</f>
        <v>81260326214</v>
      </c>
      <c r="D904" s="24" t="str">
        <f>'DE ( Tarik barang retur )'!H881</f>
        <v>Jalan Alpukat Raya Blok VK No. 12B RT 006 RW 020 Kelurahan Pejuang Kecamatan Medan Satria Kota Bekasi 17131</v>
      </c>
      <c r="E904" s="24" t="str">
        <f>'DE ( Tarik barang retur )'!D881</f>
        <v>TMP-INV-2026/05/19/ 2761637</v>
      </c>
      <c r="F904" s="24" t="str">
        <f>'DE ( Tarik barang retur )'!R881</f>
        <v>Invoice: TMP-INV-2026/05/19/ 2761637
4x SALONPAS HOT Hisamitsu Tarik Barang Retur</v>
      </c>
      <c r="G904" s="36">
        <f>'DE ( Tarik barang retur )'!AF881</f>
        <v>46191</v>
      </c>
      <c r="H904" s="24"/>
      <c r="I904" s="24"/>
      <c r="J904" s="21" t="s">
        <v>5371</v>
      </c>
      <c r="K904" s="24"/>
      <c r="L904" s="24"/>
      <c r="M904" s="25" t="str">
        <f t="shared" si="13"/>
        <v>Kota Bekasi</v>
      </c>
      <c r="N904" s="25" t="str">
        <f t="shared" si="14"/>
        <v>Jawa Barat</v>
      </c>
      <c r="O904" s="25" t="str">
        <f>VLOOKUP(M904,'Mapping Area'!A:C,3,0)</f>
        <v>GJ</v>
      </c>
      <c r="P904" s="25"/>
      <c r="Q904" s="25"/>
      <c r="R904" s="25"/>
      <c r="S904" s="25"/>
      <c r="T904" s="25"/>
      <c r="U904" s="25"/>
      <c r="V904" s="25"/>
      <c r="W904" s="25"/>
      <c r="X904" s="25"/>
      <c r="Y904" s="25"/>
      <c r="Z904" s="25"/>
      <c r="AA904" s="25"/>
      <c r="AB904" s="25"/>
      <c r="AC904" s="25"/>
    </row>
    <row r="905">
      <c r="A905" s="24" t="str">
        <f>'DE ( Tarik barang retur )'!AC882</f>
        <v>AWBR-3321665756-01</v>
      </c>
      <c r="B905" s="24" t="str">
        <f>'DE ( Tarik barang retur )'!F882</f>
        <v>Apotek K24 Jatimakmur Jatimakmur Pondok Gede</v>
      </c>
      <c r="C905" s="35">
        <f>'DE ( Tarik barang retur )'!G882</f>
        <v>6.28198E+16</v>
      </c>
      <c r="D905" s="24" t="str">
        <f>'DE ( Tarik barang retur )'!H882</f>
        <v>Komplek Ruko Jatimakmur Residence Blok A No. 9 Rt/Rw : 001/RW 20, Desa/Kel. Jatimakmur, Kec. Pondokgede, Kota Bekasi</v>
      </c>
      <c r="E905" s="24" t="str">
        <f>'DE ( Tarik barang retur )'!D882</f>
        <v>TMP-INV-2026/06/15/ 2857352</v>
      </c>
      <c r="F905" s="24" t="str">
        <f>'DE ( Tarik barang retur )'!R882</f>
        <v>Invoice: TMP-INV-2026/06/15/ 2857352
1x ROSAGEN FORCE Interbat SERBUK Tarik Barang Retur</v>
      </c>
      <c r="G905" s="36">
        <f>'DE ( Tarik barang retur )'!AF882</f>
        <v>46191</v>
      </c>
      <c r="H905" s="24"/>
      <c r="I905" s="24"/>
      <c r="J905" s="21" t="s">
        <v>5371</v>
      </c>
      <c r="K905" s="24"/>
      <c r="L905" s="24"/>
      <c r="M905" s="25" t="str">
        <f t="shared" si="13"/>
        <v>Kota Bekasi</v>
      </c>
      <c r="N905" s="25" t="str">
        <f t="shared" si="14"/>
        <v>Jawa Barat</v>
      </c>
      <c r="O905" s="25" t="str">
        <f>VLOOKUP(M905,'Mapping Area'!A:C,3,0)</f>
        <v>GJ</v>
      </c>
      <c r="P905" s="25"/>
      <c r="Q905" s="25"/>
      <c r="R905" s="25"/>
      <c r="S905" s="25"/>
      <c r="T905" s="25"/>
      <c r="U905" s="25"/>
      <c r="V905" s="25"/>
      <c r="W905" s="25"/>
      <c r="X905" s="25"/>
      <c r="Y905" s="25"/>
      <c r="Z905" s="25"/>
      <c r="AA905" s="25"/>
      <c r="AB905" s="25"/>
      <c r="AC905" s="25"/>
    </row>
    <row r="906">
      <c r="A906" s="24" t="str">
        <f>'DE ( Tarik barang retur )'!AC883</f>
        <v>AWBR-3321662990-01</v>
      </c>
      <c r="B906" s="24" t="str">
        <f>'DE ( Tarik barang retur )'!F883</f>
        <v>Apotek Medpharm</v>
      </c>
      <c r="C906" s="35">
        <f>'DE ( Tarik barang retur )'!G883</f>
        <v>6.2813E+16</v>
      </c>
      <c r="D906" s="24" t="str">
        <f>'DE ( Tarik barang retur )'!H883</f>
        <v>Jl. Kemang Raya No. 60 Desa Cilodong Kecamatan Cilodong Kota Depok kode pos 16413</v>
      </c>
      <c r="E906" s="24" t="str">
        <f>'DE ( Tarik barang retur )'!D883</f>
        <v>TMP-INV-2026/06/16/ 2860901</v>
      </c>
      <c r="F906" s="24" t="str">
        <f>'DE ( Tarik barang retur )'!R883</f>
        <v>Invoice: TMP-INV-2026/06/16/ 2860901
1x INTERLAC Interbat SERBUK Tarik Barang Retur</v>
      </c>
      <c r="G906" s="36">
        <f>'DE ( Tarik barang retur )'!AF883</f>
        <v>46191</v>
      </c>
      <c r="H906" s="24"/>
      <c r="I906" s="24"/>
      <c r="J906" s="21" t="s">
        <v>5371</v>
      </c>
      <c r="K906" s="24"/>
      <c r="L906" s="24"/>
      <c r="M906" s="25" t="str">
        <f t="shared" si="13"/>
        <v>Kota Depok</v>
      </c>
      <c r="N906" s="25" t="str">
        <f t="shared" si="14"/>
        <v>Jawa Barat</v>
      </c>
      <c r="O906" s="25" t="str">
        <f>VLOOKUP(M906,'Mapping Area'!A:C,3,0)</f>
        <v>GJ</v>
      </c>
      <c r="P906" s="25"/>
      <c r="Q906" s="25"/>
      <c r="R906" s="25"/>
      <c r="S906" s="25"/>
      <c r="T906" s="25"/>
      <c r="U906" s="25"/>
      <c r="V906" s="25"/>
      <c r="W906" s="25"/>
      <c r="X906" s="25"/>
      <c r="Y906" s="25"/>
      <c r="Z906" s="25"/>
      <c r="AA906" s="25"/>
      <c r="AB906" s="25"/>
      <c r="AC906" s="25"/>
    </row>
    <row r="907">
      <c r="A907" s="24" t="str">
        <f>'DE ( Tarik barang retur )'!AC884</f>
        <v>AWBR-3321660207-01</v>
      </c>
      <c r="B907" s="24" t="str">
        <f>'DE ( Tarik barang retur )'!F884</f>
        <v>Apotek Berlian Farma</v>
      </c>
      <c r="C907" s="35">
        <f>'DE ( Tarik barang retur )'!G884</f>
        <v>85374101944</v>
      </c>
      <c r="D907" s="24" t="str">
        <f>'DE ( Tarik barang retur )'!H884</f>
        <v>Komplek Permata Jasindo Lestari Blok A6/14 RT.007 RW.004 Kelurahan Mekarsari, Kecamatan Cimanggis, Kota Depok 16452</v>
      </c>
      <c r="E907" s="24" t="str">
        <f>'DE ( Tarik barang retur )'!D884</f>
        <v>TMP-INV-2026/06/15/ 2857441</v>
      </c>
      <c r="F907" s="24" t="str">
        <f>'DE ( Tarik barang retur )'!R884</f>
        <v>Invoice: TMP-INV-2026/06/15/ 2857441
2x MINYAK ANGIN CAP KAPAK Yahi Utama Tarik Barang Retur</v>
      </c>
      <c r="G907" s="36">
        <f>'DE ( Tarik barang retur )'!AF884</f>
        <v>46191</v>
      </c>
      <c r="H907" s="24"/>
      <c r="I907" s="24"/>
      <c r="J907" s="21" t="s">
        <v>5371</v>
      </c>
      <c r="K907" s="24"/>
      <c r="L907" s="24"/>
      <c r="M907" s="25" t="str">
        <f t="shared" si="13"/>
        <v>Depok City</v>
      </c>
      <c r="N907" s="25" t="str">
        <f t="shared" si="14"/>
        <v>West Java</v>
      </c>
      <c r="O907" s="25" t="str">
        <f>VLOOKUP(M907,'Mapping Area'!A:C,3,0)</f>
        <v>GJ</v>
      </c>
      <c r="P907" s="25"/>
      <c r="Q907" s="25"/>
      <c r="R907" s="25"/>
      <c r="S907" s="25"/>
      <c r="T907" s="25"/>
      <c r="U907" s="25"/>
      <c r="V907" s="25"/>
      <c r="W907" s="25"/>
      <c r="X907" s="25"/>
      <c r="Y907" s="25"/>
      <c r="Z907" s="25"/>
      <c r="AA907" s="25"/>
      <c r="AB907" s="25"/>
      <c r="AC907" s="25"/>
    </row>
    <row r="908">
      <c r="A908" s="24" t="str">
        <f>'DE ( Tarik barang retur )'!AC885</f>
        <v>AWBR-3321096107-01</v>
      </c>
      <c r="B908" s="24" t="str">
        <f>'DE ( Tarik barang retur )'!F885</f>
        <v>Apotek K24 Meruyung Depok</v>
      </c>
      <c r="C908" s="35">
        <f>'DE ( Tarik barang retur )'!G885</f>
        <v>6.28132E+17</v>
      </c>
      <c r="D908" s="24" t="str">
        <f>'DE ( Tarik barang retur )'!H885</f>
        <v>Jl. Parung Bingung RT 01 RW 10 Kel. Rangkapan Jaya, Kec. Pancoran Mas, Kota Depok, 16434</v>
      </c>
      <c r="E908" s="24" t="str">
        <f>'DE ( Tarik barang retur )'!D885</f>
        <v>TMP-INV-2026/06/13/ 2851600</v>
      </c>
      <c r="F908" s="24" t="str">
        <f>'DE ( Tarik barang retur )'!R885</f>
        <v>Invoice: TMP-INV-2026/06/13/ 2851600
1x THIAMYCIN 1000 Interbat KAPLET Tarik Barang Retur</v>
      </c>
      <c r="G908" s="36">
        <f>'DE ( Tarik barang retur )'!AF885</f>
        <v>46191</v>
      </c>
      <c r="H908" s="24"/>
      <c r="I908" s="24"/>
      <c r="J908" s="21" t="s">
        <v>5371</v>
      </c>
      <c r="K908" s="24"/>
      <c r="L908" s="24"/>
      <c r="M908" s="25" t="str">
        <f t="shared" si="13"/>
        <v>Kota Depok</v>
      </c>
      <c r="N908" s="25" t="str">
        <f t="shared" si="14"/>
        <v>Jawa Barat</v>
      </c>
      <c r="O908" s="25" t="str">
        <f>VLOOKUP(M908,'Mapping Area'!A:C,3,0)</f>
        <v>GJ</v>
      </c>
      <c r="P908" s="25"/>
      <c r="Q908" s="25"/>
      <c r="R908" s="25"/>
      <c r="S908" s="25"/>
      <c r="T908" s="25"/>
      <c r="U908" s="25"/>
      <c r="V908" s="25"/>
      <c r="W908" s="25"/>
      <c r="X908" s="25"/>
      <c r="Y908" s="25"/>
      <c r="Z908" s="25"/>
      <c r="AA908" s="25"/>
      <c r="AB908" s="25"/>
      <c r="AC908" s="25"/>
    </row>
    <row r="909">
      <c r="A909" s="24" t="str">
        <f>'DE ( Tarik barang retur )'!AC886</f>
        <v>AWBR-916-2026-6-18-01</v>
      </c>
      <c r="B909" s="24" t="str">
        <f>'DE ( Tarik barang retur )'!F886</f>
        <v>Apotek Danez Farma Jatibening</v>
      </c>
      <c r="C909" s="35">
        <f>'DE ( Tarik barang retur )'!G886</f>
        <v>81317054040</v>
      </c>
      <c r="D909" s="24" t="str">
        <f>'DE ( Tarik barang retur )'!H886</f>
        <v>Jalan Jatibening Estate Kav.2 Kelurahan Jatibening Kecamatan Pondok Gede Kota Bekasi 17412</v>
      </c>
      <c r="E909" s="24" t="str">
        <f>'DE ( Tarik barang retur )'!D886</f>
        <v>TMP-INV-2026/06/01/ 2804943</v>
      </c>
      <c r="F909" s="24" t="str">
        <f>'DE ( Tarik barang retur )'!R886</f>
        <v>TMP-INV-2026/06/01/ 2804943 RECOVIT Global Multi Pharmalab SIRUP DUS, BOTOL 100 ML Tarik Barang Retur</v>
      </c>
      <c r="G909" s="36">
        <f>'DE ( Tarik barang retur )'!AF886</f>
        <v>46191</v>
      </c>
      <c r="H909" s="24"/>
      <c r="I909" s="24"/>
      <c r="J909" s="21" t="s">
        <v>5371</v>
      </c>
      <c r="K909" s="24"/>
      <c r="L909" s="24"/>
      <c r="M909" s="25" t="str">
        <f t="shared" si="13"/>
        <v>Kota Bekasi</v>
      </c>
      <c r="N909" s="25" t="str">
        <f t="shared" si="14"/>
        <v>Jawa Barat</v>
      </c>
      <c r="O909" s="25" t="str">
        <f>VLOOKUP(M909,'Mapping Area'!A:C,3,0)</f>
        <v>GJ</v>
      </c>
      <c r="P909" s="25"/>
      <c r="Q909" s="25"/>
      <c r="R909" s="25"/>
      <c r="S909" s="25"/>
      <c r="T909" s="25"/>
      <c r="U909" s="25"/>
      <c r="V909" s="25"/>
      <c r="W909" s="25"/>
      <c r="X909" s="25"/>
      <c r="Y909" s="25"/>
      <c r="Z909" s="25"/>
      <c r="AA909" s="25"/>
      <c r="AB909" s="25"/>
      <c r="AC909" s="25"/>
    </row>
    <row r="910">
      <c r="A910" s="24" t="str">
        <f>'DE ( Tarik barang retur )'!AC887</f>
        <v>AWBR-14012-2026-6-18-01</v>
      </c>
      <c r="B910" s="24" t="str">
        <f>'DE ( Tarik barang retur )'!F887</f>
        <v>Apotek Inofarma Karet Raya</v>
      </c>
      <c r="C910" s="35">
        <f>'DE ( Tarik barang retur )'!G887</f>
        <v>6.28592E+17</v>
      </c>
      <c r="D910" s="24" t="str">
        <f>'DE ( Tarik barang retur )'!H887</f>
        <v>Jl. Karet Raya 28, RT 005 RW 011, Kel. Cibodasari, Kec. Cibodas, Kota Tangerang</v>
      </c>
      <c r="E910" s="24" t="str">
        <f>'DE ( Tarik barang retur )'!D887</f>
        <v>TMP-INV-2026/06/15/ 2857810</v>
      </c>
      <c r="F910" s="24" t="str">
        <f>'DE ( Tarik barang retur )'!R887</f>
        <v>TMP-INV-2026/06/15/ 2857810 BODREXIN DEMAM Tempo Scan TABLET 120 MG DUS, 3 STRIP @ 4 TABLET KUNYAH Tarik Barang Damaged</v>
      </c>
      <c r="G910" s="36">
        <f>'DE ( Tarik barang retur )'!AF887</f>
        <v>46191</v>
      </c>
      <c r="H910" s="24"/>
      <c r="I910" s="24"/>
      <c r="J910" s="21" t="s">
        <v>5371</v>
      </c>
      <c r="K910" s="24"/>
      <c r="L910" s="24"/>
      <c r="M910" s="25" t="str">
        <f t="shared" si="13"/>
        <v>Kota Tangerang</v>
      </c>
      <c r="N910" s="25" t="str">
        <f t="shared" si="14"/>
        <v>Banten</v>
      </c>
      <c r="O910" s="25" t="str">
        <f>VLOOKUP(M910,'Mapping Area'!A:C,3,0)</f>
        <v>GJ</v>
      </c>
      <c r="P910" s="25"/>
      <c r="Q910" s="25"/>
      <c r="R910" s="25"/>
      <c r="S910" s="25"/>
      <c r="T910" s="25"/>
      <c r="U910" s="25"/>
      <c r="V910" s="25"/>
      <c r="W910" s="25"/>
      <c r="X910" s="25"/>
      <c r="Y910" s="25"/>
      <c r="Z910" s="25"/>
      <c r="AA910" s="25"/>
      <c r="AB910" s="25"/>
      <c r="AC910" s="25"/>
    </row>
    <row r="911">
      <c r="A911" s="24" t="str">
        <f>'DE ( Tarik barang retur )'!AC888</f>
        <v>AWBR-14002-2026-6-18-01</v>
      </c>
      <c r="B911" s="24" t="str">
        <f>'DE ( Tarik barang retur )'!F888</f>
        <v>Apotek Inofarma Kayu Manis</v>
      </c>
      <c r="C911" s="35">
        <f>'DE ( Tarik barang retur )'!G888</f>
        <v>6.28512E+17</v>
      </c>
      <c r="D911" s="24" t="str">
        <f>'DE ( Tarik barang retur )'!H888</f>
        <v>Jl. Kayu Manis RT 06 RW 05, Balekambang, Kec. Kramat Jati Kota Jakarta Timur</v>
      </c>
      <c r="E911" s="24" t="str">
        <f>'DE ( Tarik barang retur )'!D888</f>
        <v>TMP-INV-2026/06/06/ 2826113</v>
      </c>
      <c r="F911" s="24" t="str">
        <f>'DE ( Tarik barang retur )'!R888</f>
        <v>TMP-INV-2026/06/06/ 2826113 PIBAKSIN Sanbe SALEP DUS, TUBE @ 10 G Tarik Barang Retur</v>
      </c>
      <c r="G911" s="36">
        <f>'DE ( Tarik barang retur )'!AF888</f>
        <v>46191</v>
      </c>
      <c r="H911" s="24"/>
      <c r="I911" s="24"/>
      <c r="J911" s="21" t="s">
        <v>5371</v>
      </c>
      <c r="K911" s="24"/>
      <c r="L911" s="24"/>
      <c r="M911" s="25" t="str">
        <f t="shared" si="13"/>
        <v>Kota Jakarta Timur</v>
      </c>
      <c r="N911" s="25" t="str">
        <f t="shared" si="14"/>
        <v>Daerah Khusus Ibukota Jakarta</v>
      </c>
      <c r="O911" s="25" t="str">
        <f>VLOOKUP(M911,'Mapping Area'!A:C,3,0)</f>
        <v>GJ</v>
      </c>
      <c r="P911" s="25"/>
      <c r="Q911" s="25"/>
      <c r="R911" s="25"/>
      <c r="S911" s="25"/>
      <c r="T911" s="25"/>
      <c r="U911" s="25"/>
      <c r="V911" s="25"/>
      <c r="W911" s="25"/>
      <c r="X911" s="25"/>
      <c r="Y911" s="25"/>
      <c r="Z911" s="25"/>
      <c r="AA911" s="25"/>
      <c r="AB911" s="25"/>
      <c r="AC911" s="25"/>
    </row>
    <row r="912">
      <c r="A912" s="24" t="str">
        <f>'DE ( Tarik barang retur )'!AC889</f>
        <v>AWBR-14025-2026-6-18-01</v>
      </c>
      <c r="B912" s="24" t="str">
        <f>'DE ( Tarik barang retur )'!F889</f>
        <v>Apotek Inofarma Syahdan</v>
      </c>
      <c r="C912" s="35">
        <f>'DE ( Tarik barang retur )'!G889</f>
        <v>6.28789E+17</v>
      </c>
      <c r="D912" s="24" t="str">
        <f>'DE ( Tarik barang retur )'!H889</f>
        <v>Jl. K.H. Syahdan No. 02 RT 003 RW 011, Kel. Palmerah, Kec. Pal Merah, Kota Jakarta Barat</v>
      </c>
      <c r="E912" s="24" t="str">
        <f>'DE ( Tarik barang retur )'!D889</f>
        <v>TMP-INV-2026/05/31/ 2800883</v>
      </c>
      <c r="F912" s="24" t="str">
        <f>'DE ( Tarik barang retur )'!R889</f>
        <v>TMP-INV-2026/05/31/ 2800883 CINOLON Sanbe KRIM DUS, 1 TUBE @ 10 G Tarik Barang Retur</v>
      </c>
      <c r="G912" s="36">
        <f>'DE ( Tarik barang retur )'!AF889</f>
        <v>46191</v>
      </c>
      <c r="H912" s="24"/>
      <c r="I912" s="24"/>
      <c r="J912" s="21" t="s">
        <v>5371</v>
      </c>
      <c r="K912" s="24"/>
      <c r="L912" s="24"/>
      <c r="M912" s="25" t="str">
        <f t="shared" si="13"/>
        <v>Kota Jakarta Barat</v>
      </c>
      <c r="N912" s="25" t="str">
        <f t="shared" si="14"/>
        <v>Daerah Khusus Ibukota Jakarta</v>
      </c>
      <c r="O912" s="25" t="str">
        <f>VLOOKUP(M912,'Mapping Area'!A:C,3,0)</f>
        <v>GJ</v>
      </c>
      <c r="P912" s="25"/>
      <c r="Q912" s="25"/>
      <c r="R912" s="25"/>
      <c r="S912" s="25"/>
      <c r="T912" s="25"/>
      <c r="U912" s="25"/>
      <c r="V912" s="25"/>
      <c r="W912" s="25"/>
      <c r="X912" s="25"/>
      <c r="Y912" s="25"/>
      <c r="Z912" s="25"/>
      <c r="AA912" s="25"/>
      <c r="AB912" s="25"/>
      <c r="AC912" s="25"/>
    </row>
    <row r="913">
      <c r="A913" s="24" t="str">
        <f>'DE ( Tarik barang retur )'!AC890</f>
        <v>AWBR-14008-2026-6-18-01</v>
      </c>
      <c r="B913" s="24" t="str">
        <f>'DE ( Tarik barang retur )'!F890</f>
        <v>Apotek Inofarma Tanah Pasir</v>
      </c>
      <c r="C913" s="35">
        <f>'DE ( Tarik barang retur )'!G890</f>
        <v>6.28598E+17</v>
      </c>
      <c r="D913" s="24" t="str">
        <f>'DE ( Tarik barang retur )'!H890</f>
        <v>Jl. Tanah Pasir No. 1 RT 16 RW 11, Kel. Penjaringan, Kec. Penjaringan, Jakarta Utara</v>
      </c>
      <c r="E913" s="24" t="str">
        <f>'DE ( Tarik barang retur )'!D890</f>
        <v>TMP-INV-2026/06/06/ 2822766</v>
      </c>
      <c r="F913" s="24" t="str">
        <f>'DE ( Tarik barang retur )'!R890</f>
        <v>TMP-INV-2026/06/06/ 2822766 MILNA BUBUR BAYI 6+ RASA SUP AYAM WORTEL POUCH @ 120 G Tarik Barang Retur</v>
      </c>
      <c r="G913" s="36">
        <f>'DE ( Tarik barang retur )'!AF890</f>
        <v>46191</v>
      </c>
      <c r="H913" s="24"/>
      <c r="I913" s="24"/>
      <c r="J913" s="21" t="s">
        <v>5371</v>
      </c>
      <c r="K913" s="24"/>
      <c r="L913" s="24"/>
      <c r="M913" s="25" t="str">
        <f t="shared" si="13"/>
        <v>Jakarta Utara</v>
      </c>
      <c r="N913" s="25" t="str">
        <f t="shared" si="14"/>
        <v>Daerah Khusus Ibukota Jakarta</v>
      </c>
      <c r="O913" s="25" t="str">
        <f>VLOOKUP(M913,'Mapping Area'!A:C,3,0)</f>
        <v>GJ</v>
      </c>
      <c r="P913" s="25"/>
      <c r="Q913" s="25"/>
      <c r="R913" s="25"/>
      <c r="S913" s="25"/>
      <c r="T913" s="25"/>
      <c r="U913" s="25"/>
      <c r="V913" s="25"/>
      <c r="W913" s="25"/>
      <c r="X913" s="25"/>
      <c r="Y913" s="25"/>
      <c r="Z913" s="25"/>
      <c r="AA913" s="25"/>
      <c r="AB913" s="25"/>
      <c r="AC913" s="25"/>
    </row>
    <row r="914">
      <c r="A914" s="24" t="str">
        <f>'DE ( Tarik barang retur )'!AC891</f>
        <v>AWBR-11155-2026-6-18-01</v>
      </c>
      <c r="B914" s="24" t="str">
        <f>'DE ( Tarik barang retur )'!F891</f>
        <v>Apotek Tumbuh Sehat Mekar Jaya Sukmajaya</v>
      </c>
      <c r="C914" s="35">
        <f>'DE ( Tarik barang retur )'!G891</f>
        <v>6.28132E+17</v>
      </c>
      <c r="D914" s="24" t="str">
        <f>'DE ( Tarik barang retur )'!H891</f>
        <v>Jl. Tole iskandar No 12A RT 001/001 Kel. Mekarjaya Kec. Sukmajaya Depok 16411</v>
      </c>
      <c r="E914" s="24" t="str">
        <f>'DE ( Tarik barang retur )'!D891</f>
        <v>TMP-INV-2024/04/13/ 726060</v>
      </c>
      <c r="F914" s="24" t="str">
        <f>'DE ( Tarik barang retur )'!R891</f>
        <v>TMP-INV-2024/04/13/ 726060 DIPROGENTA Organon SALEP DUS, TUBE @ 10 G Tarik Barang Retur</v>
      </c>
      <c r="G914" s="36">
        <f>'DE ( Tarik barang retur )'!AF891</f>
        <v>46191</v>
      </c>
      <c r="H914" s="24"/>
      <c r="I914" s="24"/>
      <c r="J914" s="21" t="s">
        <v>5371</v>
      </c>
      <c r="K914" s="24"/>
      <c r="L914" s="24"/>
      <c r="M914" s="25" t="str">
        <f t="shared" si="13"/>
        <v>Kota Depok</v>
      </c>
      <c r="N914" s="25" t="str">
        <f t="shared" si="14"/>
        <v>Jawa Barat</v>
      </c>
      <c r="O914" s="25" t="str">
        <f>VLOOKUP(M914,'Mapping Area'!A:C,3,0)</f>
        <v>GJ</v>
      </c>
      <c r="P914" s="25"/>
      <c r="Q914" s="25"/>
      <c r="R914" s="25"/>
      <c r="S914" s="25"/>
      <c r="T914" s="25"/>
      <c r="U914" s="25"/>
      <c r="V914" s="25"/>
      <c r="W914" s="25"/>
      <c r="X914" s="25"/>
      <c r="Y914" s="25"/>
      <c r="Z914" s="25"/>
      <c r="AA914" s="25"/>
      <c r="AB914" s="25"/>
      <c r="AC914" s="25"/>
    </row>
    <row r="915">
      <c r="A915" s="24" t="str">
        <f>'DE ( Tarik barang retur )'!AC892</f>
        <v/>
      </c>
      <c r="B915" s="24" t="str">
        <f>'DE ( Tarik barang retur )'!F892</f>
        <v/>
      </c>
      <c r="C915" s="24" t="str">
        <f>'DE ( Tarik barang retur )'!G892</f>
        <v/>
      </c>
      <c r="D915" s="24" t="str">
        <f>'DE ( Tarik barang retur )'!H892</f>
        <v/>
      </c>
      <c r="E915" s="24" t="str">
        <f>'DE ( Tarik barang retur )'!D892</f>
        <v/>
      </c>
      <c r="F915" s="24" t="str">
        <f>'DE ( Tarik barang retur )'!R892</f>
        <v/>
      </c>
      <c r="G915" s="24" t="str">
        <f>'DE ( Tarik barang retur )'!AF892</f>
        <v/>
      </c>
      <c r="H915" s="24"/>
      <c r="I915" s="24"/>
      <c r="J915" s="24"/>
      <c r="K915" s="24"/>
      <c r="L915" s="24"/>
      <c r="M915" s="24"/>
      <c r="N915" s="24"/>
      <c r="O915" s="24"/>
      <c r="P915" s="25"/>
      <c r="Q915" s="25"/>
      <c r="R915" s="25"/>
      <c r="S915" s="25"/>
      <c r="T915" s="25"/>
      <c r="U915" s="25"/>
      <c r="V915" s="25"/>
      <c r="W915" s="25"/>
      <c r="X915" s="25"/>
      <c r="Y915" s="25"/>
      <c r="Z915" s="25"/>
      <c r="AA915" s="25"/>
      <c r="AB915" s="25"/>
      <c r="AC915" s="25"/>
    </row>
    <row r="916">
      <c r="A916" s="24" t="str">
        <f>'DE ( Tarik barang retur )'!AC893</f>
        <v/>
      </c>
      <c r="B916" s="24" t="str">
        <f>'DE ( Tarik barang retur )'!F893</f>
        <v/>
      </c>
      <c r="C916" s="24" t="str">
        <f>'DE ( Tarik barang retur )'!G893</f>
        <v/>
      </c>
      <c r="D916" s="24" t="str">
        <f>'DE ( Tarik barang retur )'!H893</f>
        <v/>
      </c>
      <c r="E916" s="24" t="str">
        <f>'DE ( Tarik barang retur )'!D893</f>
        <v/>
      </c>
      <c r="F916" s="24" t="str">
        <f>'DE ( Tarik barang retur )'!R893</f>
        <v/>
      </c>
      <c r="G916" s="24" t="str">
        <f>'DE ( Tarik barang retur )'!AF893</f>
        <v/>
      </c>
      <c r="H916" s="24"/>
      <c r="I916" s="24"/>
      <c r="J916" s="24"/>
      <c r="K916" s="24"/>
      <c r="L916" s="24"/>
      <c r="M916" s="24"/>
      <c r="N916" s="24"/>
      <c r="O916" s="24"/>
      <c r="P916" s="25"/>
      <c r="Q916" s="25"/>
      <c r="R916" s="25"/>
      <c r="S916" s="25"/>
      <c r="T916" s="25"/>
      <c r="U916" s="25"/>
      <c r="V916" s="25"/>
      <c r="W916" s="25"/>
      <c r="X916" s="25"/>
      <c r="Y916" s="25"/>
      <c r="Z916" s="25"/>
      <c r="AA916" s="25"/>
      <c r="AB916" s="25"/>
      <c r="AC916" s="25"/>
    </row>
    <row r="917">
      <c r="A917" s="24" t="str">
        <f>'DE ( Tarik barang retur )'!AC894</f>
        <v/>
      </c>
      <c r="B917" s="24" t="str">
        <f>'DE ( Tarik barang retur )'!F894</f>
        <v/>
      </c>
      <c r="C917" s="24" t="str">
        <f>'DE ( Tarik barang retur )'!G894</f>
        <v/>
      </c>
      <c r="D917" s="24" t="str">
        <f>'DE ( Tarik barang retur )'!H894</f>
        <v/>
      </c>
      <c r="E917" s="24" t="str">
        <f>'DE ( Tarik barang retur )'!D894</f>
        <v/>
      </c>
      <c r="F917" s="24" t="str">
        <f>'DE ( Tarik barang retur )'!R894</f>
        <v/>
      </c>
      <c r="G917" s="24" t="str">
        <f>'DE ( Tarik barang retur )'!AF894</f>
        <v/>
      </c>
      <c r="H917" s="24"/>
      <c r="I917" s="24"/>
      <c r="J917" s="24"/>
      <c r="K917" s="24"/>
      <c r="L917" s="24"/>
      <c r="M917" s="24"/>
      <c r="N917" s="24"/>
      <c r="O917" s="24"/>
      <c r="P917" s="25"/>
      <c r="Q917" s="25"/>
      <c r="R917" s="25"/>
      <c r="S917" s="25"/>
      <c r="T917" s="25"/>
      <c r="U917" s="25"/>
      <c r="V917" s="25"/>
      <c r="W917" s="25"/>
      <c r="X917" s="25"/>
      <c r="Y917" s="25"/>
      <c r="Z917" s="25"/>
      <c r="AA917" s="25"/>
      <c r="AB917" s="25"/>
      <c r="AC917" s="25"/>
    </row>
    <row r="918">
      <c r="A918" s="24" t="str">
        <f>'DE ( Tarik barang retur )'!AC895</f>
        <v/>
      </c>
      <c r="B918" s="24" t="str">
        <f>'DE ( Tarik barang retur )'!F895</f>
        <v/>
      </c>
      <c r="C918" s="24" t="str">
        <f>'DE ( Tarik barang retur )'!G895</f>
        <v/>
      </c>
      <c r="D918" s="24" t="str">
        <f>'DE ( Tarik barang retur )'!H895</f>
        <v/>
      </c>
      <c r="E918" s="24" t="str">
        <f>'DE ( Tarik barang retur )'!D895</f>
        <v/>
      </c>
      <c r="F918" s="24" t="str">
        <f>'DE ( Tarik barang retur )'!R895</f>
        <v/>
      </c>
      <c r="G918" s="24" t="str">
        <f>'DE ( Tarik barang retur )'!AF895</f>
        <v/>
      </c>
      <c r="H918" s="24"/>
      <c r="I918" s="24"/>
      <c r="J918" s="24"/>
      <c r="K918" s="24"/>
      <c r="L918" s="24"/>
      <c r="M918" s="24"/>
      <c r="N918" s="24"/>
      <c r="O918" s="24"/>
      <c r="P918" s="25"/>
      <c r="Q918" s="25"/>
      <c r="R918" s="25"/>
      <c r="S918" s="25"/>
      <c r="T918" s="25"/>
      <c r="U918" s="25"/>
      <c r="V918" s="25"/>
      <c r="W918" s="25"/>
      <c r="X918" s="25"/>
      <c r="Y918" s="25"/>
      <c r="Z918" s="25"/>
      <c r="AA918" s="25"/>
      <c r="AB918" s="25"/>
      <c r="AC918" s="25"/>
    </row>
    <row r="919">
      <c r="A919" s="24" t="str">
        <f>'DE ( Tarik barang retur )'!AC896</f>
        <v/>
      </c>
      <c r="B919" s="24" t="str">
        <f>'DE ( Tarik barang retur )'!F896</f>
        <v/>
      </c>
      <c r="C919" s="24" t="str">
        <f>'DE ( Tarik barang retur )'!G896</f>
        <v/>
      </c>
      <c r="D919" s="24" t="str">
        <f>'DE ( Tarik barang retur )'!H896</f>
        <v/>
      </c>
      <c r="E919" s="24" t="str">
        <f>'DE ( Tarik barang retur )'!D896</f>
        <v/>
      </c>
      <c r="F919" s="24" t="str">
        <f>'DE ( Tarik barang retur )'!R896</f>
        <v/>
      </c>
      <c r="G919" s="24" t="str">
        <f>'DE ( Tarik barang retur )'!AF896</f>
        <v/>
      </c>
      <c r="H919" s="24"/>
      <c r="I919" s="24"/>
      <c r="J919" s="24"/>
      <c r="K919" s="24"/>
      <c r="L919" s="24"/>
      <c r="M919" s="24"/>
      <c r="N919" s="24"/>
      <c r="O919" s="24"/>
      <c r="P919" s="25"/>
      <c r="Q919" s="25"/>
      <c r="R919" s="25"/>
      <c r="S919" s="25"/>
      <c r="T919" s="25"/>
      <c r="U919" s="25"/>
      <c r="V919" s="25"/>
      <c r="W919" s="25"/>
      <c r="X919" s="25"/>
      <c r="Y919" s="25"/>
      <c r="Z919" s="25"/>
      <c r="AA919" s="25"/>
      <c r="AB919" s="25"/>
      <c r="AC919" s="25"/>
    </row>
    <row r="920">
      <c r="A920" s="24" t="str">
        <f>'DE ( Tarik barang retur )'!AC897</f>
        <v/>
      </c>
      <c r="B920" s="24" t="str">
        <f>'DE ( Tarik barang retur )'!F897</f>
        <v/>
      </c>
      <c r="C920" s="24" t="str">
        <f>'DE ( Tarik barang retur )'!G897</f>
        <v/>
      </c>
      <c r="D920" s="24" t="str">
        <f>'DE ( Tarik barang retur )'!H897</f>
        <v/>
      </c>
      <c r="E920" s="24" t="str">
        <f>'DE ( Tarik barang retur )'!D897</f>
        <v/>
      </c>
      <c r="F920" s="24" t="str">
        <f>'DE ( Tarik barang retur )'!R897</f>
        <v/>
      </c>
      <c r="G920" s="24" t="str">
        <f>'DE ( Tarik barang retur )'!AF897</f>
        <v/>
      </c>
      <c r="H920" s="24"/>
      <c r="I920" s="24"/>
      <c r="J920" s="24"/>
      <c r="K920" s="24"/>
      <c r="L920" s="24"/>
      <c r="M920" s="24"/>
      <c r="N920" s="24"/>
      <c r="O920" s="24"/>
      <c r="P920" s="25"/>
      <c r="Q920" s="25"/>
      <c r="R920" s="25"/>
      <c r="S920" s="25"/>
      <c r="T920" s="25"/>
      <c r="U920" s="25"/>
      <c r="V920" s="25"/>
      <c r="W920" s="25"/>
      <c r="X920" s="25"/>
      <c r="Y920" s="25"/>
      <c r="Z920" s="25"/>
      <c r="AA920" s="25"/>
      <c r="AB920" s="25"/>
      <c r="AC920" s="25"/>
    </row>
    <row r="921">
      <c r="A921" s="24" t="str">
        <f>'DE ( Tarik barang retur )'!AC898</f>
        <v/>
      </c>
      <c r="B921" s="24" t="str">
        <f>'DE ( Tarik barang retur )'!F898</f>
        <v/>
      </c>
      <c r="C921" s="24" t="str">
        <f>'DE ( Tarik barang retur )'!G898</f>
        <v/>
      </c>
      <c r="D921" s="24" t="str">
        <f>'DE ( Tarik barang retur )'!H898</f>
        <v/>
      </c>
      <c r="E921" s="24" t="str">
        <f>'DE ( Tarik barang retur )'!D898</f>
        <v/>
      </c>
      <c r="F921" s="24" t="str">
        <f>'DE ( Tarik barang retur )'!R898</f>
        <v/>
      </c>
      <c r="G921" s="24" t="str">
        <f>'DE ( Tarik barang retur )'!AF898</f>
        <v/>
      </c>
      <c r="H921" s="24"/>
      <c r="I921" s="24"/>
      <c r="J921" s="24"/>
      <c r="K921" s="24"/>
      <c r="L921" s="24"/>
      <c r="M921" s="24"/>
      <c r="N921" s="24"/>
      <c r="O921" s="24"/>
      <c r="P921" s="25"/>
      <c r="Q921" s="25"/>
      <c r="R921" s="25"/>
      <c r="S921" s="25"/>
      <c r="T921" s="25"/>
      <c r="U921" s="25"/>
      <c r="V921" s="25"/>
      <c r="W921" s="25"/>
      <c r="X921" s="25"/>
      <c r="Y921" s="25"/>
      <c r="Z921" s="25"/>
      <c r="AA921" s="25"/>
      <c r="AB921" s="25"/>
      <c r="AC921" s="25"/>
    </row>
    <row r="922">
      <c r="A922" s="24" t="str">
        <f>'DE ( Tarik barang retur )'!AC899</f>
        <v/>
      </c>
      <c r="B922" s="24" t="str">
        <f>'DE ( Tarik barang retur )'!F899</f>
        <v/>
      </c>
      <c r="C922" s="24" t="str">
        <f>'DE ( Tarik barang retur )'!G899</f>
        <v/>
      </c>
      <c r="D922" s="24" t="str">
        <f>'DE ( Tarik barang retur )'!H899</f>
        <v/>
      </c>
      <c r="E922" s="24" t="str">
        <f>'DE ( Tarik barang retur )'!D899</f>
        <v/>
      </c>
      <c r="F922" s="24" t="str">
        <f>'DE ( Tarik barang retur )'!R899</f>
        <v/>
      </c>
      <c r="G922" s="24" t="str">
        <f>'DE ( Tarik barang retur )'!AF899</f>
        <v/>
      </c>
      <c r="H922" s="24"/>
      <c r="I922" s="24"/>
      <c r="J922" s="24"/>
      <c r="K922" s="24"/>
      <c r="L922" s="24"/>
      <c r="M922" s="24"/>
      <c r="N922" s="24"/>
      <c r="O922" s="24"/>
      <c r="P922" s="25"/>
      <c r="Q922" s="25"/>
      <c r="R922" s="25"/>
      <c r="S922" s="25"/>
      <c r="T922" s="25"/>
      <c r="U922" s="25"/>
      <c r="V922" s="25"/>
      <c r="W922" s="25"/>
      <c r="X922" s="25"/>
      <c r="Y922" s="25"/>
      <c r="Z922" s="25"/>
      <c r="AA922" s="25"/>
      <c r="AB922" s="25"/>
      <c r="AC922" s="25"/>
    </row>
    <row r="923">
      <c r="A923" s="24" t="str">
        <f>'DE ( Tarik barang retur )'!AC900</f>
        <v/>
      </c>
      <c r="B923" s="24" t="str">
        <f>'DE ( Tarik barang retur )'!F900</f>
        <v/>
      </c>
      <c r="C923" s="24" t="str">
        <f>'DE ( Tarik barang retur )'!G900</f>
        <v/>
      </c>
      <c r="D923" s="24" t="str">
        <f>'DE ( Tarik barang retur )'!H900</f>
        <v/>
      </c>
      <c r="E923" s="24" t="str">
        <f>'DE ( Tarik barang retur )'!D900</f>
        <v/>
      </c>
      <c r="F923" s="24" t="str">
        <f>'DE ( Tarik barang retur )'!R900</f>
        <v/>
      </c>
      <c r="G923" s="24" t="str">
        <f>'DE ( Tarik barang retur )'!AF900</f>
        <v/>
      </c>
      <c r="H923" s="24"/>
      <c r="I923" s="24"/>
      <c r="J923" s="24"/>
      <c r="K923" s="24"/>
      <c r="L923" s="24"/>
      <c r="M923" s="24"/>
      <c r="N923" s="24"/>
      <c r="O923" s="24"/>
      <c r="P923" s="25"/>
      <c r="Q923" s="25"/>
      <c r="R923" s="25"/>
      <c r="S923" s="25"/>
      <c r="T923" s="25"/>
      <c r="U923" s="25"/>
      <c r="V923" s="25"/>
      <c r="W923" s="25"/>
      <c r="X923" s="25"/>
      <c r="Y923" s="25"/>
      <c r="Z923" s="25"/>
      <c r="AA923" s="25"/>
      <c r="AB923" s="25"/>
      <c r="AC923" s="25"/>
    </row>
    <row r="924">
      <c r="A924" s="24" t="str">
        <f>'DE ( Tarik barang retur )'!AC901</f>
        <v/>
      </c>
      <c r="B924" s="24" t="str">
        <f>'DE ( Tarik barang retur )'!F901</f>
        <v/>
      </c>
      <c r="C924" s="24" t="str">
        <f>'DE ( Tarik barang retur )'!G901</f>
        <v/>
      </c>
      <c r="D924" s="24" t="str">
        <f>'DE ( Tarik barang retur )'!H901</f>
        <v/>
      </c>
      <c r="E924" s="24" t="str">
        <f>'DE ( Tarik barang retur )'!D901</f>
        <v/>
      </c>
      <c r="F924" s="24" t="str">
        <f>'DE ( Tarik barang retur )'!R901</f>
        <v/>
      </c>
      <c r="G924" s="24" t="str">
        <f>'DE ( Tarik barang retur )'!AF901</f>
        <v/>
      </c>
      <c r="H924" s="24"/>
      <c r="I924" s="24"/>
      <c r="J924" s="24"/>
      <c r="K924" s="24"/>
      <c r="L924" s="24"/>
      <c r="M924" s="24"/>
      <c r="N924" s="24"/>
      <c r="O924" s="24"/>
      <c r="P924" s="25"/>
      <c r="Q924" s="25"/>
      <c r="R924" s="25"/>
      <c r="S924" s="25"/>
      <c r="T924" s="25"/>
      <c r="U924" s="25"/>
      <c r="V924" s="25"/>
      <c r="W924" s="25"/>
      <c r="X924" s="25"/>
      <c r="Y924" s="25"/>
      <c r="Z924" s="25"/>
      <c r="AA924" s="25"/>
      <c r="AB924" s="25"/>
      <c r="AC924" s="25"/>
    </row>
    <row r="925">
      <c r="A925" s="24" t="str">
        <f>'DE ( Tarik barang retur )'!AC902</f>
        <v/>
      </c>
      <c r="B925" s="24" t="str">
        <f>'DE ( Tarik barang retur )'!F902</f>
        <v/>
      </c>
      <c r="C925" s="24" t="str">
        <f>'DE ( Tarik barang retur )'!G902</f>
        <v/>
      </c>
      <c r="D925" s="24" t="str">
        <f>'DE ( Tarik barang retur )'!H902</f>
        <v/>
      </c>
      <c r="E925" s="24" t="str">
        <f>'DE ( Tarik barang retur )'!D902</f>
        <v/>
      </c>
      <c r="F925" s="24" t="str">
        <f>'DE ( Tarik barang retur )'!R902</f>
        <v/>
      </c>
      <c r="G925" s="24" t="str">
        <f>'DE ( Tarik barang retur )'!AF902</f>
        <v/>
      </c>
      <c r="H925" s="24"/>
      <c r="I925" s="24"/>
      <c r="J925" s="24"/>
      <c r="K925" s="24"/>
      <c r="L925" s="24"/>
      <c r="M925" s="24"/>
      <c r="N925" s="24"/>
      <c r="O925" s="24"/>
      <c r="P925" s="25"/>
      <c r="Q925" s="25"/>
      <c r="R925" s="25"/>
      <c r="S925" s="25"/>
      <c r="T925" s="25"/>
      <c r="U925" s="25"/>
      <c r="V925" s="25"/>
      <c r="W925" s="25"/>
      <c r="X925" s="25"/>
      <c r="Y925" s="25"/>
      <c r="Z925" s="25"/>
      <c r="AA925" s="25"/>
      <c r="AB925" s="25"/>
      <c r="AC925" s="25"/>
    </row>
    <row r="926">
      <c r="A926" s="24" t="str">
        <f>'DE ( Tarik barang retur )'!AC903</f>
        <v/>
      </c>
      <c r="B926" s="24" t="str">
        <f>'DE ( Tarik barang retur )'!F903</f>
        <v/>
      </c>
      <c r="C926" s="24" t="str">
        <f>'DE ( Tarik barang retur )'!G903</f>
        <v/>
      </c>
      <c r="D926" s="24" t="str">
        <f>'DE ( Tarik barang retur )'!H903</f>
        <v/>
      </c>
      <c r="E926" s="24" t="str">
        <f>'DE ( Tarik barang retur )'!D903</f>
        <v/>
      </c>
      <c r="F926" s="24" t="str">
        <f>'DE ( Tarik barang retur )'!R903</f>
        <v/>
      </c>
      <c r="G926" s="24" t="str">
        <f>'DE ( Tarik barang retur )'!AF903</f>
        <v/>
      </c>
      <c r="H926" s="24"/>
      <c r="I926" s="24"/>
      <c r="J926" s="24"/>
      <c r="K926" s="24"/>
      <c r="L926" s="24"/>
      <c r="M926" s="24"/>
      <c r="N926" s="24"/>
      <c r="O926" s="24"/>
      <c r="P926" s="25"/>
      <c r="Q926" s="25"/>
      <c r="R926" s="25"/>
      <c r="S926" s="25"/>
      <c r="T926" s="25"/>
      <c r="U926" s="25"/>
      <c r="V926" s="25"/>
      <c r="W926" s="25"/>
      <c r="X926" s="25"/>
      <c r="Y926" s="25"/>
      <c r="Z926" s="25"/>
      <c r="AA926" s="25"/>
      <c r="AB926" s="25"/>
      <c r="AC926" s="25"/>
    </row>
    <row r="927">
      <c r="A927" s="24" t="str">
        <f>'DE ( Tarik barang retur )'!AC904</f>
        <v/>
      </c>
      <c r="B927" s="24" t="str">
        <f>'DE ( Tarik barang retur )'!F904</f>
        <v/>
      </c>
      <c r="C927" s="24" t="str">
        <f>'DE ( Tarik barang retur )'!G904</f>
        <v/>
      </c>
      <c r="D927" s="24" t="str">
        <f>'DE ( Tarik barang retur )'!H904</f>
        <v/>
      </c>
      <c r="E927" s="24" t="str">
        <f>'DE ( Tarik barang retur )'!D904</f>
        <v/>
      </c>
      <c r="F927" s="24" t="str">
        <f>'DE ( Tarik barang retur )'!R904</f>
        <v/>
      </c>
      <c r="G927" s="24" t="str">
        <f>'DE ( Tarik barang retur )'!AF904</f>
        <v/>
      </c>
      <c r="H927" s="24"/>
      <c r="I927" s="24"/>
      <c r="J927" s="24"/>
      <c r="K927" s="24"/>
      <c r="L927" s="24"/>
      <c r="M927" s="24"/>
      <c r="N927" s="24"/>
      <c r="O927" s="24"/>
      <c r="P927" s="25"/>
      <c r="Q927" s="25"/>
      <c r="R927" s="25"/>
      <c r="S927" s="25"/>
      <c r="T927" s="25"/>
      <c r="U927" s="25"/>
      <c r="V927" s="25"/>
      <c r="W927" s="25"/>
      <c r="X927" s="25"/>
      <c r="Y927" s="25"/>
      <c r="Z927" s="25"/>
      <c r="AA927" s="25"/>
      <c r="AB927" s="25"/>
      <c r="AC927" s="25"/>
    </row>
    <row r="928">
      <c r="A928" s="24" t="str">
        <f>'DE ( Tarik barang retur )'!AC905</f>
        <v/>
      </c>
      <c r="B928" s="24" t="str">
        <f>'DE ( Tarik barang retur )'!F905</f>
        <v/>
      </c>
      <c r="C928" s="24" t="str">
        <f>'DE ( Tarik barang retur )'!G905</f>
        <v/>
      </c>
      <c r="D928" s="24" t="str">
        <f>'DE ( Tarik barang retur )'!H905</f>
        <v/>
      </c>
      <c r="E928" s="24" t="str">
        <f>'DE ( Tarik barang retur )'!D905</f>
        <v/>
      </c>
      <c r="F928" s="24" t="str">
        <f>'DE ( Tarik barang retur )'!R905</f>
        <v/>
      </c>
      <c r="G928" s="24" t="str">
        <f>'DE ( Tarik barang retur )'!AF905</f>
        <v/>
      </c>
      <c r="H928" s="24"/>
      <c r="I928" s="24"/>
      <c r="J928" s="24"/>
      <c r="K928" s="24"/>
      <c r="L928" s="24"/>
      <c r="M928" s="24"/>
      <c r="N928" s="24"/>
      <c r="O928" s="24"/>
      <c r="P928" s="25"/>
      <c r="Q928" s="25"/>
      <c r="R928" s="25"/>
      <c r="S928" s="25"/>
      <c r="T928" s="25"/>
      <c r="U928" s="25"/>
      <c r="V928" s="25"/>
      <c r="W928" s="25"/>
      <c r="X928" s="25"/>
      <c r="Y928" s="25"/>
      <c r="Z928" s="25"/>
      <c r="AA928" s="25"/>
      <c r="AB928" s="25"/>
      <c r="AC928" s="25"/>
    </row>
    <row r="929">
      <c r="A929" s="24" t="str">
        <f>'DE ( Tarik barang retur )'!AC906</f>
        <v/>
      </c>
      <c r="B929" s="24" t="str">
        <f>'DE ( Tarik barang retur )'!F906</f>
        <v/>
      </c>
      <c r="C929" s="24" t="str">
        <f>'DE ( Tarik barang retur )'!G906</f>
        <v/>
      </c>
      <c r="D929" s="24" t="str">
        <f>'DE ( Tarik barang retur )'!H906</f>
        <v/>
      </c>
      <c r="E929" s="24" t="str">
        <f>'DE ( Tarik barang retur )'!D906</f>
        <v/>
      </c>
      <c r="F929" s="24" t="str">
        <f>'DE ( Tarik barang retur )'!R906</f>
        <v/>
      </c>
      <c r="G929" s="24" t="str">
        <f>'DE ( Tarik barang retur )'!AF906</f>
        <v/>
      </c>
      <c r="H929" s="24"/>
      <c r="I929" s="24"/>
      <c r="J929" s="24"/>
      <c r="K929" s="24"/>
      <c r="L929" s="24"/>
      <c r="M929" s="24"/>
      <c r="N929" s="24"/>
      <c r="O929" s="24"/>
      <c r="P929" s="25"/>
      <c r="Q929" s="25"/>
      <c r="R929" s="25"/>
      <c r="S929" s="25"/>
      <c r="T929" s="25"/>
      <c r="U929" s="25"/>
      <c r="V929" s="25"/>
      <c r="W929" s="25"/>
      <c r="X929" s="25"/>
      <c r="Y929" s="25"/>
      <c r="Z929" s="25"/>
      <c r="AA929" s="25"/>
      <c r="AB929" s="25"/>
      <c r="AC929" s="25"/>
    </row>
    <row r="930">
      <c r="A930" s="24" t="str">
        <f>'DE ( Tarik barang retur )'!AC907</f>
        <v/>
      </c>
      <c r="B930" s="24" t="str">
        <f>'DE ( Tarik barang retur )'!F907</f>
        <v/>
      </c>
      <c r="C930" s="24" t="str">
        <f>'DE ( Tarik barang retur )'!G907</f>
        <v/>
      </c>
      <c r="D930" s="24" t="str">
        <f>'DE ( Tarik barang retur )'!H907</f>
        <v/>
      </c>
      <c r="E930" s="24" t="str">
        <f>'DE ( Tarik barang retur )'!D907</f>
        <v/>
      </c>
      <c r="F930" s="24" t="str">
        <f>'DE ( Tarik barang retur )'!R907</f>
        <v/>
      </c>
      <c r="G930" s="24" t="str">
        <f>'DE ( Tarik barang retur )'!AF907</f>
        <v/>
      </c>
      <c r="H930" s="24"/>
      <c r="I930" s="24"/>
      <c r="J930" s="24"/>
      <c r="K930" s="24"/>
      <c r="L930" s="24"/>
      <c r="M930" s="24"/>
      <c r="N930" s="24"/>
      <c r="O930" s="24"/>
      <c r="P930" s="25"/>
      <c r="Q930" s="25"/>
      <c r="R930" s="25"/>
      <c r="S930" s="25"/>
      <c r="T930" s="25"/>
      <c r="U930" s="25"/>
      <c r="V930" s="25"/>
      <c r="W930" s="25"/>
      <c r="X930" s="25"/>
      <c r="Y930" s="25"/>
      <c r="Z930" s="25"/>
      <c r="AA930" s="25"/>
      <c r="AB930" s="25"/>
      <c r="AC930" s="25"/>
    </row>
    <row r="931">
      <c r="A931" s="24" t="str">
        <f>'DE ( Tarik barang retur )'!AC908</f>
        <v/>
      </c>
      <c r="B931" s="24" t="str">
        <f>'DE ( Tarik barang retur )'!F908</f>
        <v/>
      </c>
      <c r="C931" s="24" t="str">
        <f>'DE ( Tarik barang retur )'!G908</f>
        <v/>
      </c>
      <c r="D931" s="24" t="str">
        <f>'DE ( Tarik barang retur )'!H908</f>
        <v/>
      </c>
      <c r="E931" s="24" t="str">
        <f>'DE ( Tarik barang retur )'!D908</f>
        <v/>
      </c>
      <c r="F931" s="24" t="str">
        <f>'DE ( Tarik barang retur )'!R908</f>
        <v/>
      </c>
      <c r="G931" s="24" t="str">
        <f>'DE ( Tarik barang retur )'!AF908</f>
        <v/>
      </c>
      <c r="H931" s="24"/>
      <c r="I931" s="24"/>
      <c r="J931" s="24"/>
      <c r="K931" s="24"/>
      <c r="L931" s="24"/>
      <c r="M931" s="24"/>
      <c r="N931" s="24"/>
      <c r="O931" s="24"/>
      <c r="P931" s="25"/>
      <c r="Q931" s="25"/>
      <c r="R931" s="25"/>
      <c r="S931" s="25"/>
      <c r="T931" s="25"/>
      <c r="U931" s="25"/>
      <c r="V931" s="25"/>
      <c r="W931" s="25"/>
      <c r="X931" s="25"/>
      <c r="Y931" s="25"/>
      <c r="Z931" s="25"/>
      <c r="AA931" s="25"/>
      <c r="AB931" s="25"/>
      <c r="AC931" s="25"/>
    </row>
    <row r="932">
      <c r="A932" s="24" t="str">
        <f>'DE ( Tarik barang retur )'!AC909</f>
        <v/>
      </c>
      <c r="B932" s="24" t="str">
        <f>'DE ( Tarik barang retur )'!F909</f>
        <v/>
      </c>
      <c r="C932" s="24" t="str">
        <f>'DE ( Tarik barang retur )'!G909</f>
        <v/>
      </c>
      <c r="D932" s="24" t="str">
        <f>'DE ( Tarik barang retur )'!H909</f>
        <v/>
      </c>
      <c r="E932" s="24" t="str">
        <f>'DE ( Tarik barang retur )'!D909</f>
        <v/>
      </c>
      <c r="F932" s="24" t="str">
        <f>'DE ( Tarik barang retur )'!R909</f>
        <v/>
      </c>
      <c r="G932" s="24" t="str">
        <f>'DE ( Tarik barang retur )'!AF909</f>
        <v/>
      </c>
      <c r="H932" s="24"/>
      <c r="I932" s="24"/>
      <c r="J932" s="24"/>
      <c r="K932" s="24"/>
      <c r="L932" s="24"/>
      <c r="M932" s="24"/>
      <c r="N932" s="24"/>
      <c r="O932" s="24"/>
      <c r="P932" s="25"/>
      <c r="Q932" s="25"/>
      <c r="R932" s="25"/>
      <c r="S932" s="25"/>
      <c r="T932" s="25"/>
      <c r="U932" s="25"/>
      <c r="V932" s="25"/>
      <c r="W932" s="25"/>
      <c r="X932" s="25"/>
      <c r="Y932" s="25"/>
      <c r="Z932" s="25"/>
      <c r="AA932" s="25"/>
      <c r="AB932" s="25"/>
      <c r="AC932" s="25"/>
    </row>
    <row r="933">
      <c r="A933" s="24" t="str">
        <f>'DE ( Tarik barang retur )'!AC910</f>
        <v/>
      </c>
      <c r="B933" s="24" t="str">
        <f>'DE ( Tarik barang retur )'!F910</f>
        <v/>
      </c>
      <c r="C933" s="24" t="str">
        <f>'DE ( Tarik barang retur )'!G910</f>
        <v/>
      </c>
      <c r="D933" s="24" t="str">
        <f>'DE ( Tarik barang retur )'!H910</f>
        <v/>
      </c>
      <c r="E933" s="24" t="str">
        <f>'DE ( Tarik barang retur )'!D910</f>
        <v/>
      </c>
      <c r="F933" s="24" t="str">
        <f>'DE ( Tarik barang retur )'!R910</f>
        <v/>
      </c>
      <c r="G933" s="24" t="str">
        <f>'DE ( Tarik barang retur )'!AF910</f>
        <v/>
      </c>
      <c r="H933" s="24"/>
      <c r="I933" s="24"/>
      <c r="J933" s="24"/>
      <c r="K933" s="24"/>
      <c r="L933" s="24"/>
      <c r="M933" s="24"/>
      <c r="N933" s="24"/>
      <c r="O933" s="24"/>
      <c r="P933" s="25"/>
      <c r="Q933" s="25"/>
      <c r="R933" s="25"/>
      <c r="S933" s="25"/>
      <c r="T933" s="25"/>
      <c r="U933" s="25"/>
      <c r="V933" s="25"/>
      <c r="W933" s="25"/>
      <c r="X933" s="25"/>
      <c r="Y933" s="25"/>
      <c r="Z933" s="25"/>
      <c r="AA933" s="25"/>
      <c r="AB933" s="25"/>
      <c r="AC933" s="25"/>
    </row>
    <row r="934">
      <c r="A934" s="24" t="str">
        <f>'DE ( Tarik barang retur )'!AC911</f>
        <v/>
      </c>
      <c r="B934" s="24" t="str">
        <f>'DE ( Tarik barang retur )'!F911</f>
        <v/>
      </c>
      <c r="C934" s="24" t="str">
        <f>'DE ( Tarik barang retur )'!G911</f>
        <v/>
      </c>
      <c r="D934" s="24" t="str">
        <f>'DE ( Tarik barang retur )'!H911</f>
        <v/>
      </c>
      <c r="E934" s="24" t="str">
        <f>'DE ( Tarik barang retur )'!D911</f>
        <v/>
      </c>
      <c r="F934" s="24" t="str">
        <f>'DE ( Tarik barang retur )'!R911</f>
        <v/>
      </c>
      <c r="G934" s="24" t="str">
        <f>'DE ( Tarik barang retur )'!AF911</f>
        <v/>
      </c>
      <c r="H934" s="24"/>
      <c r="I934" s="24"/>
      <c r="J934" s="24"/>
      <c r="K934" s="24"/>
      <c r="L934" s="24"/>
      <c r="M934" s="24"/>
      <c r="N934" s="24"/>
      <c r="O934" s="24"/>
      <c r="P934" s="25"/>
      <c r="Q934" s="25"/>
      <c r="R934" s="25"/>
      <c r="S934" s="25"/>
      <c r="T934" s="25"/>
      <c r="U934" s="25"/>
      <c r="V934" s="25"/>
      <c r="W934" s="25"/>
      <c r="X934" s="25"/>
      <c r="Y934" s="25"/>
      <c r="Z934" s="25"/>
      <c r="AA934" s="25"/>
      <c r="AB934" s="25"/>
      <c r="AC934" s="25"/>
    </row>
    <row r="935">
      <c r="A935" s="24" t="str">
        <f>'DE ( Tarik barang retur )'!AC912</f>
        <v/>
      </c>
      <c r="B935" s="24" t="str">
        <f>'DE ( Tarik barang retur )'!F912</f>
        <v/>
      </c>
      <c r="C935" s="24" t="str">
        <f>'DE ( Tarik barang retur )'!G912</f>
        <v/>
      </c>
      <c r="D935" s="24" t="str">
        <f>'DE ( Tarik barang retur )'!H912</f>
        <v/>
      </c>
      <c r="E935" s="24" t="str">
        <f>'DE ( Tarik barang retur )'!D912</f>
        <v/>
      </c>
      <c r="F935" s="24" t="str">
        <f>'DE ( Tarik barang retur )'!R912</f>
        <v/>
      </c>
      <c r="G935" s="24" t="str">
        <f>'DE ( Tarik barang retur )'!AF912</f>
        <v/>
      </c>
      <c r="H935" s="24"/>
      <c r="I935" s="24"/>
      <c r="J935" s="24"/>
      <c r="K935" s="24"/>
      <c r="L935" s="24"/>
      <c r="M935" s="24"/>
      <c r="N935" s="24"/>
      <c r="O935" s="24"/>
      <c r="P935" s="25"/>
      <c r="Q935" s="25"/>
      <c r="R935" s="25"/>
      <c r="S935" s="25"/>
      <c r="T935" s="25"/>
      <c r="U935" s="25"/>
      <c r="V935" s="25"/>
      <c r="W935" s="25"/>
      <c r="X935" s="25"/>
      <c r="Y935" s="25"/>
      <c r="Z935" s="25"/>
      <c r="AA935" s="25"/>
      <c r="AB935" s="25"/>
      <c r="AC935" s="25"/>
    </row>
    <row r="936">
      <c r="A936" s="24" t="str">
        <f>'DE ( Tarik barang retur )'!AC913</f>
        <v/>
      </c>
      <c r="B936" s="24" t="str">
        <f>'DE ( Tarik barang retur )'!F913</f>
        <v/>
      </c>
      <c r="C936" s="24" t="str">
        <f>'DE ( Tarik barang retur )'!G913</f>
        <v/>
      </c>
      <c r="D936" s="24" t="str">
        <f>'DE ( Tarik barang retur )'!H913</f>
        <v/>
      </c>
      <c r="E936" s="24" t="str">
        <f>'DE ( Tarik barang retur )'!D913</f>
        <v/>
      </c>
      <c r="F936" s="24" t="str">
        <f>'DE ( Tarik barang retur )'!R913</f>
        <v/>
      </c>
      <c r="G936" s="24" t="str">
        <f>'DE ( Tarik barang retur )'!AF913</f>
        <v/>
      </c>
      <c r="H936" s="24"/>
      <c r="I936" s="24"/>
      <c r="J936" s="24"/>
      <c r="K936" s="24"/>
      <c r="L936" s="24"/>
      <c r="M936" s="24"/>
      <c r="N936" s="24"/>
      <c r="O936" s="24"/>
      <c r="P936" s="25"/>
      <c r="Q936" s="25"/>
      <c r="R936" s="25"/>
      <c r="S936" s="25"/>
      <c r="T936" s="25"/>
      <c r="U936" s="25"/>
      <c r="V936" s="25"/>
      <c r="W936" s="25"/>
      <c r="X936" s="25"/>
      <c r="Y936" s="25"/>
      <c r="Z936" s="25"/>
      <c r="AA936" s="25"/>
      <c r="AB936" s="25"/>
      <c r="AC936" s="25"/>
    </row>
    <row r="937">
      <c r="A937" s="24" t="str">
        <f>'DE ( Tarik barang retur )'!AC914</f>
        <v/>
      </c>
      <c r="B937" s="24" t="str">
        <f>'DE ( Tarik barang retur )'!F914</f>
        <v/>
      </c>
      <c r="C937" s="24" t="str">
        <f>'DE ( Tarik barang retur )'!G914</f>
        <v/>
      </c>
      <c r="D937" s="24" t="str">
        <f>'DE ( Tarik barang retur )'!H914</f>
        <v/>
      </c>
      <c r="E937" s="24" t="str">
        <f>'DE ( Tarik barang retur )'!D914</f>
        <v/>
      </c>
      <c r="F937" s="24" t="str">
        <f>'DE ( Tarik barang retur )'!R914</f>
        <v/>
      </c>
      <c r="G937" s="24" t="str">
        <f>'DE ( Tarik barang retur )'!AF914</f>
        <v/>
      </c>
      <c r="H937" s="24"/>
      <c r="I937" s="24"/>
      <c r="J937" s="24"/>
      <c r="K937" s="24"/>
      <c r="L937" s="24"/>
      <c r="M937" s="24"/>
      <c r="N937" s="24"/>
      <c r="O937" s="24"/>
      <c r="P937" s="25"/>
      <c r="Q937" s="25"/>
      <c r="R937" s="25"/>
      <c r="S937" s="25"/>
      <c r="T937" s="25"/>
      <c r="U937" s="25"/>
      <c r="V937" s="25"/>
      <c r="W937" s="25"/>
      <c r="X937" s="25"/>
      <c r="Y937" s="25"/>
      <c r="Z937" s="25"/>
      <c r="AA937" s="25"/>
      <c r="AB937" s="25"/>
      <c r="AC937" s="25"/>
    </row>
    <row r="938">
      <c r="A938" s="24" t="str">
        <f>'DE ( Tarik barang retur )'!AC915</f>
        <v/>
      </c>
      <c r="B938" s="24" t="str">
        <f>'DE ( Tarik barang retur )'!F915</f>
        <v/>
      </c>
      <c r="C938" s="24" t="str">
        <f>'DE ( Tarik barang retur )'!G915</f>
        <v/>
      </c>
      <c r="D938" s="24" t="str">
        <f>'DE ( Tarik barang retur )'!H915</f>
        <v/>
      </c>
      <c r="E938" s="24" t="str">
        <f>'DE ( Tarik barang retur )'!D915</f>
        <v/>
      </c>
      <c r="F938" s="24" t="str">
        <f>'DE ( Tarik barang retur )'!R915</f>
        <v/>
      </c>
      <c r="G938" s="24" t="str">
        <f>'DE ( Tarik barang retur )'!AF915</f>
        <v/>
      </c>
      <c r="H938" s="24"/>
      <c r="I938" s="24"/>
      <c r="J938" s="24"/>
      <c r="K938" s="24"/>
      <c r="L938" s="24"/>
      <c r="M938" s="24"/>
      <c r="N938" s="24"/>
      <c r="O938" s="24"/>
      <c r="P938" s="25"/>
      <c r="Q938" s="25"/>
      <c r="R938" s="25"/>
      <c r="S938" s="25"/>
      <c r="T938" s="25"/>
      <c r="U938" s="25"/>
      <c r="V938" s="25"/>
      <c r="W938" s="25"/>
      <c r="X938" s="25"/>
      <c r="Y938" s="25"/>
      <c r="Z938" s="25"/>
      <c r="AA938" s="25"/>
      <c r="AB938" s="25"/>
      <c r="AC938" s="25"/>
    </row>
    <row r="939">
      <c r="A939" s="24" t="str">
        <f>'DE ( Tarik barang retur )'!AC916</f>
        <v/>
      </c>
      <c r="B939" s="24" t="str">
        <f>'DE ( Tarik barang retur )'!F916</f>
        <v/>
      </c>
      <c r="C939" s="24" t="str">
        <f>'DE ( Tarik barang retur )'!G916</f>
        <v/>
      </c>
      <c r="D939" s="24" t="str">
        <f>'DE ( Tarik barang retur )'!H916</f>
        <v/>
      </c>
      <c r="E939" s="24" t="str">
        <f>'DE ( Tarik barang retur )'!D916</f>
        <v/>
      </c>
      <c r="F939" s="24" t="str">
        <f>'DE ( Tarik barang retur )'!R916</f>
        <v/>
      </c>
      <c r="G939" s="24" t="str">
        <f>'DE ( Tarik barang retur )'!AF916</f>
        <v/>
      </c>
      <c r="H939" s="24"/>
      <c r="I939" s="24"/>
      <c r="J939" s="24"/>
      <c r="K939" s="24"/>
      <c r="L939" s="24"/>
      <c r="M939" s="24"/>
      <c r="N939" s="24"/>
      <c r="O939" s="24"/>
      <c r="P939" s="25"/>
      <c r="Q939" s="25"/>
      <c r="R939" s="25"/>
      <c r="S939" s="25"/>
      <c r="T939" s="25"/>
      <c r="U939" s="25"/>
      <c r="V939" s="25"/>
      <c r="W939" s="25"/>
      <c r="X939" s="25"/>
      <c r="Y939" s="25"/>
      <c r="Z939" s="25"/>
      <c r="AA939" s="25"/>
      <c r="AB939" s="25"/>
      <c r="AC939" s="25"/>
    </row>
    <row r="940">
      <c r="A940" s="24" t="str">
        <f>'DE ( Tarik barang retur )'!AC917</f>
        <v/>
      </c>
      <c r="B940" s="24" t="str">
        <f>'DE ( Tarik barang retur )'!F917</f>
        <v/>
      </c>
      <c r="C940" s="24" t="str">
        <f>'DE ( Tarik barang retur )'!G917</f>
        <v/>
      </c>
      <c r="D940" s="24" t="str">
        <f>'DE ( Tarik barang retur )'!H917</f>
        <v/>
      </c>
      <c r="E940" s="24" t="str">
        <f>'DE ( Tarik barang retur )'!D917</f>
        <v/>
      </c>
      <c r="F940" s="24" t="str">
        <f>'DE ( Tarik barang retur )'!R917</f>
        <v/>
      </c>
      <c r="G940" s="24" t="str">
        <f>'DE ( Tarik barang retur )'!AF917</f>
        <v/>
      </c>
      <c r="H940" s="24"/>
      <c r="I940" s="24"/>
      <c r="J940" s="24"/>
      <c r="K940" s="24"/>
      <c r="L940" s="24"/>
      <c r="M940" s="24"/>
      <c r="N940" s="24"/>
      <c r="O940" s="24"/>
      <c r="P940" s="25"/>
      <c r="Q940" s="25"/>
      <c r="R940" s="25"/>
      <c r="S940" s="25"/>
      <c r="T940" s="25"/>
      <c r="U940" s="25"/>
      <c r="V940" s="25"/>
      <c r="W940" s="25"/>
      <c r="X940" s="25"/>
      <c r="Y940" s="25"/>
      <c r="Z940" s="25"/>
      <c r="AA940" s="25"/>
      <c r="AB940" s="25"/>
      <c r="AC940" s="25"/>
    </row>
    <row r="941">
      <c r="A941" s="24" t="str">
        <f>'DE ( Tarik barang retur )'!AC918</f>
        <v/>
      </c>
      <c r="B941" s="24" t="str">
        <f>'DE ( Tarik barang retur )'!F918</f>
        <v/>
      </c>
      <c r="C941" s="24" t="str">
        <f>'DE ( Tarik barang retur )'!G918</f>
        <v/>
      </c>
      <c r="D941" s="24" t="str">
        <f>'DE ( Tarik barang retur )'!H918</f>
        <v/>
      </c>
      <c r="E941" s="24" t="str">
        <f>'DE ( Tarik barang retur )'!D918</f>
        <v/>
      </c>
      <c r="F941" s="24" t="str">
        <f>'DE ( Tarik barang retur )'!R918</f>
        <v/>
      </c>
      <c r="G941" s="24" t="str">
        <f>'DE ( Tarik barang retur )'!AF918</f>
        <v/>
      </c>
      <c r="H941" s="24"/>
      <c r="I941" s="24"/>
      <c r="J941" s="24"/>
      <c r="K941" s="24"/>
      <c r="L941" s="24"/>
      <c r="M941" s="24"/>
      <c r="N941" s="24"/>
      <c r="O941" s="24"/>
      <c r="P941" s="25"/>
      <c r="Q941" s="25"/>
      <c r="R941" s="25"/>
      <c r="S941" s="25"/>
      <c r="T941" s="25"/>
      <c r="U941" s="25"/>
      <c r="V941" s="25"/>
      <c r="W941" s="25"/>
      <c r="X941" s="25"/>
      <c r="Y941" s="25"/>
      <c r="Z941" s="25"/>
      <c r="AA941" s="25"/>
      <c r="AB941" s="25"/>
      <c r="AC941" s="25"/>
    </row>
    <row r="942">
      <c r="A942" s="24" t="str">
        <f>'DE ( Tarik barang retur )'!AC919</f>
        <v/>
      </c>
      <c r="B942" s="24" t="str">
        <f>'DE ( Tarik barang retur )'!F919</f>
        <v/>
      </c>
      <c r="C942" s="24" t="str">
        <f>'DE ( Tarik barang retur )'!G919</f>
        <v/>
      </c>
      <c r="D942" s="24" t="str">
        <f>'DE ( Tarik barang retur )'!H919</f>
        <v/>
      </c>
      <c r="E942" s="24" t="str">
        <f>'DE ( Tarik barang retur )'!D919</f>
        <v/>
      </c>
      <c r="F942" s="24" t="str">
        <f>'DE ( Tarik barang retur )'!R919</f>
        <v/>
      </c>
      <c r="G942" s="24" t="str">
        <f>'DE ( Tarik barang retur )'!AF919</f>
        <v/>
      </c>
      <c r="H942" s="24"/>
      <c r="I942" s="24"/>
      <c r="J942" s="24"/>
      <c r="K942" s="24"/>
      <c r="L942" s="24"/>
      <c r="M942" s="24"/>
      <c r="N942" s="24"/>
      <c r="O942" s="24"/>
      <c r="P942" s="25"/>
      <c r="Q942" s="25"/>
      <c r="R942" s="25"/>
      <c r="S942" s="25"/>
      <c r="T942" s="25"/>
      <c r="U942" s="25"/>
      <c r="V942" s="25"/>
      <c r="W942" s="25"/>
      <c r="X942" s="25"/>
      <c r="Y942" s="25"/>
      <c r="Z942" s="25"/>
      <c r="AA942" s="25"/>
      <c r="AB942" s="25"/>
      <c r="AC942" s="25"/>
    </row>
    <row r="943">
      <c r="A943" s="24" t="str">
        <f>'DE ( Tarik barang retur )'!AC920</f>
        <v/>
      </c>
      <c r="B943" s="24" t="str">
        <f>'DE ( Tarik barang retur )'!F920</f>
        <v/>
      </c>
      <c r="C943" s="24" t="str">
        <f>'DE ( Tarik barang retur )'!G920</f>
        <v/>
      </c>
      <c r="D943" s="24" t="str">
        <f>'DE ( Tarik barang retur )'!H920</f>
        <v/>
      </c>
      <c r="E943" s="24" t="str">
        <f>'DE ( Tarik barang retur )'!D920</f>
        <v/>
      </c>
      <c r="F943" s="24" t="str">
        <f>'DE ( Tarik barang retur )'!R920</f>
        <v/>
      </c>
      <c r="G943" s="24" t="str">
        <f>'DE ( Tarik barang retur )'!AF920</f>
        <v/>
      </c>
      <c r="H943" s="24"/>
      <c r="I943" s="24"/>
      <c r="J943" s="24"/>
      <c r="K943" s="24"/>
      <c r="L943" s="24"/>
      <c r="M943" s="24"/>
      <c r="N943" s="24"/>
      <c r="O943" s="24"/>
      <c r="P943" s="25"/>
      <c r="Q943" s="25"/>
      <c r="R943" s="25"/>
      <c r="S943" s="25"/>
      <c r="T943" s="25"/>
      <c r="U943" s="25"/>
      <c r="V943" s="25"/>
      <c r="W943" s="25"/>
      <c r="X943" s="25"/>
      <c r="Y943" s="25"/>
      <c r="Z943" s="25"/>
      <c r="AA943" s="25"/>
      <c r="AB943" s="25"/>
      <c r="AC943" s="25"/>
    </row>
    <row r="944">
      <c r="A944" s="24" t="str">
        <f>'DE ( Tarik barang retur )'!AC921</f>
        <v/>
      </c>
      <c r="B944" s="24" t="str">
        <f>'DE ( Tarik barang retur )'!F921</f>
        <v/>
      </c>
      <c r="C944" s="24" t="str">
        <f>'DE ( Tarik barang retur )'!G921</f>
        <v/>
      </c>
      <c r="D944" s="24" t="str">
        <f>'DE ( Tarik barang retur )'!H921</f>
        <v/>
      </c>
      <c r="E944" s="24" t="str">
        <f>'DE ( Tarik barang retur )'!D921</f>
        <v/>
      </c>
      <c r="F944" s="24" t="str">
        <f>'DE ( Tarik barang retur )'!R921</f>
        <v/>
      </c>
      <c r="G944" s="24" t="str">
        <f>'DE ( Tarik barang retur )'!AF921</f>
        <v/>
      </c>
      <c r="H944" s="24"/>
      <c r="I944" s="24"/>
      <c r="J944" s="24"/>
      <c r="K944" s="24"/>
      <c r="L944" s="24"/>
      <c r="M944" s="24"/>
      <c r="N944" s="24"/>
      <c r="O944" s="24"/>
      <c r="P944" s="25"/>
      <c r="Q944" s="25"/>
      <c r="R944" s="25"/>
      <c r="S944" s="25"/>
      <c r="T944" s="25"/>
      <c r="U944" s="25"/>
      <c r="V944" s="25"/>
      <c r="W944" s="25"/>
      <c r="X944" s="25"/>
      <c r="Y944" s="25"/>
      <c r="Z944" s="25"/>
      <c r="AA944" s="25"/>
      <c r="AB944" s="25"/>
      <c r="AC944" s="25"/>
    </row>
    <row r="945">
      <c r="A945" s="24" t="str">
        <f>'DE ( Tarik barang retur )'!AC922</f>
        <v/>
      </c>
      <c r="B945" s="24" t="str">
        <f>'DE ( Tarik barang retur )'!F922</f>
        <v/>
      </c>
      <c r="C945" s="24" t="str">
        <f>'DE ( Tarik barang retur )'!G922</f>
        <v/>
      </c>
      <c r="D945" s="24" t="str">
        <f>'DE ( Tarik barang retur )'!H922</f>
        <v/>
      </c>
      <c r="E945" s="24" t="str">
        <f>'DE ( Tarik barang retur )'!D922</f>
        <v/>
      </c>
      <c r="F945" s="24" t="str">
        <f>'DE ( Tarik barang retur )'!R922</f>
        <v/>
      </c>
      <c r="G945" s="24" t="str">
        <f>'DE ( Tarik barang retur )'!AF922</f>
        <v/>
      </c>
      <c r="H945" s="24"/>
      <c r="I945" s="24"/>
      <c r="J945" s="24"/>
      <c r="K945" s="24"/>
      <c r="L945" s="24"/>
      <c r="M945" s="24"/>
      <c r="N945" s="24"/>
      <c r="O945" s="24"/>
      <c r="P945" s="25"/>
      <c r="Q945" s="25"/>
      <c r="R945" s="25"/>
      <c r="S945" s="25"/>
      <c r="T945" s="25"/>
      <c r="U945" s="25"/>
      <c r="V945" s="25"/>
      <c r="W945" s="25"/>
      <c r="X945" s="25"/>
      <c r="Y945" s="25"/>
      <c r="Z945" s="25"/>
      <c r="AA945" s="25"/>
      <c r="AB945" s="25"/>
      <c r="AC945" s="25"/>
    </row>
    <row r="946">
      <c r="A946" s="24" t="str">
        <f>'DE ( Tarik barang retur )'!AC923</f>
        <v/>
      </c>
      <c r="B946" s="24" t="str">
        <f>'DE ( Tarik barang retur )'!F923</f>
        <v/>
      </c>
      <c r="C946" s="24" t="str">
        <f>'DE ( Tarik barang retur )'!G923</f>
        <v/>
      </c>
      <c r="D946" s="24" t="str">
        <f>'DE ( Tarik barang retur )'!H923</f>
        <v/>
      </c>
      <c r="E946" s="24" t="str">
        <f>'DE ( Tarik barang retur )'!D923</f>
        <v/>
      </c>
      <c r="F946" s="24" t="str">
        <f>'DE ( Tarik barang retur )'!R923</f>
        <v/>
      </c>
      <c r="G946" s="24" t="str">
        <f>'DE ( Tarik barang retur )'!AF923</f>
        <v/>
      </c>
      <c r="H946" s="24"/>
      <c r="I946" s="24"/>
      <c r="J946" s="24"/>
      <c r="K946" s="24"/>
      <c r="L946" s="24"/>
      <c r="M946" s="24"/>
      <c r="N946" s="24"/>
      <c r="O946" s="24"/>
      <c r="P946" s="25"/>
      <c r="Q946" s="25"/>
      <c r="R946" s="25"/>
      <c r="S946" s="25"/>
      <c r="T946" s="25"/>
      <c r="U946" s="25"/>
      <c r="V946" s="25"/>
      <c r="W946" s="25"/>
      <c r="X946" s="25"/>
      <c r="Y946" s="25"/>
      <c r="Z946" s="25"/>
      <c r="AA946" s="25"/>
      <c r="AB946" s="25"/>
      <c r="AC946" s="25"/>
    </row>
    <row r="947">
      <c r="A947" s="24" t="str">
        <f>'DE ( Tarik barang retur )'!AC924</f>
        <v/>
      </c>
      <c r="B947" s="24" t="str">
        <f>'DE ( Tarik barang retur )'!F924</f>
        <v/>
      </c>
      <c r="C947" s="24" t="str">
        <f>'DE ( Tarik barang retur )'!G924</f>
        <v/>
      </c>
      <c r="D947" s="24" t="str">
        <f>'DE ( Tarik barang retur )'!H924</f>
        <v/>
      </c>
      <c r="E947" s="24" t="str">
        <f>'DE ( Tarik barang retur )'!D924</f>
        <v/>
      </c>
      <c r="F947" s="24" t="str">
        <f>'DE ( Tarik barang retur )'!R924</f>
        <v/>
      </c>
      <c r="G947" s="24" t="str">
        <f>'DE ( Tarik barang retur )'!AF924</f>
        <v/>
      </c>
      <c r="H947" s="24"/>
      <c r="I947" s="24"/>
      <c r="J947" s="24"/>
      <c r="K947" s="24"/>
      <c r="L947" s="24"/>
      <c r="M947" s="24"/>
      <c r="N947" s="24"/>
      <c r="O947" s="24"/>
      <c r="P947" s="25"/>
      <c r="Q947" s="25"/>
      <c r="R947" s="25"/>
      <c r="S947" s="25"/>
      <c r="T947" s="25"/>
      <c r="U947" s="25"/>
      <c r="V947" s="25"/>
      <c r="W947" s="25"/>
      <c r="X947" s="25"/>
      <c r="Y947" s="25"/>
      <c r="Z947" s="25"/>
      <c r="AA947" s="25"/>
      <c r="AB947" s="25"/>
      <c r="AC947" s="25"/>
    </row>
    <row r="948">
      <c r="A948" s="24" t="str">
        <f>'DE ( Tarik barang retur )'!AC925</f>
        <v/>
      </c>
      <c r="B948" s="24" t="str">
        <f>'DE ( Tarik barang retur )'!F925</f>
        <v/>
      </c>
      <c r="C948" s="24" t="str">
        <f>'DE ( Tarik barang retur )'!G925</f>
        <v/>
      </c>
      <c r="D948" s="24" t="str">
        <f>'DE ( Tarik barang retur )'!H925</f>
        <v/>
      </c>
      <c r="E948" s="24" t="str">
        <f>'DE ( Tarik barang retur )'!D925</f>
        <v/>
      </c>
      <c r="F948" s="24" t="str">
        <f>'DE ( Tarik barang retur )'!R925</f>
        <v/>
      </c>
      <c r="G948" s="24" t="str">
        <f>'DE ( Tarik barang retur )'!AF925</f>
        <v/>
      </c>
      <c r="H948" s="24"/>
      <c r="I948" s="24"/>
      <c r="J948" s="24"/>
      <c r="K948" s="24"/>
      <c r="L948" s="24"/>
      <c r="M948" s="24"/>
      <c r="N948" s="24"/>
      <c r="O948" s="24"/>
      <c r="P948" s="25"/>
      <c r="Q948" s="25"/>
      <c r="R948" s="25"/>
      <c r="S948" s="25"/>
      <c r="T948" s="25"/>
      <c r="U948" s="25"/>
      <c r="V948" s="25"/>
      <c r="W948" s="25"/>
      <c r="X948" s="25"/>
      <c r="Y948" s="25"/>
      <c r="Z948" s="25"/>
      <c r="AA948" s="25"/>
      <c r="AB948" s="25"/>
      <c r="AC948" s="25"/>
    </row>
    <row r="949">
      <c r="A949" s="24" t="str">
        <f>'DE ( Tarik barang retur )'!AC926</f>
        <v/>
      </c>
      <c r="B949" s="24" t="str">
        <f>'DE ( Tarik barang retur )'!F926</f>
        <v/>
      </c>
      <c r="C949" s="24" t="str">
        <f>'DE ( Tarik barang retur )'!G926</f>
        <v/>
      </c>
      <c r="D949" s="24" t="str">
        <f>'DE ( Tarik barang retur )'!H926</f>
        <v/>
      </c>
      <c r="E949" s="24" t="str">
        <f>'DE ( Tarik barang retur )'!D926</f>
        <v/>
      </c>
      <c r="F949" s="24" t="str">
        <f>'DE ( Tarik barang retur )'!R926</f>
        <v/>
      </c>
      <c r="G949" s="24" t="str">
        <f>'DE ( Tarik barang retur )'!AF926</f>
        <v/>
      </c>
      <c r="H949" s="24"/>
      <c r="I949" s="24"/>
      <c r="J949" s="24"/>
      <c r="K949" s="24"/>
      <c r="L949" s="24"/>
      <c r="M949" s="24"/>
      <c r="N949" s="24"/>
      <c r="O949" s="24"/>
      <c r="P949" s="25"/>
      <c r="Q949" s="25"/>
      <c r="R949" s="25"/>
      <c r="S949" s="25"/>
      <c r="T949" s="25"/>
      <c r="U949" s="25"/>
      <c r="V949" s="25"/>
      <c r="W949" s="25"/>
      <c r="X949" s="25"/>
      <c r="Y949" s="25"/>
      <c r="Z949" s="25"/>
      <c r="AA949" s="25"/>
      <c r="AB949" s="25"/>
      <c r="AC949" s="25"/>
    </row>
    <row r="950">
      <c r="A950" s="24" t="str">
        <f>'DE ( Tarik barang retur )'!AC927</f>
        <v/>
      </c>
      <c r="B950" s="24" t="str">
        <f>'DE ( Tarik barang retur )'!F927</f>
        <v/>
      </c>
      <c r="C950" s="24" t="str">
        <f>'DE ( Tarik barang retur )'!G927</f>
        <v/>
      </c>
      <c r="D950" s="24" t="str">
        <f>'DE ( Tarik barang retur )'!H927</f>
        <v/>
      </c>
      <c r="E950" s="24" t="str">
        <f>'DE ( Tarik barang retur )'!D927</f>
        <v/>
      </c>
      <c r="F950" s="24" t="str">
        <f>'DE ( Tarik barang retur )'!R927</f>
        <v/>
      </c>
      <c r="G950" s="24" t="str">
        <f>'DE ( Tarik barang retur )'!AF927</f>
        <v/>
      </c>
      <c r="H950" s="24"/>
      <c r="I950" s="24"/>
      <c r="J950" s="24"/>
      <c r="K950" s="24"/>
      <c r="L950" s="24"/>
      <c r="M950" s="24"/>
      <c r="N950" s="24"/>
      <c r="O950" s="24"/>
      <c r="P950" s="25"/>
      <c r="Q950" s="25"/>
      <c r="R950" s="25"/>
      <c r="S950" s="25"/>
      <c r="T950" s="25"/>
      <c r="U950" s="25"/>
      <c r="V950" s="25"/>
      <c r="W950" s="25"/>
      <c r="X950" s="25"/>
      <c r="Y950" s="25"/>
      <c r="Z950" s="25"/>
      <c r="AA950" s="25"/>
      <c r="AB950" s="25"/>
      <c r="AC950" s="25"/>
    </row>
    <row r="951">
      <c r="A951" s="24" t="str">
        <f>'DE ( Tarik barang retur )'!AC928</f>
        <v/>
      </c>
      <c r="B951" s="24" t="str">
        <f>'DE ( Tarik barang retur )'!F928</f>
        <v/>
      </c>
      <c r="C951" s="24" t="str">
        <f>'DE ( Tarik barang retur )'!G928</f>
        <v/>
      </c>
      <c r="D951" s="24" t="str">
        <f>'DE ( Tarik barang retur )'!H928</f>
        <v/>
      </c>
      <c r="E951" s="24" t="str">
        <f>'DE ( Tarik barang retur )'!D928</f>
        <v/>
      </c>
      <c r="F951" s="24" t="str">
        <f>'DE ( Tarik barang retur )'!R928</f>
        <v/>
      </c>
      <c r="G951" s="24" t="str">
        <f>'DE ( Tarik barang retur )'!AF928</f>
        <v/>
      </c>
      <c r="H951" s="24"/>
      <c r="I951" s="24"/>
      <c r="J951" s="24"/>
      <c r="K951" s="24"/>
      <c r="L951" s="24"/>
      <c r="M951" s="24"/>
      <c r="N951" s="24"/>
      <c r="O951" s="24"/>
      <c r="P951" s="25"/>
      <c r="Q951" s="25"/>
      <c r="R951" s="25"/>
      <c r="S951" s="25"/>
      <c r="T951" s="25"/>
      <c r="U951" s="25"/>
      <c r="V951" s="25"/>
      <c r="W951" s="25"/>
      <c r="X951" s="25"/>
      <c r="Y951" s="25"/>
      <c r="Z951" s="25"/>
      <c r="AA951" s="25"/>
      <c r="AB951" s="25"/>
      <c r="AC951" s="25"/>
    </row>
    <row r="952">
      <c r="A952" s="24" t="str">
        <f>'DE ( Tarik barang retur )'!AC929</f>
        <v/>
      </c>
      <c r="B952" s="24" t="str">
        <f>'DE ( Tarik barang retur )'!F929</f>
        <v/>
      </c>
      <c r="C952" s="24" t="str">
        <f>'DE ( Tarik barang retur )'!G929</f>
        <v/>
      </c>
      <c r="D952" s="24" t="str">
        <f>'DE ( Tarik barang retur )'!H929</f>
        <v/>
      </c>
      <c r="E952" s="24" t="str">
        <f>'DE ( Tarik barang retur )'!D929</f>
        <v/>
      </c>
      <c r="F952" s="24" t="str">
        <f>'DE ( Tarik barang retur )'!R929</f>
        <v/>
      </c>
      <c r="G952" s="24" t="str">
        <f>'DE ( Tarik barang retur )'!AF929</f>
        <v/>
      </c>
      <c r="H952" s="24"/>
      <c r="I952" s="24"/>
      <c r="J952" s="24"/>
      <c r="K952" s="24"/>
      <c r="L952" s="24"/>
      <c r="M952" s="24"/>
      <c r="N952" s="24"/>
      <c r="O952" s="24"/>
      <c r="P952" s="25"/>
      <c r="Q952" s="25"/>
      <c r="R952" s="25"/>
      <c r="S952" s="25"/>
      <c r="T952" s="25"/>
      <c r="U952" s="25"/>
      <c r="V952" s="25"/>
      <c r="W952" s="25"/>
      <c r="X952" s="25"/>
      <c r="Y952" s="25"/>
      <c r="Z952" s="25"/>
      <c r="AA952" s="25"/>
      <c r="AB952" s="25"/>
      <c r="AC952" s="25"/>
    </row>
    <row r="953">
      <c r="A953" s="24" t="str">
        <f>'DE ( Tarik barang retur )'!AC930</f>
        <v/>
      </c>
      <c r="B953" s="24" t="str">
        <f>'DE ( Tarik barang retur )'!F930</f>
        <v/>
      </c>
      <c r="C953" s="24" t="str">
        <f>'DE ( Tarik barang retur )'!G930</f>
        <v/>
      </c>
      <c r="D953" s="24" t="str">
        <f>'DE ( Tarik barang retur )'!H930</f>
        <v/>
      </c>
      <c r="E953" s="24" t="str">
        <f>'DE ( Tarik barang retur )'!D930</f>
        <v/>
      </c>
      <c r="F953" s="24" t="str">
        <f>'DE ( Tarik barang retur )'!R930</f>
        <v/>
      </c>
      <c r="G953" s="24" t="str">
        <f>'DE ( Tarik barang retur )'!AF930</f>
        <v/>
      </c>
      <c r="H953" s="24"/>
      <c r="I953" s="24"/>
      <c r="J953" s="24"/>
      <c r="K953" s="24"/>
      <c r="L953" s="24"/>
      <c r="M953" s="24"/>
      <c r="N953" s="24"/>
      <c r="O953" s="24"/>
      <c r="P953" s="25"/>
      <c r="Q953" s="25"/>
      <c r="R953" s="25"/>
      <c r="S953" s="25"/>
      <c r="T953" s="25"/>
      <c r="U953" s="25"/>
      <c r="V953" s="25"/>
      <c r="W953" s="25"/>
      <c r="X953" s="25"/>
      <c r="Y953" s="25"/>
      <c r="Z953" s="25"/>
      <c r="AA953" s="25"/>
      <c r="AB953" s="25"/>
      <c r="AC953" s="25"/>
    </row>
    <row r="954">
      <c r="A954" s="24" t="str">
        <f>'DE ( Tarik barang retur )'!AC931</f>
        <v/>
      </c>
      <c r="B954" s="24" t="str">
        <f>'DE ( Tarik barang retur )'!F931</f>
        <v/>
      </c>
      <c r="C954" s="24" t="str">
        <f>'DE ( Tarik barang retur )'!G931</f>
        <v/>
      </c>
      <c r="D954" s="24" t="str">
        <f>'DE ( Tarik barang retur )'!H931</f>
        <v/>
      </c>
      <c r="E954" s="24" t="str">
        <f>'DE ( Tarik barang retur )'!D931</f>
        <v/>
      </c>
      <c r="F954" s="24" t="str">
        <f>'DE ( Tarik barang retur )'!R931</f>
        <v/>
      </c>
      <c r="G954" s="24" t="str">
        <f>'DE ( Tarik barang retur )'!AF931</f>
        <v/>
      </c>
      <c r="H954" s="24"/>
      <c r="I954" s="24"/>
      <c r="J954" s="24"/>
      <c r="K954" s="24"/>
      <c r="L954" s="24"/>
      <c r="M954" s="24"/>
      <c r="N954" s="24"/>
      <c r="O954" s="24"/>
      <c r="P954" s="25"/>
      <c r="Q954" s="25"/>
      <c r="R954" s="25"/>
      <c r="S954" s="25"/>
      <c r="T954" s="25"/>
      <c r="U954" s="25"/>
      <c r="V954" s="25"/>
      <c r="W954" s="25"/>
      <c r="X954" s="25"/>
      <c r="Y954" s="25"/>
      <c r="Z954" s="25"/>
      <c r="AA954" s="25"/>
      <c r="AB954" s="25"/>
      <c r="AC954" s="25"/>
    </row>
    <row r="955">
      <c r="A955" s="24" t="str">
        <f>'DE ( Tarik barang retur )'!AC932</f>
        <v/>
      </c>
      <c r="B955" s="24" t="str">
        <f>'DE ( Tarik barang retur )'!F932</f>
        <v/>
      </c>
      <c r="C955" s="24" t="str">
        <f>'DE ( Tarik barang retur )'!G932</f>
        <v/>
      </c>
      <c r="D955" s="24" t="str">
        <f>'DE ( Tarik barang retur )'!H932</f>
        <v/>
      </c>
      <c r="E955" s="24" t="str">
        <f>'DE ( Tarik barang retur )'!D932</f>
        <v/>
      </c>
      <c r="F955" s="24" t="str">
        <f>'DE ( Tarik barang retur )'!R932</f>
        <v/>
      </c>
      <c r="G955" s="24" t="str">
        <f>'DE ( Tarik barang retur )'!AF932</f>
        <v/>
      </c>
      <c r="H955" s="24"/>
      <c r="I955" s="24"/>
      <c r="J955" s="24"/>
      <c r="K955" s="24"/>
      <c r="L955" s="24"/>
      <c r="M955" s="24"/>
      <c r="N955" s="24"/>
      <c r="O955" s="24"/>
      <c r="P955" s="25"/>
      <c r="Q955" s="25"/>
      <c r="R955" s="25"/>
      <c r="S955" s="25"/>
      <c r="T955" s="25"/>
      <c r="U955" s="25"/>
      <c r="V955" s="25"/>
      <c r="W955" s="25"/>
      <c r="X955" s="25"/>
      <c r="Y955" s="25"/>
      <c r="Z955" s="25"/>
      <c r="AA955" s="25"/>
      <c r="AB955" s="25"/>
      <c r="AC955" s="25"/>
    </row>
    <row r="956">
      <c r="A956" s="24" t="str">
        <f>'DE ( Tarik barang retur )'!AC933</f>
        <v/>
      </c>
      <c r="B956" s="24" t="str">
        <f>'DE ( Tarik barang retur )'!F933</f>
        <v/>
      </c>
      <c r="C956" s="24" t="str">
        <f>'DE ( Tarik barang retur )'!G933</f>
        <v/>
      </c>
      <c r="D956" s="24" t="str">
        <f>'DE ( Tarik barang retur )'!H933</f>
        <v/>
      </c>
      <c r="E956" s="24" t="str">
        <f>'DE ( Tarik barang retur )'!D933</f>
        <v/>
      </c>
      <c r="F956" s="24" t="str">
        <f>'DE ( Tarik barang retur )'!R933</f>
        <v/>
      </c>
      <c r="G956" s="24" t="str">
        <f>'DE ( Tarik barang retur )'!AF933</f>
        <v/>
      </c>
      <c r="H956" s="24"/>
      <c r="I956" s="24"/>
      <c r="J956" s="24"/>
      <c r="K956" s="24"/>
      <c r="L956" s="24"/>
      <c r="M956" s="24"/>
      <c r="N956" s="24"/>
      <c r="O956" s="24"/>
      <c r="P956" s="25"/>
      <c r="Q956" s="25"/>
      <c r="R956" s="25"/>
      <c r="S956" s="25"/>
      <c r="T956" s="25"/>
      <c r="U956" s="25"/>
      <c r="V956" s="25"/>
      <c r="W956" s="25"/>
      <c r="X956" s="25"/>
      <c r="Y956" s="25"/>
      <c r="Z956" s="25"/>
      <c r="AA956" s="25"/>
      <c r="AB956" s="25"/>
      <c r="AC956" s="25"/>
    </row>
    <row r="957">
      <c r="A957" s="24" t="str">
        <f>'DE ( Tarik barang retur )'!AC934</f>
        <v/>
      </c>
      <c r="B957" s="24" t="str">
        <f>'DE ( Tarik barang retur )'!F934</f>
        <v/>
      </c>
      <c r="C957" s="24" t="str">
        <f>'DE ( Tarik barang retur )'!G934</f>
        <v/>
      </c>
      <c r="D957" s="24" t="str">
        <f>'DE ( Tarik barang retur )'!H934</f>
        <v/>
      </c>
      <c r="E957" s="24" t="str">
        <f>'DE ( Tarik barang retur )'!D934</f>
        <v/>
      </c>
      <c r="F957" s="24" t="str">
        <f>'DE ( Tarik barang retur )'!R934</f>
        <v/>
      </c>
      <c r="G957" s="24" t="str">
        <f>'DE ( Tarik barang retur )'!AF934</f>
        <v/>
      </c>
      <c r="H957" s="24"/>
      <c r="I957" s="24"/>
      <c r="J957" s="24"/>
      <c r="K957" s="24"/>
      <c r="L957" s="24"/>
      <c r="M957" s="24"/>
      <c r="N957" s="24"/>
      <c r="O957" s="24"/>
      <c r="P957" s="25"/>
      <c r="Q957" s="25"/>
      <c r="R957" s="25"/>
      <c r="S957" s="25"/>
      <c r="T957" s="25"/>
      <c r="U957" s="25"/>
      <c r="V957" s="25"/>
      <c r="W957" s="25"/>
      <c r="X957" s="25"/>
      <c r="Y957" s="25"/>
      <c r="Z957" s="25"/>
      <c r="AA957" s="25"/>
      <c r="AB957" s="25"/>
      <c r="AC957" s="25"/>
    </row>
    <row r="958">
      <c r="A958" s="24" t="str">
        <f>'DE ( Tarik barang retur )'!AC935</f>
        <v/>
      </c>
      <c r="B958" s="24" t="str">
        <f>'DE ( Tarik barang retur )'!F935</f>
        <v/>
      </c>
      <c r="C958" s="24" t="str">
        <f>'DE ( Tarik barang retur )'!G935</f>
        <v/>
      </c>
      <c r="D958" s="24" t="str">
        <f>'DE ( Tarik barang retur )'!H935</f>
        <v/>
      </c>
      <c r="E958" s="24" t="str">
        <f>'DE ( Tarik barang retur )'!D935</f>
        <v/>
      </c>
      <c r="F958" s="24" t="str">
        <f>'DE ( Tarik barang retur )'!R935</f>
        <v/>
      </c>
      <c r="G958" s="24" t="str">
        <f>'DE ( Tarik barang retur )'!AF935</f>
        <v/>
      </c>
      <c r="H958" s="24"/>
      <c r="I958" s="24"/>
      <c r="J958" s="24"/>
      <c r="K958" s="24"/>
      <c r="L958" s="24"/>
      <c r="M958" s="24"/>
      <c r="N958" s="24"/>
      <c r="O958" s="24"/>
      <c r="P958" s="25"/>
      <c r="Q958" s="25"/>
      <c r="R958" s="25"/>
      <c r="S958" s="25"/>
      <c r="T958" s="25"/>
      <c r="U958" s="25"/>
      <c r="V958" s="25"/>
      <c r="W958" s="25"/>
      <c r="X958" s="25"/>
      <c r="Y958" s="25"/>
      <c r="Z958" s="25"/>
      <c r="AA958" s="25"/>
      <c r="AB958" s="25"/>
      <c r="AC958" s="25"/>
    </row>
    <row r="959">
      <c r="A959" s="24" t="str">
        <f>'DE ( Tarik barang retur )'!AC936</f>
        <v/>
      </c>
      <c r="B959" s="24" t="str">
        <f>'DE ( Tarik barang retur )'!F936</f>
        <v/>
      </c>
      <c r="C959" s="24" t="str">
        <f>'DE ( Tarik barang retur )'!G936</f>
        <v/>
      </c>
      <c r="D959" s="24" t="str">
        <f>'DE ( Tarik barang retur )'!H936</f>
        <v/>
      </c>
      <c r="E959" s="24" t="str">
        <f>'DE ( Tarik barang retur )'!D936</f>
        <v/>
      </c>
      <c r="F959" s="24" t="str">
        <f>'DE ( Tarik barang retur )'!R936</f>
        <v/>
      </c>
      <c r="G959" s="24" t="str">
        <f>'DE ( Tarik barang retur )'!AF936</f>
        <v/>
      </c>
      <c r="H959" s="24"/>
      <c r="I959" s="24"/>
      <c r="J959" s="24"/>
      <c r="K959" s="24"/>
      <c r="L959" s="24"/>
      <c r="M959" s="24"/>
      <c r="N959" s="24"/>
      <c r="O959" s="24"/>
      <c r="P959" s="25"/>
      <c r="Q959" s="25"/>
      <c r="R959" s="25"/>
      <c r="S959" s="25"/>
      <c r="T959" s="25"/>
      <c r="U959" s="25"/>
      <c r="V959" s="25"/>
      <c r="W959" s="25"/>
      <c r="X959" s="25"/>
      <c r="Y959" s="25"/>
      <c r="Z959" s="25"/>
      <c r="AA959" s="25"/>
      <c r="AB959" s="25"/>
      <c r="AC959" s="25"/>
    </row>
    <row r="960">
      <c r="A960" s="24" t="str">
        <f>'DE ( Tarik barang retur )'!AC937</f>
        <v/>
      </c>
      <c r="B960" s="24" t="str">
        <f>'DE ( Tarik barang retur )'!F937</f>
        <v/>
      </c>
      <c r="C960" s="24" t="str">
        <f>'DE ( Tarik barang retur )'!G937</f>
        <v/>
      </c>
      <c r="D960" s="24" t="str">
        <f>'DE ( Tarik barang retur )'!H937</f>
        <v/>
      </c>
      <c r="E960" s="24" t="str">
        <f>'DE ( Tarik barang retur )'!D937</f>
        <v/>
      </c>
      <c r="F960" s="24" t="str">
        <f>'DE ( Tarik barang retur )'!R937</f>
        <v/>
      </c>
      <c r="G960" s="24" t="str">
        <f>'DE ( Tarik barang retur )'!AF937</f>
        <v/>
      </c>
      <c r="H960" s="24"/>
      <c r="I960" s="24"/>
      <c r="J960" s="24"/>
      <c r="K960" s="24"/>
      <c r="L960" s="24"/>
      <c r="M960" s="24"/>
      <c r="N960" s="24"/>
      <c r="O960" s="24"/>
      <c r="P960" s="25"/>
      <c r="Q960" s="25"/>
      <c r="R960" s="25"/>
      <c r="S960" s="25"/>
      <c r="T960" s="25"/>
      <c r="U960" s="25"/>
      <c r="V960" s="25"/>
      <c r="W960" s="25"/>
      <c r="X960" s="25"/>
      <c r="Y960" s="25"/>
      <c r="Z960" s="25"/>
      <c r="AA960" s="25"/>
      <c r="AB960" s="25"/>
      <c r="AC960" s="25"/>
    </row>
    <row r="961">
      <c r="A961" s="24" t="str">
        <f>'DE ( Tarik barang retur )'!AC938</f>
        <v/>
      </c>
      <c r="B961" s="24" t="str">
        <f>'DE ( Tarik barang retur )'!F938</f>
        <v/>
      </c>
      <c r="C961" s="24" t="str">
        <f>'DE ( Tarik barang retur )'!G938</f>
        <v/>
      </c>
      <c r="D961" s="24" t="str">
        <f>'DE ( Tarik barang retur )'!H938</f>
        <v/>
      </c>
      <c r="E961" s="24" t="str">
        <f>'DE ( Tarik barang retur )'!D938</f>
        <v/>
      </c>
      <c r="F961" s="24" t="str">
        <f>'DE ( Tarik barang retur )'!R938</f>
        <v/>
      </c>
      <c r="G961" s="24" t="str">
        <f>'DE ( Tarik barang retur )'!AF938</f>
        <v/>
      </c>
      <c r="H961" s="24"/>
      <c r="I961" s="24"/>
      <c r="J961" s="24"/>
      <c r="K961" s="24"/>
      <c r="L961" s="24"/>
      <c r="M961" s="24"/>
      <c r="N961" s="24"/>
      <c r="O961" s="24"/>
      <c r="P961" s="25"/>
      <c r="Q961" s="25"/>
      <c r="R961" s="25"/>
      <c r="S961" s="25"/>
      <c r="T961" s="25"/>
      <c r="U961" s="25"/>
      <c r="V961" s="25"/>
      <c r="W961" s="25"/>
      <c r="X961" s="25"/>
      <c r="Y961" s="25"/>
      <c r="Z961" s="25"/>
      <c r="AA961" s="25"/>
      <c r="AB961" s="25"/>
      <c r="AC961" s="25"/>
    </row>
    <row r="962">
      <c r="A962" s="24" t="str">
        <f>'DE ( Tarik barang retur )'!AC939</f>
        <v/>
      </c>
      <c r="B962" s="24" t="str">
        <f>'DE ( Tarik barang retur )'!F939</f>
        <v/>
      </c>
      <c r="C962" s="24" t="str">
        <f>'DE ( Tarik barang retur )'!G939</f>
        <v/>
      </c>
      <c r="D962" s="24" t="str">
        <f>'DE ( Tarik barang retur )'!H939</f>
        <v/>
      </c>
      <c r="E962" s="24" t="str">
        <f>'DE ( Tarik barang retur )'!D939</f>
        <v/>
      </c>
      <c r="F962" s="24" t="str">
        <f>'DE ( Tarik barang retur )'!R939</f>
        <v/>
      </c>
      <c r="G962" s="24" t="str">
        <f>'DE ( Tarik barang retur )'!AF939</f>
        <v/>
      </c>
      <c r="H962" s="24"/>
      <c r="I962" s="24"/>
      <c r="J962" s="24"/>
      <c r="K962" s="24"/>
      <c r="L962" s="24"/>
      <c r="M962" s="24"/>
      <c r="N962" s="24"/>
      <c r="O962" s="24"/>
      <c r="P962" s="25"/>
      <c r="Q962" s="25"/>
      <c r="R962" s="25"/>
      <c r="S962" s="25"/>
      <c r="T962" s="25"/>
      <c r="U962" s="25"/>
      <c r="V962" s="25"/>
      <c r="W962" s="25"/>
      <c r="X962" s="25"/>
      <c r="Y962" s="25"/>
      <c r="Z962" s="25"/>
      <c r="AA962" s="25"/>
      <c r="AB962" s="25"/>
      <c r="AC962" s="25"/>
    </row>
    <row r="963">
      <c r="A963" s="24" t="str">
        <f>'DE ( Tarik barang retur )'!AC940</f>
        <v/>
      </c>
      <c r="B963" s="24" t="str">
        <f>'DE ( Tarik barang retur )'!F940</f>
        <v/>
      </c>
      <c r="C963" s="24" t="str">
        <f>'DE ( Tarik barang retur )'!G940</f>
        <v/>
      </c>
      <c r="D963" s="24" t="str">
        <f>'DE ( Tarik barang retur )'!H940</f>
        <v/>
      </c>
      <c r="E963" s="24" t="str">
        <f>'DE ( Tarik barang retur )'!D940</f>
        <v/>
      </c>
      <c r="F963" s="24" t="str">
        <f>'DE ( Tarik barang retur )'!R940</f>
        <v/>
      </c>
      <c r="G963" s="24" t="str">
        <f>'DE ( Tarik barang retur )'!AF940</f>
        <v/>
      </c>
      <c r="H963" s="24"/>
      <c r="I963" s="24"/>
      <c r="J963" s="24"/>
      <c r="K963" s="24"/>
      <c r="L963" s="24"/>
      <c r="M963" s="24"/>
      <c r="N963" s="24"/>
      <c r="O963" s="24"/>
      <c r="P963" s="25"/>
      <c r="Q963" s="25"/>
      <c r="R963" s="25"/>
      <c r="S963" s="25"/>
      <c r="T963" s="25"/>
      <c r="U963" s="25"/>
      <c r="V963" s="25"/>
      <c r="W963" s="25"/>
      <c r="X963" s="25"/>
      <c r="Y963" s="25"/>
      <c r="Z963" s="25"/>
      <c r="AA963" s="25"/>
      <c r="AB963" s="25"/>
      <c r="AC963" s="25"/>
    </row>
    <row r="964">
      <c r="A964" s="24" t="str">
        <f>'DE ( Tarik barang retur )'!AC941</f>
        <v/>
      </c>
      <c r="B964" s="24" t="str">
        <f>'DE ( Tarik barang retur )'!F941</f>
        <v/>
      </c>
      <c r="C964" s="24" t="str">
        <f>'DE ( Tarik barang retur )'!G941</f>
        <v/>
      </c>
      <c r="D964" s="24" t="str">
        <f>'DE ( Tarik barang retur )'!H941</f>
        <v/>
      </c>
      <c r="E964" s="24" t="str">
        <f>'DE ( Tarik barang retur )'!D941</f>
        <v/>
      </c>
      <c r="F964" s="24" t="str">
        <f>'DE ( Tarik barang retur )'!R941</f>
        <v/>
      </c>
      <c r="G964" s="24" t="str">
        <f>'DE ( Tarik barang retur )'!AF941</f>
        <v/>
      </c>
      <c r="H964" s="24"/>
      <c r="I964" s="24"/>
      <c r="J964" s="24"/>
      <c r="K964" s="24"/>
      <c r="L964" s="24"/>
      <c r="M964" s="24"/>
      <c r="N964" s="24"/>
      <c r="O964" s="24"/>
      <c r="P964" s="25"/>
      <c r="Q964" s="25"/>
      <c r="R964" s="25"/>
      <c r="S964" s="25"/>
      <c r="T964" s="25"/>
      <c r="U964" s="25"/>
      <c r="V964" s="25"/>
      <c r="W964" s="25"/>
      <c r="X964" s="25"/>
      <c r="Y964" s="25"/>
      <c r="Z964" s="25"/>
      <c r="AA964" s="25"/>
      <c r="AB964" s="25"/>
      <c r="AC964" s="25"/>
    </row>
    <row r="965">
      <c r="A965" s="24" t="str">
        <f>'DE ( Tarik barang retur )'!AC942</f>
        <v/>
      </c>
      <c r="B965" s="24" t="str">
        <f>'DE ( Tarik barang retur )'!F942</f>
        <v/>
      </c>
      <c r="C965" s="24" t="str">
        <f>'DE ( Tarik barang retur )'!G942</f>
        <v/>
      </c>
      <c r="D965" s="24" t="str">
        <f>'DE ( Tarik barang retur )'!H942</f>
        <v/>
      </c>
      <c r="E965" s="24" t="str">
        <f>'DE ( Tarik barang retur )'!D942</f>
        <v/>
      </c>
      <c r="F965" s="24" t="str">
        <f>'DE ( Tarik barang retur )'!R942</f>
        <v/>
      </c>
      <c r="G965" s="24" t="str">
        <f>'DE ( Tarik barang retur )'!AF942</f>
        <v/>
      </c>
      <c r="H965" s="24"/>
      <c r="I965" s="24"/>
      <c r="J965" s="24"/>
      <c r="K965" s="24"/>
      <c r="L965" s="24"/>
      <c r="M965" s="24"/>
      <c r="N965" s="24"/>
      <c r="O965" s="24"/>
      <c r="P965" s="25"/>
      <c r="Q965" s="25"/>
      <c r="R965" s="25"/>
      <c r="S965" s="25"/>
      <c r="T965" s="25"/>
      <c r="U965" s="25"/>
      <c r="V965" s="25"/>
      <c r="W965" s="25"/>
      <c r="X965" s="25"/>
      <c r="Y965" s="25"/>
      <c r="Z965" s="25"/>
      <c r="AA965" s="25"/>
      <c r="AB965" s="25"/>
      <c r="AC965" s="25"/>
    </row>
    <row r="966">
      <c r="A966" s="24" t="str">
        <f>'DE ( Tarik barang retur )'!AC943</f>
        <v/>
      </c>
      <c r="B966" s="24" t="str">
        <f>'DE ( Tarik barang retur )'!F943</f>
        <v/>
      </c>
      <c r="C966" s="24" t="str">
        <f>'DE ( Tarik barang retur )'!G943</f>
        <v/>
      </c>
      <c r="D966" s="24" t="str">
        <f>'DE ( Tarik barang retur )'!H943</f>
        <v/>
      </c>
      <c r="E966" s="24" t="str">
        <f>'DE ( Tarik barang retur )'!D943</f>
        <v/>
      </c>
      <c r="F966" s="24" t="str">
        <f>'DE ( Tarik barang retur )'!R943</f>
        <v/>
      </c>
      <c r="G966" s="24" t="str">
        <f>'DE ( Tarik barang retur )'!AF943</f>
        <v/>
      </c>
      <c r="H966" s="24"/>
      <c r="I966" s="24"/>
      <c r="J966" s="24"/>
      <c r="K966" s="24"/>
      <c r="L966" s="24"/>
      <c r="M966" s="24"/>
      <c r="N966" s="24"/>
      <c r="O966" s="24"/>
      <c r="P966" s="25"/>
      <c r="Q966" s="25"/>
      <c r="R966" s="25"/>
      <c r="S966" s="25"/>
      <c r="T966" s="25"/>
      <c r="U966" s="25"/>
      <c r="V966" s="25"/>
      <c r="W966" s="25"/>
      <c r="X966" s="25"/>
      <c r="Y966" s="25"/>
      <c r="Z966" s="25"/>
      <c r="AA966" s="25"/>
      <c r="AB966" s="25"/>
      <c r="AC966" s="25"/>
    </row>
    <row r="967">
      <c r="A967" s="24" t="str">
        <f>'DE ( Tarik barang retur )'!AC944</f>
        <v/>
      </c>
      <c r="B967" s="24" t="str">
        <f>'DE ( Tarik barang retur )'!F944</f>
        <v/>
      </c>
      <c r="C967" s="24" t="str">
        <f>'DE ( Tarik barang retur )'!G944</f>
        <v/>
      </c>
      <c r="D967" s="24" t="str">
        <f>'DE ( Tarik barang retur )'!H944</f>
        <v/>
      </c>
      <c r="E967" s="24" t="str">
        <f>'DE ( Tarik barang retur )'!D944</f>
        <v/>
      </c>
      <c r="F967" s="24" t="str">
        <f>'DE ( Tarik barang retur )'!R944</f>
        <v/>
      </c>
      <c r="G967" s="24" t="str">
        <f>'DE ( Tarik barang retur )'!AF944</f>
        <v/>
      </c>
      <c r="H967" s="24"/>
      <c r="I967" s="24"/>
      <c r="J967" s="24"/>
      <c r="K967" s="24"/>
      <c r="L967" s="24"/>
      <c r="M967" s="24"/>
      <c r="N967" s="24"/>
      <c r="O967" s="24"/>
      <c r="P967" s="25"/>
      <c r="Q967" s="25"/>
      <c r="R967" s="25"/>
      <c r="S967" s="25"/>
      <c r="T967" s="25"/>
      <c r="U967" s="25"/>
      <c r="V967" s="25"/>
      <c r="W967" s="25"/>
      <c r="X967" s="25"/>
      <c r="Y967" s="25"/>
      <c r="Z967" s="25"/>
      <c r="AA967" s="25"/>
      <c r="AB967" s="25"/>
      <c r="AC967" s="25"/>
    </row>
    <row r="968">
      <c r="A968" s="24" t="str">
        <f>'DE ( Tarik barang retur )'!AC945</f>
        <v/>
      </c>
      <c r="B968" s="24" t="str">
        <f>'DE ( Tarik barang retur )'!F945</f>
        <v/>
      </c>
      <c r="C968" s="24" t="str">
        <f>'DE ( Tarik barang retur )'!G945</f>
        <v/>
      </c>
      <c r="D968" s="24" t="str">
        <f>'DE ( Tarik barang retur )'!H945</f>
        <v/>
      </c>
      <c r="E968" s="24" t="str">
        <f>'DE ( Tarik barang retur )'!D945</f>
        <v/>
      </c>
      <c r="F968" s="24" t="str">
        <f>'DE ( Tarik barang retur )'!R945</f>
        <v/>
      </c>
      <c r="G968" s="24" t="str">
        <f>'DE ( Tarik barang retur )'!AF945</f>
        <v/>
      </c>
      <c r="H968" s="24"/>
      <c r="I968" s="24"/>
      <c r="J968" s="24"/>
      <c r="K968" s="24"/>
      <c r="L968" s="24"/>
      <c r="M968" s="24"/>
      <c r="N968" s="24"/>
      <c r="O968" s="24"/>
      <c r="P968" s="25"/>
      <c r="Q968" s="25"/>
      <c r="R968" s="25"/>
      <c r="S968" s="25"/>
      <c r="T968" s="25"/>
      <c r="U968" s="25"/>
      <c r="V968" s="25"/>
      <c r="W968" s="25"/>
      <c r="X968" s="25"/>
      <c r="Y968" s="25"/>
      <c r="Z968" s="25"/>
      <c r="AA968" s="25"/>
      <c r="AB968" s="25"/>
      <c r="AC968" s="25"/>
    </row>
    <row r="969">
      <c r="A969" s="24" t="str">
        <f>'DE ( Tarik barang retur )'!AC946</f>
        <v/>
      </c>
      <c r="B969" s="24" t="str">
        <f>'DE ( Tarik barang retur )'!F946</f>
        <v/>
      </c>
      <c r="C969" s="24" t="str">
        <f>'DE ( Tarik barang retur )'!G946</f>
        <v/>
      </c>
      <c r="D969" s="24" t="str">
        <f>'DE ( Tarik barang retur )'!H946</f>
        <v/>
      </c>
      <c r="E969" s="24" t="str">
        <f>'DE ( Tarik barang retur )'!D946</f>
        <v/>
      </c>
      <c r="F969" s="24" t="str">
        <f>'DE ( Tarik barang retur )'!R946</f>
        <v/>
      </c>
      <c r="G969" s="24" t="str">
        <f>'DE ( Tarik barang retur )'!AF946</f>
        <v/>
      </c>
      <c r="H969" s="24"/>
      <c r="I969" s="24"/>
      <c r="J969" s="24"/>
      <c r="K969" s="24"/>
      <c r="L969" s="24"/>
      <c r="M969" s="24"/>
      <c r="N969" s="24"/>
      <c r="O969" s="24"/>
      <c r="P969" s="25"/>
      <c r="Q969" s="25"/>
      <c r="R969" s="25"/>
      <c r="S969" s="25"/>
      <c r="T969" s="25"/>
      <c r="U969" s="25"/>
      <c r="V969" s="25"/>
      <c r="W969" s="25"/>
      <c r="X969" s="25"/>
      <c r="Y969" s="25"/>
      <c r="Z969" s="25"/>
      <c r="AA969" s="25"/>
      <c r="AB969" s="25"/>
      <c r="AC969" s="25"/>
    </row>
    <row r="970">
      <c r="A970" s="24" t="str">
        <f>'DE ( Tarik barang retur )'!AC947</f>
        <v/>
      </c>
      <c r="B970" s="24" t="str">
        <f>'DE ( Tarik barang retur )'!F947</f>
        <v/>
      </c>
      <c r="C970" s="24" t="str">
        <f>'DE ( Tarik barang retur )'!G947</f>
        <v/>
      </c>
      <c r="D970" s="24" t="str">
        <f>'DE ( Tarik barang retur )'!H947</f>
        <v/>
      </c>
      <c r="E970" s="24" t="str">
        <f>'DE ( Tarik barang retur )'!D947</f>
        <v/>
      </c>
      <c r="F970" s="24" t="str">
        <f>'DE ( Tarik barang retur )'!R947</f>
        <v/>
      </c>
      <c r="G970" s="24" t="str">
        <f>'DE ( Tarik barang retur )'!AF947</f>
        <v/>
      </c>
      <c r="H970" s="24"/>
      <c r="I970" s="24"/>
      <c r="J970" s="24"/>
      <c r="K970" s="24"/>
      <c r="L970" s="24"/>
      <c r="M970" s="24"/>
      <c r="N970" s="24"/>
      <c r="O970" s="24"/>
      <c r="P970" s="25"/>
      <c r="Q970" s="25"/>
      <c r="R970" s="25"/>
      <c r="S970" s="25"/>
      <c r="T970" s="25"/>
      <c r="U970" s="25"/>
      <c r="V970" s="25"/>
      <c r="W970" s="25"/>
      <c r="X970" s="25"/>
      <c r="Y970" s="25"/>
      <c r="Z970" s="25"/>
      <c r="AA970" s="25"/>
      <c r="AB970" s="25"/>
      <c r="AC970" s="25"/>
    </row>
    <row r="971">
      <c r="A971" s="24" t="str">
        <f>'DE ( Tarik barang retur )'!AC948</f>
        <v/>
      </c>
      <c r="B971" s="24" t="str">
        <f>'DE ( Tarik barang retur )'!F948</f>
        <v/>
      </c>
      <c r="C971" s="24" t="str">
        <f>'DE ( Tarik barang retur )'!G948</f>
        <v/>
      </c>
      <c r="D971" s="24" t="str">
        <f>'DE ( Tarik barang retur )'!H948</f>
        <v/>
      </c>
      <c r="E971" s="24" t="str">
        <f>'DE ( Tarik barang retur )'!D948</f>
        <v/>
      </c>
      <c r="F971" s="24" t="str">
        <f>'DE ( Tarik barang retur )'!R948</f>
        <v/>
      </c>
      <c r="G971" s="24" t="str">
        <f>'DE ( Tarik barang retur )'!AF948</f>
        <v/>
      </c>
      <c r="H971" s="24"/>
      <c r="I971" s="24"/>
      <c r="J971" s="24"/>
      <c r="K971" s="24"/>
      <c r="L971" s="24"/>
      <c r="M971" s="24"/>
      <c r="N971" s="24"/>
      <c r="O971" s="24"/>
      <c r="P971" s="25"/>
      <c r="Q971" s="25"/>
      <c r="R971" s="25"/>
      <c r="S971" s="25"/>
      <c r="T971" s="25"/>
      <c r="U971" s="25"/>
      <c r="V971" s="25"/>
      <c r="W971" s="25"/>
      <c r="X971" s="25"/>
      <c r="Y971" s="25"/>
      <c r="Z971" s="25"/>
      <c r="AA971" s="25"/>
      <c r="AB971" s="25"/>
      <c r="AC971" s="25"/>
    </row>
    <row r="972">
      <c r="A972" s="24" t="str">
        <f>'DE ( Tarik barang retur )'!AC949</f>
        <v/>
      </c>
      <c r="B972" s="24" t="str">
        <f>'DE ( Tarik barang retur )'!F949</f>
        <v/>
      </c>
      <c r="C972" s="24" t="str">
        <f>'DE ( Tarik barang retur )'!G949</f>
        <v/>
      </c>
      <c r="D972" s="24" t="str">
        <f>'DE ( Tarik barang retur )'!H949</f>
        <v/>
      </c>
      <c r="E972" s="24" t="str">
        <f>'DE ( Tarik barang retur )'!D949</f>
        <v/>
      </c>
      <c r="F972" s="24" t="str">
        <f>'DE ( Tarik barang retur )'!R949</f>
        <v/>
      </c>
      <c r="G972" s="24" t="str">
        <f>'DE ( Tarik barang retur )'!AF949</f>
        <v/>
      </c>
      <c r="H972" s="24"/>
      <c r="I972" s="24"/>
      <c r="J972" s="24"/>
      <c r="K972" s="24"/>
      <c r="L972" s="24"/>
      <c r="M972" s="24"/>
      <c r="N972" s="24"/>
      <c r="O972" s="24"/>
      <c r="P972" s="25"/>
      <c r="Q972" s="25"/>
      <c r="R972" s="25"/>
      <c r="S972" s="25"/>
      <c r="T972" s="25"/>
      <c r="U972" s="25"/>
      <c r="V972" s="25"/>
      <c r="W972" s="25"/>
      <c r="X972" s="25"/>
      <c r="Y972" s="25"/>
      <c r="Z972" s="25"/>
      <c r="AA972" s="25"/>
      <c r="AB972" s="25"/>
      <c r="AC972" s="25"/>
    </row>
    <row r="973">
      <c r="A973" s="24" t="str">
        <f>'DE ( Tarik barang retur )'!AC950</f>
        <v/>
      </c>
      <c r="B973" s="24" t="str">
        <f>'DE ( Tarik barang retur )'!F950</f>
        <v/>
      </c>
      <c r="C973" s="24" t="str">
        <f>'DE ( Tarik barang retur )'!G950</f>
        <v/>
      </c>
      <c r="D973" s="24" t="str">
        <f>'DE ( Tarik barang retur )'!H950</f>
        <v/>
      </c>
      <c r="E973" s="24" t="str">
        <f>'DE ( Tarik barang retur )'!D950</f>
        <v/>
      </c>
      <c r="F973" s="24" t="str">
        <f>'DE ( Tarik barang retur )'!R950</f>
        <v/>
      </c>
      <c r="G973" s="24" t="str">
        <f>'DE ( Tarik barang retur )'!AF950</f>
        <v/>
      </c>
      <c r="H973" s="24"/>
      <c r="I973" s="24"/>
      <c r="J973" s="24"/>
      <c r="K973" s="24"/>
      <c r="L973" s="24"/>
      <c r="M973" s="24"/>
      <c r="N973" s="24"/>
      <c r="O973" s="24"/>
      <c r="P973" s="25"/>
      <c r="Q973" s="25"/>
      <c r="R973" s="25"/>
      <c r="S973" s="25"/>
      <c r="T973" s="25"/>
      <c r="U973" s="25"/>
      <c r="V973" s="25"/>
      <c r="W973" s="25"/>
      <c r="X973" s="25"/>
      <c r="Y973" s="25"/>
      <c r="Z973" s="25"/>
      <c r="AA973" s="25"/>
      <c r="AB973" s="25"/>
      <c r="AC973" s="25"/>
    </row>
    <row r="974">
      <c r="A974" s="24" t="str">
        <f>'DE ( Tarik barang retur )'!AC951</f>
        <v/>
      </c>
      <c r="B974" s="24" t="str">
        <f>'DE ( Tarik barang retur )'!F951</f>
        <v/>
      </c>
      <c r="C974" s="24" t="str">
        <f>'DE ( Tarik barang retur )'!G951</f>
        <v/>
      </c>
      <c r="D974" s="24" t="str">
        <f>'DE ( Tarik barang retur )'!H951</f>
        <v/>
      </c>
      <c r="E974" s="24" t="str">
        <f>'DE ( Tarik barang retur )'!D951</f>
        <v/>
      </c>
      <c r="F974" s="24" t="str">
        <f>'DE ( Tarik barang retur )'!R951</f>
        <v/>
      </c>
      <c r="G974" s="24" t="str">
        <f>'DE ( Tarik barang retur )'!AF951</f>
        <v/>
      </c>
      <c r="H974" s="24"/>
      <c r="I974" s="24"/>
      <c r="J974" s="24"/>
      <c r="K974" s="24"/>
      <c r="L974" s="24"/>
      <c r="M974" s="24"/>
      <c r="N974" s="24"/>
      <c r="O974" s="24"/>
      <c r="P974" s="25"/>
      <c r="Q974" s="25"/>
      <c r="R974" s="25"/>
      <c r="S974" s="25"/>
      <c r="T974" s="25"/>
      <c r="U974" s="25"/>
      <c r="V974" s="25"/>
      <c r="W974" s="25"/>
      <c r="X974" s="25"/>
      <c r="Y974" s="25"/>
      <c r="Z974" s="25"/>
      <c r="AA974" s="25"/>
      <c r="AB974" s="25"/>
      <c r="AC974" s="25"/>
    </row>
    <row r="975">
      <c r="A975" s="24" t="str">
        <f>'DE ( Tarik barang retur )'!AC952</f>
        <v/>
      </c>
      <c r="B975" s="24" t="str">
        <f>'DE ( Tarik barang retur )'!F952</f>
        <v/>
      </c>
      <c r="C975" s="24" t="str">
        <f>'DE ( Tarik barang retur )'!G952</f>
        <v/>
      </c>
      <c r="D975" s="24" t="str">
        <f>'DE ( Tarik barang retur )'!H952</f>
        <v/>
      </c>
      <c r="E975" s="24" t="str">
        <f>'DE ( Tarik barang retur )'!D952</f>
        <v/>
      </c>
      <c r="F975" s="24" t="str">
        <f>'DE ( Tarik barang retur )'!R952</f>
        <v/>
      </c>
      <c r="G975" s="24" t="str">
        <f>'DE ( Tarik barang retur )'!AF952</f>
        <v/>
      </c>
      <c r="H975" s="24"/>
      <c r="I975" s="24"/>
      <c r="J975" s="24"/>
      <c r="K975" s="24"/>
      <c r="L975" s="24"/>
      <c r="M975" s="24"/>
      <c r="N975" s="24"/>
      <c r="O975" s="24"/>
      <c r="P975" s="25"/>
      <c r="Q975" s="25"/>
      <c r="R975" s="25"/>
      <c r="S975" s="25"/>
      <c r="T975" s="25"/>
      <c r="U975" s="25"/>
      <c r="V975" s="25"/>
      <c r="W975" s="25"/>
      <c r="X975" s="25"/>
      <c r="Y975" s="25"/>
      <c r="Z975" s="25"/>
      <c r="AA975" s="25"/>
      <c r="AB975" s="25"/>
      <c r="AC975" s="25"/>
    </row>
    <row r="976">
      <c r="A976" s="24" t="str">
        <f>'DE ( Tarik barang retur )'!AC953</f>
        <v/>
      </c>
      <c r="B976" s="24" t="str">
        <f>'DE ( Tarik barang retur )'!F953</f>
        <v/>
      </c>
      <c r="C976" s="24" t="str">
        <f>'DE ( Tarik barang retur )'!G953</f>
        <v/>
      </c>
      <c r="D976" s="24" t="str">
        <f>'DE ( Tarik barang retur )'!H953</f>
        <v/>
      </c>
      <c r="E976" s="24" t="str">
        <f>'DE ( Tarik barang retur )'!D953</f>
        <v/>
      </c>
      <c r="F976" s="24" t="str">
        <f>'DE ( Tarik barang retur )'!R953</f>
        <v/>
      </c>
      <c r="G976" s="24" t="str">
        <f>'DE ( Tarik barang retur )'!AF953</f>
        <v/>
      </c>
      <c r="H976" s="24"/>
      <c r="I976" s="24"/>
      <c r="J976" s="24"/>
      <c r="K976" s="24"/>
      <c r="L976" s="24"/>
      <c r="M976" s="24"/>
      <c r="N976" s="24"/>
      <c r="O976" s="24"/>
      <c r="P976" s="25"/>
      <c r="Q976" s="25"/>
      <c r="R976" s="25"/>
      <c r="S976" s="25"/>
      <c r="T976" s="25"/>
      <c r="U976" s="25"/>
      <c r="V976" s="25"/>
      <c r="W976" s="25"/>
      <c r="X976" s="25"/>
      <c r="Y976" s="25"/>
      <c r="Z976" s="25"/>
      <c r="AA976" s="25"/>
      <c r="AB976" s="25"/>
      <c r="AC976" s="25"/>
    </row>
    <row r="977">
      <c r="A977" s="24" t="str">
        <f>'DE ( Tarik barang retur )'!AC954</f>
        <v/>
      </c>
      <c r="B977" s="24" t="str">
        <f>'DE ( Tarik barang retur )'!F954</f>
        <v/>
      </c>
      <c r="C977" s="24" t="str">
        <f>'DE ( Tarik barang retur )'!G954</f>
        <v/>
      </c>
      <c r="D977" s="24" t="str">
        <f>'DE ( Tarik barang retur )'!H954</f>
        <v/>
      </c>
      <c r="E977" s="24" t="str">
        <f>'DE ( Tarik barang retur )'!D954</f>
        <v/>
      </c>
      <c r="F977" s="24" t="str">
        <f>'DE ( Tarik barang retur )'!R954</f>
        <v/>
      </c>
      <c r="G977" s="24" t="str">
        <f>'DE ( Tarik barang retur )'!AF954</f>
        <v/>
      </c>
      <c r="H977" s="24"/>
      <c r="I977" s="24"/>
      <c r="J977" s="24"/>
      <c r="K977" s="24"/>
      <c r="L977" s="24"/>
      <c r="M977" s="24"/>
      <c r="N977" s="24"/>
      <c r="O977" s="24"/>
      <c r="P977" s="25"/>
      <c r="Q977" s="25"/>
      <c r="R977" s="25"/>
      <c r="S977" s="25"/>
      <c r="T977" s="25"/>
      <c r="U977" s="25"/>
      <c r="V977" s="25"/>
      <c r="W977" s="25"/>
      <c r="X977" s="25"/>
      <c r="Y977" s="25"/>
      <c r="Z977" s="25"/>
      <c r="AA977" s="25"/>
      <c r="AB977" s="25"/>
      <c r="AC977" s="25"/>
    </row>
    <row r="978">
      <c r="A978" s="24" t="str">
        <f>'DE ( Tarik barang retur )'!AC955</f>
        <v/>
      </c>
      <c r="B978" s="24" t="str">
        <f>'DE ( Tarik barang retur )'!F955</f>
        <v/>
      </c>
      <c r="C978" s="24" t="str">
        <f>'DE ( Tarik barang retur )'!G955</f>
        <v/>
      </c>
      <c r="D978" s="24" t="str">
        <f>'DE ( Tarik barang retur )'!H955</f>
        <v/>
      </c>
      <c r="E978" s="24" t="str">
        <f>'DE ( Tarik barang retur )'!D955</f>
        <v/>
      </c>
      <c r="F978" s="24" t="str">
        <f>'DE ( Tarik barang retur )'!R955</f>
        <v/>
      </c>
      <c r="G978" s="24" t="str">
        <f>'DE ( Tarik barang retur )'!AF955</f>
        <v/>
      </c>
      <c r="H978" s="24"/>
      <c r="I978" s="24"/>
      <c r="J978" s="24"/>
      <c r="K978" s="24"/>
      <c r="L978" s="24"/>
      <c r="M978" s="24"/>
      <c r="N978" s="24"/>
      <c r="O978" s="24"/>
      <c r="P978" s="25"/>
      <c r="Q978" s="25"/>
      <c r="R978" s="25"/>
      <c r="S978" s="25"/>
      <c r="T978" s="25"/>
      <c r="U978" s="25"/>
      <c r="V978" s="25"/>
      <c r="W978" s="25"/>
      <c r="X978" s="25"/>
      <c r="Y978" s="25"/>
      <c r="Z978" s="25"/>
      <c r="AA978" s="25"/>
      <c r="AB978" s="25"/>
      <c r="AC978" s="25"/>
    </row>
    <row r="979">
      <c r="A979" s="24" t="str">
        <f>'DE ( Tarik barang retur )'!AC956</f>
        <v/>
      </c>
      <c r="B979" s="24" t="str">
        <f>'DE ( Tarik barang retur )'!F956</f>
        <v/>
      </c>
      <c r="C979" s="24" t="str">
        <f>'DE ( Tarik barang retur )'!G956</f>
        <v/>
      </c>
      <c r="D979" s="24" t="str">
        <f>'DE ( Tarik barang retur )'!H956</f>
        <v/>
      </c>
      <c r="E979" s="24" t="str">
        <f>'DE ( Tarik barang retur )'!D956</f>
        <v/>
      </c>
      <c r="F979" s="24" t="str">
        <f>'DE ( Tarik barang retur )'!R956</f>
        <v/>
      </c>
      <c r="G979" s="24" t="str">
        <f>'DE ( Tarik barang retur )'!AF956</f>
        <v/>
      </c>
      <c r="H979" s="24"/>
      <c r="I979" s="24"/>
      <c r="J979" s="24"/>
      <c r="K979" s="24"/>
      <c r="L979" s="24"/>
      <c r="M979" s="24"/>
      <c r="N979" s="24"/>
      <c r="O979" s="24"/>
      <c r="P979" s="25"/>
      <c r="Q979" s="25"/>
      <c r="R979" s="25"/>
      <c r="S979" s="25"/>
      <c r="T979" s="25"/>
      <c r="U979" s="25"/>
      <c r="V979" s="25"/>
      <c r="W979" s="25"/>
      <c r="X979" s="25"/>
      <c r="Y979" s="25"/>
      <c r="Z979" s="25"/>
      <c r="AA979" s="25"/>
      <c r="AB979" s="25"/>
      <c r="AC979" s="25"/>
    </row>
    <row r="980">
      <c r="A980" s="24" t="str">
        <f>'DE ( Tarik barang retur )'!AC957</f>
        <v/>
      </c>
      <c r="B980" s="24" t="str">
        <f>'DE ( Tarik barang retur )'!F957</f>
        <v/>
      </c>
      <c r="C980" s="24" t="str">
        <f>'DE ( Tarik barang retur )'!G957</f>
        <v/>
      </c>
      <c r="D980" s="24" t="str">
        <f>'DE ( Tarik barang retur )'!H957</f>
        <v/>
      </c>
      <c r="E980" s="24" t="str">
        <f>'DE ( Tarik barang retur )'!D957</f>
        <v/>
      </c>
      <c r="F980" s="24" t="str">
        <f>'DE ( Tarik barang retur )'!R957</f>
        <v/>
      </c>
      <c r="G980" s="24" t="str">
        <f>'DE ( Tarik barang retur )'!AF957</f>
        <v/>
      </c>
      <c r="H980" s="24"/>
      <c r="I980" s="24"/>
      <c r="J980" s="24"/>
      <c r="K980" s="24"/>
      <c r="L980" s="24"/>
      <c r="M980" s="24"/>
      <c r="N980" s="24"/>
      <c r="O980" s="24"/>
      <c r="P980" s="25"/>
      <c r="Q980" s="25"/>
      <c r="R980" s="25"/>
      <c r="S980" s="25"/>
      <c r="T980" s="25"/>
      <c r="U980" s="25"/>
      <c r="V980" s="25"/>
      <c r="W980" s="25"/>
      <c r="X980" s="25"/>
      <c r="Y980" s="25"/>
      <c r="Z980" s="25"/>
      <c r="AA980" s="25"/>
      <c r="AB980" s="25"/>
      <c r="AC980" s="25"/>
    </row>
    <row r="981">
      <c r="A981" s="24" t="str">
        <f>'DE ( Tarik barang retur )'!AC958</f>
        <v/>
      </c>
      <c r="B981" s="24" t="str">
        <f>'DE ( Tarik barang retur )'!F958</f>
        <v/>
      </c>
      <c r="C981" s="24" t="str">
        <f>'DE ( Tarik barang retur )'!G958</f>
        <v/>
      </c>
      <c r="D981" s="24" t="str">
        <f>'DE ( Tarik barang retur )'!H958</f>
        <v/>
      </c>
      <c r="E981" s="24" t="str">
        <f>'DE ( Tarik barang retur )'!D958</f>
        <v/>
      </c>
      <c r="F981" s="24" t="str">
        <f>'DE ( Tarik barang retur )'!R958</f>
        <v/>
      </c>
      <c r="G981" s="24" t="str">
        <f>'DE ( Tarik barang retur )'!AF958</f>
        <v/>
      </c>
      <c r="H981" s="24"/>
      <c r="I981" s="24"/>
      <c r="J981" s="24"/>
      <c r="K981" s="24"/>
      <c r="L981" s="24"/>
      <c r="M981" s="24"/>
      <c r="N981" s="24"/>
      <c r="O981" s="24"/>
      <c r="P981" s="25"/>
      <c r="Q981" s="25"/>
      <c r="R981" s="25"/>
      <c r="S981" s="25"/>
      <c r="T981" s="25"/>
      <c r="U981" s="25"/>
      <c r="V981" s="25"/>
      <c r="W981" s="25"/>
      <c r="X981" s="25"/>
      <c r="Y981" s="25"/>
      <c r="Z981" s="25"/>
      <c r="AA981" s="25"/>
      <c r="AB981" s="25"/>
      <c r="AC981" s="25"/>
    </row>
    <row r="982">
      <c r="A982" s="24" t="str">
        <f>'DE ( Tarik barang retur )'!AC959</f>
        <v/>
      </c>
      <c r="B982" s="24" t="str">
        <f>'DE ( Tarik barang retur )'!F959</f>
        <v/>
      </c>
      <c r="C982" s="24" t="str">
        <f>'DE ( Tarik barang retur )'!G959</f>
        <v/>
      </c>
      <c r="D982" s="24" t="str">
        <f>'DE ( Tarik barang retur )'!H959</f>
        <v/>
      </c>
      <c r="E982" s="24" t="str">
        <f>'DE ( Tarik barang retur )'!D959</f>
        <v/>
      </c>
      <c r="F982" s="24" t="str">
        <f>'DE ( Tarik barang retur )'!R959</f>
        <v/>
      </c>
      <c r="G982" s="24" t="str">
        <f>'DE ( Tarik barang retur )'!AF959</f>
        <v/>
      </c>
      <c r="H982" s="24"/>
      <c r="I982" s="24"/>
      <c r="J982" s="24"/>
      <c r="K982" s="24"/>
      <c r="L982" s="24"/>
      <c r="M982" s="24"/>
      <c r="N982" s="24"/>
      <c r="O982" s="24"/>
      <c r="P982" s="25"/>
      <c r="Q982" s="25"/>
      <c r="R982" s="25"/>
      <c r="S982" s="25"/>
      <c r="T982" s="25"/>
      <c r="U982" s="25"/>
      <c r="V982" s="25"/>
      <c r="W982" s="25"/>
      <c r="X982" s="25"/>
      <c r="Y982" s="25"/>
      <c r="Z982" s="25"/>
      <c r="AA982" s="25"/>
      <c r="AB982" s="25"/>
      <c r="AC982" s="25"/>
    </row>
    <row r="983">
      <c r="A983" s="24" t="str">
        <f>'DE ( Tarik barang retur )'!AC960</f>
        <v/>
      </c>
      <c r="B983" s="24" t="str">
        <f>'DE ( Tarik barang retur )'!F960</f>
        <v/>
      </c>
      <c r="C983" s="24" t="str">
        <f>'DE ( Tarik barang retur )'!G960</f>
        <v/>
      </c>
      <c r="D983" s="24" t="str">
        <f>'DE ( Tarik barang retur )'!H960</f>
        <v/>
      </c>
      <c r="E983" s="24" t="str">
        <f>'DE ( Tarik barang retur )'!D960</f>
        <v/>
      </c>
      <c r="F983" s="24" t="str">
        <f>'DE ( Tarik barang retur )'!R960</f>
        <v/>
      </c>
      <c r="G983" s="24" t="str">
        <f>'DE ( Tarik barang retur )'!AF960</f>
        <v/>
      </c>
      <c r="H983" s="24"/>
      <c r="I983" s="24"/>
      <c r="J983" s="24"/>
      <c r="K983" s="24"/>
      <c r="L983" s="24"/>
      <c r="M983" s="24"/>
      <c r="N983" s="24"/>
      <c r="O983" s="24"/>
      <c r="P983" s="25"/>
      <c r="Q983" s="25"/>
      <c r="R983" s="25"/>
      <c r="S983" s="25"/>
      <c r="T983" s="25"/>
      <c r="U983" s="25"/>
      <c r="V983" s="25"/>
      <c r="W983" s="25"/>
      <c r="X983" s="25"/>
      <c r="Y983" s="25"/>
      <c r="Z983" s="25"/>
      <c r="AA983" s="25"/>
      <c r="AB983" s="25"/>
      <c r="AC983" s="25"/>
    </row>
    <row r="984">
      <c r="A984" s="24" t="str">
        <f>'DE ( Tarik barang retur )'!AC961</f>
        <v/>
      </c>
      <c r="B984" s="24" t="str">
        <f>'DE ( Tarik barang retur )'!F961</f>
        <v/>
      </c>
      <c r="C984" s="24" t="str">
        <f>'DE ( Tarik barang retur )'!G961</f>
        <v/>
      </c>
      <c r="D984" s="24" t="str">
        <f>'DE ( Tarik barang retur )'!H961</f>
        <v/>
      </c>
      <c r="E984" s="24" t="str">
        <f>'DE ( Tarik barang retur )'!D961</f>
        <v/>
      </c>
      <c r="F984" s="24" t="str">
        <f>'DE ( Tarik barang retur )'!R961</f>
        <v/>
      </c>
      <c r="G984" s="24" t="str">
        <f>'DE ( Tarik barang retur )'!AF961</f>
        <v/>
      </c>
      <c r="H984" s="24"/>
      <c r="I984" s="24"/>
      <c r="J984" s="24"/>
      <c r="K984" s="24"/>
      <c r="L984" s="24"/>
      <c r="M984" s="24"/>
      <c r="N984" s="24"/>
      <c r="O984" s="24"/>
      <c r="P984" s="25"/>
      <c r="Q984" s="25"/>
      <c r="R984" s="25"/>
      <c r="S984" s="25"/>
      <c r="T984" s="25"/>
      <c r="U984" s="25"/>
      <c r="V984" s="25"/>
      <c r="W984" s="25"/>
      <c r="X984" s="25"/>
      <c r="Y984" s="25"/>
      <c r="Z984" s="25"/>
      <c r="AA984" s="25"/>
      <c r="AB984" s="25"/>
      <c r="AC984" s="25"/>
    </row>
    <row r="985">
      <c r="A985" s="24" t="str">
        <f>'DE ( Tarik barang retur )'!AC962</f>
        <v/>
      </c>
      <c r="B985" s="24" t="str">
        <f>'DE ( Tarik barang retur )'!F962</f>
        <v/>
      </c>
      <c r="C985" s="24" t="str">
        <f>'DE ( Tarik barang retur )'!G962</f>
        <v/>
      </c>
      <c r="D985" s="24" t="str">
        <f>'DE ( Tarik barang retur )'!H962</f>
        <v/>
      </c>
      <c r="E985" s="24" t="str">
        <f>'DE ( Tarik barang retur )'!D962</f>
        <v/>
      </c>
      <c r="F985" s="24" t="str">
        <f>'DE ( Tarik barang retur )'!R962</f>
        <v/>
      </c>
      <c r="G985" s="24" t="str">
        <f>'DE ( Tarik barang retur )'!AF962</f>
        <v/>
      </c>
      <c r="H985" s="24"/>
      <c r="I985" s="24"/>
      <c r="J985" s="24"/>
      <c r="K985" s="24"/>
      <c r="L985" s="24"/>
      <c r="M985" s="24"/>
      <c r="N985" s="24"/>
      <c r="O985" s="24"/>
      <c r="P985" s="25"/>
      <c r="Q985" s="25"/>
      <c r="R985" s="25"/>
      <c r="S985" s="25"/>
      <c r="T985" s="25"/>
      <c r="U985" s="25"/>
      <c r="V985" s="25"/>
      <c r="W985" s="25"/>
      <c r="X985" s="25"/>
      <c r="Y985" s="25"/>
      <c r="Z985" s="25"/>
      <c r="AA985" s="25"/>
      <c r="AB985" s="25"/>
      <c r="AC985" s="25"/>
    </row>
    <row r="986">
      <c r="A986" s="24" t="str">
        <f>'DE ( Tarik barang retur )'!AC963</f>
        <v/>
      </c>
      <c r="B986" s="24" t="str">
        <f>'DE ( Tarik barang retur )'!F963</f>
        <v/>
      </c>
      <c r="C986" s="24" t="str">
        <f>'DE ( Tarik barang retur )'!G963</f>
        <v/>
      </c>
      <c r="D986" s="24" t="str">
        <f>'DE ( Tarik barang retur )'!H963</f>
        <v/>
      </c>
      <c r="E986" s="24" t="str">
        <f>'DE ( Tarik barang retur )'!D963</f>
        <v/>
      </c>
      <c r="F986" s="24" t="str">
        <f>'DE ( Tarik barang retur )'!R963</f>
        <v/>
      </c>
      <c r="G986" s="24" t="str">
        <f>'DE ( Tarik barang retur )'!AF963</f>
        <v/>
      </c>
      <c r="H986" s="24"/>
      <c r="I986" s="24"/>
      <c r="J986" s="24"/>
      <c r="K986" s="24"/>
      <c r="L986" s="24"/>
      <c r="M986" s="24"/>
      <c r="N986" s="24"/>
      <c r="O986" s="24"/>
      <c r="P986" s="25"/>
      <c r="Q986" s="25"/>
      <c r="R986" s="25"/>
      <c r="S986" s="25"/>
      <c r="T986" s="25"/>
      <c r="U986" s="25"/>
      <c r="V986" s="25"/>
      <c r="W986" s="25"/>
      <c r="X986" s="25"/>
      <c r="Y986" s="25"/>
      <c r="Z986" s="25"/>
      <c r="AA986" s="25"/>
      <c r="AB986" s="25"/>
      <c r="AC986" s="25"/>
    </row>
    <row r="987">
      <c r="A987" s="24" t="str">
        <f>'DE ( Tarik barang retur )'!AC964</f>
        <v/>
      </c>
      <c r="B987" s="24" t="str">
        <f>'DE ( Tarik barang retur )'!F964</f>
        <v/>
      </c>
      <c r="C987" s="24" t="str">
        <f>'DE ( Tarik barang retur )'!G964</f>
        <v/>
      </c>
      <c r="D987" s="24" t="str">
        <f>'DE ( Tarik barang retur )'!H964</f>
        <v/>
      </c>
      <c r="E987" s="24" t="str">
        <f>'DE ( Tarik barang retur )'!D964</f>
        <v/>
      </c>
      <c r="F987" s="24" t="str">
        <f>'DE ( Tarik barang retur )'!R964</f>
        <v/>
      </c>
      <c r="G987" s="24" t="str">
        <f>'DE ( Tarik barang retur )'!AF964</f>
        <v/>
      </c>
      <c r="H987" s="24"/>
      <c r="I987" s="24"/>
      <c r="J987" s="24"/>
      <c r="K987" s="24"/>
      <c r="L987" s="24"/>
      <c r="M987" s="24"/>
      <c r="N987" s="24"/>
      <c r="O987" s="24"/>
      <c r="P987" s="25"/>
      <c r="Q987" s="25"/>
      <c r="R987" s="25"/>
      <c r="S987" s="25"/>
      <c r="T987" s="25"/>
      <c r="U987" s="25"/>
      <c r="V987" s="25"/>
      <c r="W987" s="25"/>
      <c r="X987" s="25"/>
      <c r="Y987" s="25"/>
      <c r="Z987" s="25"/>
      <c r="AA987" s="25"/>
      <c r="AB987" s="25"/>
      <c r="AC987" s="25"/>
    </row>
    <row r="988">
      <c r="A988" s="24" t="str">
        <f>'DE ( Tarik barang retur )'!AC965</f>
        <v/>
      </c>
      <c r="B988" s="24" t="str">
        <f>'DE ( Tarik barang retur )'!F965</f>
        <v/>
      </c>
      <c r="C988" s="24" t="str">
        <f>'DE ( Tarik barang retur )'!G965</f>
        <v/>
      </c>
      <c r="D988" s="24" t="str">
        <f>'DE ( Tarik barang retur )'!H965</f>
        <v/>
      </c>
      <c r="E988" s="24" t="str">
        <f>'DE ( Tarik barang retur )'!D965</f>
        <v/>
      </c>
      <c r="F988" s="24" t="str">
        <f>'DE ( Tarik barang retur )'!R965</f>
        <v/>
      </c>
      <c r="G988" s="24" t="str">
        <f>'DE ( Tarik barang retur )'!AF965</f>
        <v/>
      </c>
      <c r="H988" s="24"/>
      <c r="I988" s="24"/>
      <c r="J988" s="24"/>
      <c r="K988" s="24"/>
      <c r="L988" s="24"/>
      <c r="M988" s="24"/>
      <c r="N988" s="24"/>
      <c r="O988" s="24"/>
      <c r="P988" s="25"/>
      <c r="Q988" s="25"/>
      <c r="R988" s="25"/>
      <c r="S988" s="25"/>
      <c r="T988" s="25"/>
      <c r="U988" s="25"/>
      <c r="V988" s="25"/>
      <c r="W988" s="25"/>
      <c r="X988" s="25"/>
      <c r="Y988" s="25"/>
      <c r="Z988" s="25"/>
      <c r="AA988" s="25"/>
      <c r="AB988" s="25"/>
      <c r="AC988" s="25"/>
    </row>
    <row r="989">
      <c r="A989" s="24" t="str">
        <f>'DE ( Tarik barang retur )'!AC966</f>
        <v/>
      </c>
      <c r="B989" s="24" t="str">
        <f>'DE ( Tarik barang retur )'!F966</f>
        <v/>
      </c>
      <c r="C989" s="24" t="str">
        <f>'DE ( Tarik barang retur )'!G966</f>
        <v/>
      </c>
      <c r="D989" s="24" t="str">
        <f>'DE ( Tarik barang retur )'!H966</f>
        <v/>
      </c>
      <c r="E989" s="24" t="str">
        <f>'DE ( Tarik barang retur )'!D966</f>
        <v/>
      </c>
      <c r="F989" s="24" t="str">
        <f>'DE ( Tarik barang retur )'!R966</f>
        <v/>
      </c>
      <c r="G989" s="24" t="str">
        <f>'DE ( Tarik barang retur )'!AF966</f>
        <v/>
      </c>
      <c r="H989" s="24"/>
      <c r="I989" s="24"/>
      <c r="J989" s="24"/>
      <c r="K989" s="24"/>
      <c r="L989" s="24"/>
      <c r="M989" s="24"/>
      <c r="N989" s="24"/>
      <c r="O989" s="24"/>
      <c r="P989" s="25"/>
      <c r="Q989" s="25"/>
      <c r="R989" s="25"/>
      <c r="S989" s="25"/>
      <c r="T989" s="25"/>
      <c r="U989" s="25"/>
      <c r="V989" s="25"/>
      <c r="W989" s="25"/>
      <c r="X989" s="25"/>
      <c r="Y989" s="25"/>
      <c r="Z989" s="25"/>
      <c r="AA989" s="25"/>
      <c r="AB989" s="25"/>
      <c r="AC989" s="25"/>
    </row>
    <row r="990">
      <c r="A990" s="24" t="str">
        <f>'DE ( Tarik barang retur )'!AC967</f>
        <v/>
      </c>
      <c r="B990" s="24" t="str">
        <f>'DE ( Tarik barang retur )'!F967</f>
        <v/>
      </c>
      <c r="C990" s="24" t="str">
        <f>'DE ( Tarik barang retur )'!G967</f>
        <v/>
      </c>
      <c r="D990" s="24" t="str">
        <f>'DE ( Tarik barang retur )'!H967</f>
        <v/>
      </c>
      <c r="E990" s="24" t="str">
        <f>'DE ( Tarik barang retur )'!D967</f>
        <v/>
      </c>
      <c r="F990" s="24" t="str">
        <f>'DE ( Tarik barang retur )'!R967</f>
        <v/>
      </c>
      <c r="G990" s="24" t="str">
        <f>'DE ( Tarik barang retur )'!AF967</f>
        <v/>
      </c>
      <c r="H990" s="24"/>
      <c r="I990" s="24"/>
      <c r="J990" s="24"/>
      <c r="K990" s="24"/>
      <c r="L990" s="24"/>
      <c r="M990" s="24"/>
      <c r="N990" s="24"/>
      <c r="O990" s="24"/>
      <c r="P990" s="25"/>
      <c r="Q990" s="25"/>
      <c r="R990" s="25"/>
      <c r="S990" s="25"/>
      <c r="T990" s="25"/>
      <c r="U990" s="25"/>
      <c r="V990" s="25"/>
      <c r="W990" s="25"/>
      <c r="X990" s="25"/>
      <c r="Y990" s="25"/>
      <c r="Z990" s="25"/>
      <c r="AA990" s="25"/>
      <c r="AB990" s="25"/>
      <c r="AC990" s="25"/>
    </row>
    <row r="991">
      <c r="A991" s="24" t="str">
        <f>'DE ( Tarik barang retur )'!AC968</f>
        <v/>
      </c>
      <c r="B991" s="24" t="str">
        <f>'DE ( Tarik barang retur )'!F968</f>
        <v/>
      </c>
      <c r="C991" s="24" t="str">
        <f>'DE ( Tarik barang retur )'!G968</f>
        <v/>
      </c>
      <c r="D991" s="24" t="str">
        <f>'DE ( Tarik barang retur )'!H968</f>
        <v/>
      </c>
      <c r="E991" s="24" t="str">
        <f>'DE ( Tarik barang retur )'!D968</f>
        <v/>
      </c>
      <c r="F991" s="24" t="str">
        <f>'DE ( Tarik barang retur )'!R968</f>
        <v/>
      </c>
      <c r="G991" s="24" t="str">
        <f>'DE ( Tarik barang retur )'!AF968</f>
        <v/>
      </c>
      <c r="H991" s="24"/>
      <c r="I991" s="24"/>
      <c r="J991" s="24"/>
      <c r="K991" s="24"/>
      <c r="L991" s="24"/>
      <c r="M991" s="24"/>
      <c r="N991" s="24"/>
      <c r="O991" s="24"/>
      <c r="P991" s="25"/>
      <c r="Q991" s="25"/>
      <c r="R991" s="25"/>
      <c r="S991" s="25"/>
      <c r="T991" s="25"/>
      <c r="U991" s="25"/>
      <c r="V991" s="25"/>
      <c r="W991" s="25"/>
      <c r="X991" s="25"/>
      <c r="Y991" s="25"/>
      <c r="Z991" s="25"/>
      <c r="AA991" s="25"/>
      <c r="AB991" s="25"/>
      <c r="AC991" s="25"/>
    </row>
    <row r="992">
      <c r="A992" s="24" t="str">
        <f>'DE ( Tarik barang retur )'!AC969</f>
        <v/>
      </c>
      <c r="B992" s="24" t="str">
        <f>'DE ( Tarik barang retur )'!F969</f>
        <v/>
      </c>
      <c r="C992" s="24" t="str">
        <f>'DE ( Tarik barang retur )'!G969</f>
        <v/>
      </c>
      <c r="D992" s="24" t="str">
        <f>'DE ( Tarik barang retur )'!H969</f>
        <v/>
      </c>
      <c r="E992" s="24" t="str">
        <f>'DE ( Tarik barang retur )'!D969</f>
        <v/>
      </c>
      <c r="F992" s="24" t="str">
        <f>'DE ( Tarik barang retur )'!R969</f>
        <v/>
      </c>
      <c r="G992" s="24" t="str">
        <f>'DE ( Tarik barang retur )'!AF969</f>
        <v/>
      </c>
      <c r="H992" s="24"/>
      <c r="I992" s="24"/>
      <c r="J992" s="24"/>
      <c r="K992" s="24"/>
      <c r="L992" s="24"/>
      <c r="M992" s="24"/>
      <c r="N992" s="24"/>
      <c r="O992" s="24"/>
      <c r="P992" s="25"/>
      <c r="Q992" s="25"/>
      <c r="R992" s="25"/>
      <c r="S992" s="25"/>
      <c r="T992" s="25"/>
      <c r="U992" s="25"/>
      <c r="V992" s="25"/>
      <c r="W992" s="25"/>
      <c r="X992" s="25"/>
      <c r="Y992" s="25"/>
      <c r="Z992" s="25"/>
      <c r="AA992" s="25"/>
      <c r="AB992" s="25"/>
      <c r="AC992" s="25"/>
    </row>
    <row r="993">
      <c r="A993" s="24" t="str">
        <f>'DE ( Tarik barang retur )'!AC970</f>
        <v/>
      </c>
      <c r="B993" s="24" t="str">
        <f>'DE ( Tarik barang retur )'!F970</f>
        <v/>
      </c>
      <c r="C993" s="24" t="str">
        <f>'DE ( Tarik barang retur )'!G970</f>
        <v/>
      </c>
      <c r="D993" s="24" t="str">
        <f>'DE ( Tarik barang retur )'!H970</f>
        <v/>
      </c>
      <c r="E993" s="24" t="str">
        <f>'DE ( Tarik barang retur )'!D970</f>
        <v/>
      </c>
      <c r="F993" s="24" t="str">
        <f>'DE ( Tarik barang retur )'!R970</f>
        <v/>
      </c>
      <c r="G993" s="24" t="str">
        <f>'DE ( Tarik barang retur )'!AF970</f>
        <v/>
      </c>
      <c r="H993" s="24"/>
      <c r="I993" s="24"/>
      <c r="J993" s="24"/>
      <c r="K993" s="24"/>
      <c r="L993" s="24"/>
      <c r="M993" s="24"/>
      <c r="N993" s="24"/>
      <c r="O993" s="24"/>
      <c r="P993" s="25"/>
      <c r="Q993" s="25"/>
      <c r="R993" s="25"/>
      <c r="S993" s="25"/>
      <c r="T993" s="25"/>
      <c r="U993" s="25"/>
      <c r="V993" s="25"/>
      <c r="W993" s="25"/>
      <c r="X993" s="25"/>
      <c r="Y993" s="25"/>
      <c r="Z993" s="25"/>
      <c r="AA993" s="25"/>
      <c r="AB993" s="25"/>
      <c r="AC993" s="25"/>
    </row>
    <row r="994">
      <c r="A994" s="24" t="str">
        <f>'DE ( Tarik barang retur )'!AC971</f>
        <v/>
      </c>
      <c r="B994" s="24" t="str">
        <f>'DE ( Tarik barang retur )'!F971</f>
        <v/>
      </c>
      <c r="C994" s="24" t="str">
        <f>'DE ( Tarik barang retur )'!G971</f>
        <v/>
      </c>
      <c r="D994" s="24" t="str">
        <f>'DE ( Tarik barang retur )'!H971</f>
        <v/>
      </c>
      <c r="E994" s="24" t="str">
        <f>'DE ( Tarik barang retur )'!D971</f>
        <v/>
      </c>
      <c r="F994" s="24" t="str">
        <f>'DE ( Tarik barang retur )'!R971</f>
        <v/>
      </c>
      <c r="G994" s="24" t="str">
        <f>'DE ( Tarik barang retur )'!AF971</f>
        <v/>
      </c>
      <c r="H994" s="24"/>
      <c r="I994" s="24"/>
      <c r="J994" s="24"/>
      <c r="K994" s="24"/>
      <c r="L994" s="24"/>
      <c r="M994" s="24"/>
      <c r="N994" s="24"/>
      <c r="O994" s="24"/>
      <c r="P994" s="25"/>
      <c r="Q994" s="25"/>
      <c r="R994" s="25"/>
      <c r="S994" s="25"/>
      <c r="T994" s="25"/>
      <c r="U994" s="25"/>
      <c r="V994" s="25"/>
      <c r="W994" s="25"/>
      <c r="X994" s="25"/>
      <c r="Y994" s="25"/>
      <c r="Z994" s="25"/>
      <c r="AA994" s="25"/>
      <c r="AB994" s="25"/>
      <c r="AC994" s="25"/>
    </row>
    <row r="995">
      <c r="A995" s="24" t="str">
        <f>'DE ( Tarik barang retur )'!AC972</f>
        <v/>
      </c>
      <c r="B995" s="24" t="str">
        <f>'DE ( Tarik barang retur )'!F972</f>
        <v/>
      </c>
      <c r="C995" s="24" t="str">
        <f>'DE ( Tarik barang retur )'!G972</f>
        <v/>
      </c>
      <c r="D995" s="24" t="str">
        <f>'DE ( Tarik barang retur )'!H972</f>
        <v/>
      </c>
      <c r="E995" s="24" t="str">
        <f>'DE ( Tarik barang retur )'!D972</f>
        <v/>
      </c>
      <c r="F995" s="24" t="str">
        <f>'DE ( Tarik barang retur )'!R972</f>
        <v/>
      </c>
      <c r="G995" s="24" t="str">
        <f>'DE ( Tarik barang retur )'!AF972</f>
        <v/>
      </c>
      <c r="H995" s="24"/>
      <c r="I995" s="24"/>
      <c r="J995" s="24"/>
      <c r="K995" s="24"/>
      <c r="L995" s="24"/>
      <c r="M995" s="24"/>
      <c r="N995" s="24"/>
      <c r="O995" s="24"/>
      <c r="P995" s="25"/>
      <c r="Q995" s="25"/>
      <c r="R995" s="25"/>
      <c r="S995" s="25"/>
      <c r="T995" s="25"/>
      <c r="U995" s="25"/>
      <c r="V995" s="25"/>
      <c r="W995" s="25"/>
      <c r="X995" s="25"/>
      <c r="Y995" s="25"/>
      <c r="Z995" s="25"/>
      <c r="AA995" s="25"/>
      <c r="AB995" s="25"/>
      <c r="AC995" s="25"/>
    </row>
    <row r="996">
      <c r="A996" s="24" t="str">
        <f>'DE ( Tarik barang retur )'!AC973</f>
        <v/>
      </c>
      <c r="B996" s="24" t="str">
        <f>'DE ( Tarik barang retur )'!F973</f>
        <v/>
      </c>
      <c r="C996" s="24" t="str">
        <f>'DE ( Tarik barang retur )'!G973</f>
        <v/>
      </c>
      <c r="D996" s="24" t="str">
        <f>'DE ( Tarik barang retur )'!H973</f>
        <v/>
      </c>
      <c r="E996" s="24" t="str">
        <f>'DE ( Tarik barang retur )'!D973</f>
        <v/>
      </c>
      <c r="F996" s="24" t="str">
        <f>'DE ( Tarik barang retur )'!R973</f>
        <v/>
      </c>
      <c r="G996" s="24" t="str">
        <f>'DE ( Tarik barang retur )'!AF973</f>
        <v/>
      </c>
      <c r="H996" s="24"/>
      <c r="I996" s="24"/>
      <c r="J996" s="24"/>
      <c r="K996" s="24"/>
      <c r="L996" s="24"/>
      <c r="M996" s="24"/>
      <c r="N996" s="24"/>
      <c r="O996" s="24"/>
      <c r="P996" s="25"/>
      <c r="Q996" s="25"/>
      <c r="R996" s="25"/>
      <c r="S996" s="25"/>
      <c r="T996" s="25"/>
      <c r="U996" s="25"/>
      <c r="V996" s="25"/>
      <c r="W996" s="25"/>
      <c r="X996" s="25"/>
      <c r="Y996" s="25"/>
      <c r="Z996" s="25"/>
      <c r="AA996" s="25"/>
      <c r="AB996" s="25"/>
      <c r="AC996" s="25"/>
    </row>
    <row r="997">
      <c r="A997" s="24" t="str">
        <f>'DE ( Tarik barang retur )'!AC974</f>
        <v/>
      </c>
      <c r="B997" s="24" t="str">
        <f>'DE ( Tarik barang retur )'!F974</f>
        <v/>
      </c>
      <c r="C997" s="24" t="str">
        <f>'DE ( Tarik barang retur )'!G974</f>
        <v/>
      </c>
      <c r="D997" s="24" t="str">
        <f>'DE ( Tarik barang retur )'!H974</f>
        <v/>
      </c>
      <c r="E997" s="24" t="str">
        <f>'DE ( Tarik barang retur )'!D974</f>
        <v/>
      </c>
      <c r="F997" s="24" t="str">
        <f>'DE ( Tarik barang retur )'!R974</f>
        <v/>
      </c>
      <c r="G997" s="24" t="str">
        <f>'DE ( Tarik barang retur )'!AF974</f>
        <v/>
      </c>
      <c r="H997" s="24"/>
      <c r="I997" s="24"/>
      <c r="J997" s="24"/>
      <c r="K997" s="24"/>
      <c r="L997" s="24"/>
      <c r="M997" s="24"/>
      <c r="N997" s="24"/>
      <c r="O997" s="24"/>
      <c r="P997" s="25"/>
      <c r="Q997" s="25"/>
      <c r="R997" s="25"/>
      <c r="S997" s="25"/>
      <c r="T997" s="25"/>
      <c r="U997" s="25"/>
      <c r="V997" s="25"/>
      <c r="W997" s="25"/>
      <c r="X997" s="25"/>
      <c r="Y997" s="25"/>
      <c r="Z997" s="25"/>
      <c r="AA997" s="25"/>
      <c r="AB997" s="25"/>
      <c r="AC997" s="25"/>
    </row>
    <row r="998">
      <c r="A998" s="24" t="str">
        <f>'DE ( Tarik barang retur )'!AC975</f>
        <v/>
      </c>
      <c r="B998" s="24" t="str">
        <f>'DE ( Tarik barang retur )'!F975</f>
        <v/>
      </c>
      <c r="C998" s="24" t="str">
        <f>'DE ( Tarik barang retur )'!G975</f>
        <v/>
      </c>
      <c r="D998" s="24" t="str">
        <f>'DE ( Tarik barang retur )'!H975</f>
        <v/>
      </c>
      <c r="E998" s="24" t="str">
        <f>'DE ( Tarik barang retur )'!D975</f>
        <v/>
      </c>
      <c r="F998" s="24" t="str">
        <f>'DE ( Tarik barang retur )'!R975</f>
        <v/>
      </c>
      <c r="G998" s="24" t="str">
        <f>'DE ( Tarik barang retur )'!AF975</f>
        <v/>
      </c>
      <c r="H998" s="24"/>
      <c r="I998" s="24"/>
      <c r="J998" s="24"/>
      <c r="K998" s="24"/>
      <c r="L998" s="24"/>
      <c r="M998" s="24"/>
      <c r="N998" s="24"/>
      <c r="O998" s="24"/>
      <c r="P998" s="25"/>
      <c r="Q998" s="25"/>
      <c r="R998" s="25"/>
      <c r="S998" s="25"/>
      <c r="T998" s="25"/>
      <c r="U998" s="25"/>
      <c r="V998" s="25"/>
      <c r="W998" s="25"/>
      <c r="X998" s="25"/>
      <c r="Y998" s="25"/>
      <c r="Z998" s="25"/>
      <c r="AA998" s="25"/>
      <c r="AB998" s="25"/>
      <c r="AC998" s="25"/>
    </row>
    <row r="999">
      <c r="A999" s="24" t="str">
        <f>'DE ( Tarik barang retur )'!AC976</f>
        <v/>
      </c>
      <c r="B999" s="24" t="str">
        <f>'DE ( Tarik barang retur )'!F976</f>
        <v/>
      </c>
      <c r="C999" s="24" t="str">
        <f>'DE ( Tarik barang retur )'!G976</f>
        <v/>
      </c>
      <c r="D999" s="24" t="str">
        <f>'DE ( Tarik barang retur )'!H976</f>
        <v/>
      </c>
      <c r="E999" s="24" t="str">
        <f>'DE ( Tarik barang retur )'!D976</f>
        <v/>
      </c>
      <c r="F999" s="24" t="str">
        <f>'DE ( Tarik barang retur )'!R976</f>
        <v/>
      </c>
      <c r="G999" s="24" t="str">
        <f>'DE ( Tarik barang retur )'!AF976</f>
        <v/>
      </c>
      <c r="H999" s="24"/>
      <c r="I999" s="24"/>
      <c r="J999" s="24"/>
      <c r="K999" s="24"/>
      <c r="L999" s="24"/>
      <c r="M999" s="24"/>
      <c r="N999" s="24"/>
      <c r="O999" s="24"/>
      <c r="P999" s="25"/>
      <c r="Q999" s="25"/>
      <c r="R999" s="25"/>
      <c r="S999" s="25"/>
      <c r="T999" s="25"/>
      <c r="U999" s="25"/>
      <c r="V999" s="25"/>
      <c r="W999" s="25"/>
      <c r="X999" s="25"/>
      <c r="Y999" s="25"/>
      <c r="Z999" s="25"/>
      <c r="AA999" s="25"/>
      <c r="AB999" s="25"/>
      <c r="AC999" s="25"/>
    </row>
    <row r="1000">
      <c r="A1000" s="24" t="str">
        <f>'DE ( Tarik barang retur )'!AC977</f>
        <v/>
      </c>
      <c r="B1000" s="24" t="str">
        <f>'DE ( Tarik barang retur )'!F977</f>
        <v/>
      </c>
      <c r="C1000" s="24" t="str">
        <f>'DE ( Tarik barang retur )'!G977</f>
        <v/>
      </c>
      <c r="D1000" s="24" t="str">
        <f>'DE ( Tarik barang retur )'!H977</f>
        <v/>
      </c>
      <c r="E1000" s="24" t="str">
        <f>'DE ( Tarik barang retur )'!D977</f>
        <v/>
      </c>
      <c r="F1000" s="24" t="str">
        <f>'DE ( Tarik barang retur )'!R977</f>
        <v/>
      </c>
      <c r="G1000" s="24" t="str">
        <f>'DE ( Tarik barang retur )'!AF977</f>
        <v/>
      </c>
      <c r="H1000" s="24"/>
      <c r="I1000" s="24"/>
      <c r="J1000" s="24"/>
      <c r="K1000" s="24"/>
      <c r="L1000" s="24"/>
      <c r="M1000" s="24"/>
      <c r="N1000" s="24"/>
      <c r="O1000" s="24"/>
      <c r="P1000" s="25"/>
      <c r="Q1000" s="25"/>
      <c r="R1000" s="25"/>
      <c r="S1000" s="25"/>
      <c r="T1000" s="25"/>
      <c r="U1000" s="25"/>
      <c r="V1000" s="25"/>
      <c r="W1000" s="25"/>
      <c r="X1000" s="25"/>
      <c r="Y1000" s="25"/>
      <c r="Z1000" s="25"/>
      <c r="AA1000" s="25"/>
      <c r="AB1000" s="25"/>
      <c r="AC1000" s="25"/>
    </row>
    <row r="1001">
      <c r="A1001" s="24" t="str">
        <f>'DE ( Tarik barang retur )'!AC978</f>
        <v/>
      </c>
      <c r="B1001" s="24" t="str">
        <f>'DE ( Tarik barang retur )'!F978</f>
        <v/>
      </c>
      <c r="C1001" s="24" t="str">
        <f>'DE ( Tarik barang retur )'!G978</f>
        <v/>
      </c>
      <c r="D1001" s="24" t="str">
        <f>'DE ( Tarik barang retur )'!H978</f>
        <v/>
      </c>
      <c r="E1001" s="24" t="str">
        <f>'DE ( Tarik barang retur )'!D978</f>
        <v/>
      </c>
      <c r="F1001" s="24" t="str">
        <f>'DE ( Tarik barang retur )'!R978</f>
        <v/>
      </c>
      <c r="G1001" s="24" t="str">
        <f>'DE ( Tarik barang retur )'!AF978</f>
        <v/>
      </c>
      <c r="H1001" s="24"/>
      <c r="I1001" s="24"/>
      <c r="J1001" s="24"/>
      <c r="K1001" s="24"/>
      <c r="L1001" s="24"/>
      <c r="M1001" s="24"/>
      <c r="N1001" s="24"/>
      <c r="O1001" s="24"/>
      <c r="P1001" s="25"/>
      <c r="Q1001" s="25"/>
      <c r="R1001" s="25"/>
      <c r="S1001" s="25"/>
      <c r="T1001" s="25"/>
      <c r="U1001" s="25"/>
      <c r="V1001" s="25"/>
      <c r="W1001" s="25"/>
      <c r="X1001" s="25"/>
      <c r="Y1001" s="25"/>
      <c r="Z1001" s="25"/>
      <c r="AA1001" s="25"/>
      <c r="AB1001" s="25"/>
      <c r="AC1001" s="25"/>
    </row>
    <row r="1002">
      <c r="A1002" s="24" t="str">
        <f>'DE ( Tarik barang retur )'!AC979</f>
        <v/>
      </c>
      <c r="B1002" s="24" t="str">
        <f>'DE ( Tarik barang retur )'!F979</f>
        <v/>
      </c>
      <c r="C1002" s="24" t="str">
        <f>'DE ( Tarik barang retur )'!G979</f>
        <v/>
      </c>
      <c r="D1002" s="24" t="str">
        <f>'DE ( Tarik barang retur )'!H979</f>
        <v/>
      </c>
      <c r="E1002" s="24" t="str">
        <f>'DE ( Tarik barang retur )'!D979</f>
        <v/>
      </c>
      <c r="F1002" s="24" t="str">
        <f>'DE ( Tarik barang retur )'!R979</f>
        <v/>
      </c>
      <c r="G1002" s="24" t="str">
        <f>'DE ( Tarik barang retur )'!AF979</f>
        <v/>
      </c>
      <c r="H1002" s="24"/>
      <c r="I1002" s="24"/>
      <c r="J1002" s="24"/>
      <c r="K1002" s="24"/>
      <c r="L1002" s="24"/>
      <c r="M1002" s="24"/>
      <c r="N1002" s="24"/>
      <c r="O1002" s="24"/>
      <c r="P1002" s="25"/>
      <c r="Q1002" s="25"/>
      <c r="R1002" s="25"/>
      <c r="S1002" s="25"/>
      <c r="T1002" s="25"/>
      <c r="U1002" s="25"/>
      <c r="V1002" s="25"/>
      <c r="W1002" s="25"/>
      <c r="X1002" s="25"/>
      <c r="Y1002" s="25"/>
      <c r="Z1002" s="25"/>
      <c r="AA1002" s="25"/>
      <c r="AB1002" s="25"/>
      <c r="AC1002" s="25"/>
    </row>
    <row r="1003">
      <c r="A1003" s="24" t="str">
        <f>'DE ( Tarik barang retur )'!AC980</f>
        <v/>
      </c>
      <c r="B1003" s="24" t="str">
        <f>'DE ( Tarik barang retur )'!F980</f>
        <v/>
      </c>
      <c r="C1003" s="24" t="str">
        <f>'DE ( Tarik barang retur )'!G980</f>
        <v/>
      </c>
      <c r="D1003" s="24" t="str">
        <f>'DE ( Tarik barang retur )'!H980</f>
        <v/>
      </c>
      <c r="E1003" s="24" t="str">
        <f>'DE ( Tarik barang retur )'!D980</f>
        <v/>
      </c>
      <c r="F1003" s="24" t="str">
        <f>'DE ( Tarik barang retur )'!R980</f>
        <v/>
      </c>
      <c r="G1003" s="24" t="str">
        <f>'DE ( Tarik barang retur )'!AF980</f>
        <v/>
      </c>
      <c r="H1003" s="24"/>
      <c r="I1003" s="24"/>
      <c r="J1003" s="24"/>
      <c r="K1003" s="24"/>
      <c r="L1003" s="24"/>
      <c r="M1003" s="24"/>
      <c r="N1003" s="24"/>
      <c r="O1003" s="24"/>
      <c r="P1003" s="25"/>
      <c r="Q1003" s="25"/>
      <c r="R1003" s="25"/>
      <c r="S1003" s="25"/>
      <c r="T1003" s="25"/>
      <c r="U1003" s="25"/>
      <c r="V1003" s="25"/>
      <c r="W1003" s="25"/>
      <c r="X1003" s="25"/>
      <c r="Y1003" s="25"/>
      <c r="Z1003" s="25"/>
      <c r="AA1003" s="25"/>
      <c r="AB1003" s="25"/>
      <c r="AC1003" s="25"/>
    </row>
    <row r="1004">
      <c r="A1004" s="24" t="str">
        <f>'DE ( Tarik barang retur )'!AC981</f>
        <v/>
      </c>
      <c r="B1004" s="24" t="str">
        <f>'DE ( Tarik barang retur )'!F981</f>
        <v/>
      </c>
      <c r="C1004" s="24" t="str">
        <f>'DE ( Tarik barang retur )'!G981</f>
        <v/>
      </c>
      <c r="D1004" s="24" t="str">
        <f>'DE ( Tarik barang retur )'!H981</f>
        <v/>
      </c>
      <c r="E1004" s="24" t="str">
        <f>'DE ( Tarik barang retur )'!D981</f>
        <v/>
      </c>
      <c r="F1004" s="24" t="str">
        <f>'DE ( Tarik barang retur )'!R981</f>
        <v/>
      </c>
      <c r="G1004" s="24" t="str">
        <f>'DE ( Tarik barang retur )'!AF981</f>
        <v/>
      </c>
      <c r="H1004" s="24"/>
      <c r="I1004" s="24"/>
      <c r="J1004" s="24"/>
      <c r="K1004" s="24"/>
      <c r="L1004" s="24"/>
      <c r="M1004" s="24"/>
      <c r="N1004" s="24"/>
      <c r="O1004" s="24"/>
      <c r="P1004" s="25"/>
      <c r="Q1004" s="25"/>
      <c r="R1004" s="25"/>
      <c r="S1004" s="25"/>
      <c r="T1004" s="25"/>
      <c r="U1004" s="25"/>
      <c r="V1004" s="25"/>
      <c r="W1004" s="25"/>
      <c r="X1004" s="25"/>
      <c r="Y1004" s="25"/>
      <c r="Z1004" s="25"/>
      <c r="AA1004" s="25"/>
      <c r="AB1004" s="25"/>
      <c r="AC1004" s="25"/>
    </row>
    <row r="1005">
      <c r="A1005" s="24" t="str">
        <f>'DE ( Tarik barang retur )'!AC982</f>
        <v/>
      </c>
      <c r="B1005" s="24" t="str">
        <f>'DE ( Tarik barang retur )'!F982</f>
        <v/>
      </c>
      <c r="C1005" s="24" t="str">
        <f>'DE ( Tarik barang retur )'!G982</f>
        <v/>
      </c>
      <c r="D1005" s="24" t="str">
        <f>'DE ( Tarik barang retur )'!H982</f>
        <v/>
      </c>
      <c r="E1005" s="24" t="str">
        <f>'DE ( Tarik barang retur )'!D982</f>
        <v/>
      </c>
      <c r="F1005" s="24" t="str">
        <f>'DE ( Tarik barang retur )'!R982</f>
        <v/>
      </c>
      <c r="G1005" s="24" t="str">
        <f>'DE ( Tarik barang retur )'!AF982</f>
        <v/>
      </c>
      <c r="H1005" s="24"/>
      <c r="I1005" s="24"/>
      <c r="J1005" s="24"/>
      <c r="K1005" s="24"/>
      <c r="L1005" s="24"/>
      <c r="M1005" s="24"/>
      <c r="N1005" s="24"/>
      <c r="O1005" s="24"/>
      <c r="P1005" s="25"/>
      <c r="Q1005" s="25"/>
      <c r="R1005" s="25"/>
      <c r="S1005" s="25"/>
      <c r="T1005" s="25"/>
      <c r="U1005" s="25"/>
      <c r="V1005" s="25"/>
      <c r="W1005" s="25"/>
      <c r="X1005" s="25"/>
      <c r="Y1005" s="25"/>
      <c r="Z1005" s="25"/>
      <c r="AA1005" s="25"/>
      <c r="AB1005" s="25"/>
      <c r="AC1005" s="25"/>
    </row>
    <row r="1006">
      <c r="A1006" s="24" t="str">
        <f>'DE ( Tarik barang retur )'!AC983</f>
        <v/>
      </c>
      <c r="B1006" s="24" t="str">
        <f>'DE ( Tarik barang retur )'!F983</f>
        <v/>
      </c>
      <c r="C1006" s="24" t="str">
        <f>'DE ( Tarik barang retur )'!G983</f>
        <v/>
      </c>
      <c r="D1006" s="24" t="str">
        <f>'DE ( Tarik barang retur )'!H983</f>
        <v/>
      </c>
      <c r="E1006" s="24" t="str">
        <f>'DE ( Tarik barang retur )'!D983</f>
        <v/>
      </c>
      <c r="F1006" s="24" t="str">
        <f>'DE ( Tarik barang retur )'!R983</f>
        <v/>
      </c>
      <c r="G1006" s="24" t="str">
        <f>'DE ( Tarik barang retur )'!AF983</f>
        <v/>
      </c>
      <c r="H1006" s="24"/>
      <c r="I1006" s="24"/>
      <c r="J1006" s="24"/>
      <c r="K1006" s="24"/>
      <c r="L1006" s="24"/>
      <c r="M1006" s="24"/>
      <c r="N1006" s="24"/>
      <c r="O1006" s="24"/>
      <c r="P1006" s="25"/>
      <c r="Q1006" s="25"/>
      <c r="R1006" s="25"/>
      <c r="S1006" s="25"/>
      <c r="T1006" s="25"/>
      <c r="U1006" s="25"/>
      <c r="V1006" s="25"/>
      <c r="W1006" s="25"/>
      <c r="X1006" s="25"/>
      <c r="Y1006" s="25"/>
      <c r="Z1006" s="25"/>
      <c r="AA1006" s="25"/>
      <c r="AB1006" s="25"/>
      <c r="AC1006" s="25"/>
    </row>
    <row r="1007">
      <c r="A1007" s="24" t="str">
        <f>'DE ( Tarik barang retur )'!AC984</f>
        <v/>
      </c>
      <c r="B1007" s="24" t="str">
        <f>'DE ( Tarik barang retur )'!F984</f>
        <v/>
      </c>
      <c r="C1007" s="24" t="str">
        <f>'DE ( Tarik barang retur )'!G984</f>
        <v/>
      </c>
      <c r="D1007" s="24" t="str">
        <f>'DE ( Tarik barang retur )'!H984</f>
        <v/>
      </c>
      <c r="E1007" s="24" t="str">
        <f>'DE ( Tarik barang retur )'!D984</f>
        <v/>
      </c>
      <c r="F1007" s="24" t="str">
        <f>'DE ( Tarik barang retur )'!R984</f>
        <v/>
      </c>
      <c r="G1007" s="24" t="str">
        <f>'DE ( Tarik barang retur )'!AF984</f>
        <v/>
      </c>
      <c r="H1007" s="24"/>
      <c r="I1007" s="24"/>
      <c r="J1007" s="24"/>
      <c r="K1007" s="24"/>
      <c r="L1007" s="24"/>
      <c r="M1007" s="24"/>
      <c r="N1007" s="24"/>
      <c r="O1007" s="24"/>
      <c r="P1007" s="25"/>
      <c r="Q1007" s="25"/>
      <c r="R1007" s="25"/>
      <c r="S1007" s="25"/>
      <c r="T1007" s="25"/>
      <c r="U1007" s="25"/>
      <c r="V1007" s="25"/>
      <c r="W1007" s="25"/>
      <c r="X1007" s="25"/>
      <c r="Y1007" s="25"/>
      <c r="Z1007" s="25"/>
      <c r="AA1007" s="25"/>
      <c r="AB1007" s="25"/>
      <c r="AC1007" s="25"/>
    </row>
    <row r="1008">
      <c r="A1008" s="24" t="str">
        <f>'DE ( Tarik barang retur )'!AC985</f>
        <v/>
      </c>
      <c r="B1008" s="24" t="str">
        <f>'DE ( Tarik barang retur )'!F985</f>
        <v/>
      </c>
      <c r="C1008" s="24" t="str">
        <f>'DE ( Tarik barang retur )'!G985</f>
        <v/>
      </c>
      <c r="D1008" s="24" t="str">
        <f>'DE ( Tarik barang retur )'!H985</f>
        <v/>
      </c>
      <c r="E1008" s="24" t="str">
        <f>'DE ( Tarik barang retur )'!D985</f>
        <v/>
      </c>
      <c r="F1008" s="24" t="str">
        <f>'DE ( Tarik barang retur )'!R985</f>
        <v/>
      </c>
      <c r="G1008" s="24" t="str">
        <f>'DE ( Tarik barang retur )'!AF985</f>
        <v/>
      </c>
      <c r="H1008" s="24"/>
      <c r="I1008" s="24"/>
      <c r="J1008" s="24"/>
      <c r="K1008" s="24"/>
      <c r="L1008" s="24"/>
      <c r="M1008" s="24"/>
      <c r="N1008" s="24"/>
      <c r="O1008" s="24"/>
      <c r="P1008" s="25"/>
      <c r="Q1008" s="25"/>
      <c r="R1008" s="25"/>
      <c r="S1008" s="25"/>
      <c r="T1008" s="25"/>
      <c r="U1008" s="25"/>
      <c r="V1008" s="25"/>
      <c r="W1008" s="25"/>
      <c r="X1008" s="25"/>
      <c r="Y1008" s="25"/>
      <c r="Z1008" s="25"/>
      <c r="AA1008" s="25"/>
      <c r="AB1008" s="25"/>
      <c r="AC1008" s="25"/>
    </row>
    <row r="1009">
      <c r="A1009" s="24" t="str">
        <f>'DE ( Tarik barang retur )'!AC986</f>
        <v/>
      </c>
      <c r="B1009" s="24" t="str">
        <f>'DE ( Tarik barang retur )'!F986</f>
        <v/>
      </c>
      <c r="C1009" s="24" t="str">
        <f>'DE ( Tarik barang retur )'!G986</f>
        <v/>
      </c>
      <c r="D1009" s="24" t="str">
        <f>'DE ( Tarik barang retur )'!H986</f>
        <v/>
      </c>
      <c r="E1009" s="24" t="str">
        <f>'DE ( Tarik barang retur )'!D986</f>
        <v/>
      </c>
      <c r="F1009" s="24" t="str">
        <f>'DE ( Tarik barang retur )'!R986</f>
        <v/>
      </c>
      <c r="G1009" s="24" t="str">
        <f>'DE ( Tarik barang retur )'!AF986</f>
        <v/>
      </c>
      <c r="H1009" s="24"/>
      <c r="I1009" s="24"/>
      <c r="J1009" s="24"/>
      <c r="K1009" s="24"/>
      <c r="L1009" s="24"/>
      <c r="M1009" s="24"/>
      <c r="N1009" s="24"/>
      <c r="O1009" s="24"/>
      <c r="P1009" s="25"/>
      <c r="Q1009" s="25"/>
      <c r="R1009" s="25"/>
      <c r="S1009" s="25"/>
      <c r="T1009" s="25"/>
      <c r="U1009" s="25"/>
      <c r="V1009" s="25"/>
      <c r="W1009" s="25"/>
      <c r="X1009" s="25"/>
      <c r="Y1009" s="25"/>
      <c r="Z1009" s="25"/>
      <c r="AA1009" s="25"/>
      <c r="AB1009" s="25"/>
      <c r="AC1009" s="25"/>
    </row>
    <row r="1010">
      <c r="A1010" s="24" t="str">
        <f>'DE ( Tarik barang retur )'!AC987</f>
        <v/>
      </c>
      <c r="B1010" s="24" t="str">
        <f>'DE ( Tarik barang retur )'!F987</f>
        <v/>
      </c>
      <c r="C1010" s="24" t="str">
        <f>'DE ( Tarik barang retur )'!G987</f>
        <v/>
      </c>
      <c r="D1010" s="24" t="str">
        <f>'DE ( Tarik barang retur )'!H987</f>
        <v/>
      </c>
      <c r="E1010" s="24" t="str">
        <f>'DE ( Tarik barang retur )'!D987</f>
        <v/>
      </c>
      <c r="F1010" s="24" t="str">
        <f>'DE ( Tarik barang retur )'!R987</f>
        <v/>
      </c>
      <c r="G1010" s="24" t="str">
        <f>'DE ( Tarik barang retur )'!AF987</f>
        <v/>
      </c>
      <c r="H1010" s="24"/>
      <c r="I1010" s="24"/>
      <c r="J1010" s="24"/>
      <c r="K1010" s="24"/>
      <c r="L1010" s="24"/>
      <c r="M1010" s="24"/>
      <c r="N1010" s="24"/>
      <c r="O1010" s="24"/>
      <c r="P1010" s="25"/>
      <c r="Q1010" s="25"/>
      <c r="R1010" s="25"/>
      <c r="S1010" s="25"/>
      <c r="T1010" s="25"/>
      <c r="U1010" s="25"/>
      <c r="V1010" s="25"/>
      <c r="W1010" s="25"/>
      <c r="X1010" s="25"/>
      <c r="Y1010" s="25"/>
      <c r="Z1010" s="25"/>
      <c r="AA1010" s="25"/>
      <c r="AB1010" s="25"/>
      <c r="AC1010" s="25"/>
    </row>
    <row r="1011">
      <c r="A1011" s="24" t="str">
        <f>'DE ( Tarik barang retur )'!AC988</f>
        <v/>
      </c>
      <c r="B1011" s="24" t="str">
        <f>'DE ( Tarik barang retur )'!F988</f>
        <v/>
      </c>
      <c r="C1011" s="24" t="str">
        <f>'DE ( Tarik barang retur )'!G988</f>
        <v/>
      </c>
      <c r="D1011" s="24" t="str">
        <f>'DE ( Tarik barang retur )'!H988</f>
        <v/>
      </c>
      <c r="E1011" s="24" t="str">
        <f>'DE ( Tarik barang retur )'!D988</f>
        <v/>
      </c>
      <c r="F1011" s="24" t="str">
        <f>'DE ( Tarik barang retur )'!R988</f>
        <v/>
      </c>
      <c r="G1011" s="24" t="str">
        <f>'DE ( Tarik barang retur )'!AF988</f>
        <v/>
      </c>
      <c r="H1011" s="24"/>
      <c r="I1011" s="24"/>
      <c r="J1011" s="24"/>
      <c r="K1011" s="24"/>
      <c r="L1011" s="24"/>
      <c r="M1011" s="24"/>
      <c r="N1011" s="24"/>
      <c r="O1011" s="24"/>
      <c r="P1011" s="25"/>
      <c r="Q1011" s="25"/>
      <c r="R1011" s="25"/>
      <c r="S1011" s="25"/>
      <c r="T1011" s="25"/>
      <c r="U1011" s="25"/>
      <c r="V1011" s="25"/>
      <c r="W1011" s="25"/>
      <c r="X1011" s="25"/>
      <c r="Y1011" s="25"/>
      <c r="Z1011" s="25"/>
      <c r="AA1011" s="25"/>
      <c r="AB1011" s="25"/>
      <c r="AC1011" s="25"/>
    </row>
    <row r="1012">
      <c r="A1012" s="24" t="str">
        <f>'DE ( Tarik barang retur )'!AC989</f>
        <v/>
      </c>
      <c r="B1012" s="24" t="str">
        <f>'DE ( Tarik barang retur )'!F989</f>
        <v/>
      </c>
      <c r="C1012" s="24" t="str">
        <f>'DE ( Tarik barang retur )'!G989</f>
        <v/>
      </c>
      <c r="D1012" s="24" t="str">
        <f>'DE ( Tarik barang retur )'!H989</f>
        <v/>
      </c>
      <c r="E1012" s="24" t="str">
        <f>'DE ( Tarik barang retur )'!D989</f>
        <v/>
      </c>
      <c r="F1012" s="24" t="str">
        <f>'DE ( Tarik barang retur )'!R989</f>
        <v/>
      </c>
      <c r="G1012" s="24" t="str">
        <f>'DE ( Tarik barang retur )'!AF989</f>
        <v/>
      </c>
      <c r="H1012" s="24"/>
      <c r="I1012" s="24"/>
      <c r="J1012" s="24"/>
      <c r="K1012" s="24"/>
      <c r="L1012" s="24"/>
      <c r="M1012" s="24"/>
      <c r="N1012" s="24"/>
      <c r="O1012" s="24"/>
      <c r="P1012" s="25"/>
      <c r="Q1012" s="25"/>
      <c r="R1012" s="25"/>
      <c r="S1012" s="25"/>
      <c r="T1012" s="25"/>
      <c r="U1012" s="25"/>
      <c r="V1012" s="25"/>
      <c r="W1012" s="25"/>
      <c r="X1012" s="25"/>
      <c r="Y1012" s="25"/>
      <c r="Z1012" s="25"/>
      <c r="AA1012" s="25"/>
      <c r="AB1012" s="25"/>
      <c r="AC1012" s="25"/>
    </row>
    <row r="1013">
      <c r="A1013" s="24" t="str">
        <f>'DE ( Tarik barang retur )'!AC990</f>
        <v/>
      </c>
      <c r="B1013" s="24" t="str">
        <f>'DE ( Tarik barang retur )'!F990</f>
        <v/>
      </c>
      <c r="C1013" s="24" t="str">
        <f>'DE ( Tarik barang retur )'!G990</f>
        <v/>
      </c>
      <c r="D1013" s="24" t="str">
        <f>'DE ( Tarik barang retur )'!H990</f>
        <v/>
      </c>
      <c r="E1013" s="24" t="str">
        <f>'DE ( Tarik barang retur )'!D990</f>
        <v/>
      </c>
      <c r="F1013" s="24" t="str">
        <f>'DE ( Tarik barang retur )'!R990</f>
        <v/>
      </c>
      <c r="G1013" s="24" t="str">
        <f>'DE ( Tarik barang retur )'!AF990</f>
        <v/>
      </c>
      <c r="H1013" s="24"/>
      <c r="I1013" s="24"/>
      <c r="J1013" s="24"/>
      <c r="K1013" s="24"/>
      <c r="L1013" s="24"/>
      <c r="M1013" s="24"/>
      <c r="N1013" s="24"/>
      <c r="O1013" s="24"/>
      <c r="P1013" s="25"/>
      <c r="Q1013" s="25"/>
      <c r="R1013" s="25"/>
      <c r="S1013" s="25"/>
      <c r="T1013" s="25"/>
      <c r="U1013" s="25"/>
      <c r="V1013" s="25"/>
      <c r="W1013" s="25"/>
      <c r="X1013" s="25"/>
      <c r="Y1013" s="25"/>
      <c r="Z1013" s="25"/>
      <c r="AA1013" s="25"/>
      <c r="AB1013" s="25"/>
      <c r="AC1013" s="25"/>
    </row>
    <row r="1014">
      <c r="A1014" s="24" t="str">
        <f>'DE ( Tarik barang retur )'!AC991</f>
        <v/>
      </c>
      <c r="B1014" s="24" t="str">
        <f>'DE ( Tarik barang retur )'!F991</f>
        <v/>
      </c>
      <c r="C1014" s="24" t="str">
        <f>'DE ( Tarik barang retur )'!G991</f>
        <v/>
      </c>
      <c r="D1014" s="24" t="str">
        <f>'DE ( Tarik barang retur )'!H991</f>
        <v/>
      </c>
      <c r="E1014" s="24" t="str">
        <f>'DE ( Tarik barang retur )'!D991</f>
        <v/>
      </c>
      <c r="F1014" s="24" t="str">
        <f>'DE ( Tarik barang retur )'!R991</f>
        <v/>
      </c>
      <c r="G1014" s="24" t="str">
        <f>'DE ( Tarik barang retur )'!AF991</f>
        <v/>
      </c>
      <c r="H1014" s="24"/>
      <c r="I1014" s="24"/>
      <c r="J1014" s="24"/>
      <c r="K1014" s="24"/>
      <c r="L1014" s="24"/>
      <c r="M1014" s="24"/>
      <c r="N1014" s="24"/>
      <c r="O1014" s="24"/>
      <c r="P1014" s="25"/>
      <c r="Q1014" s="25"/>
      <c r="R1014" s="25"/>
      <c r="S1014" s="25"/>
      <c r="T1014" s="25"/>
      <c r="U1014" s="25"/>
      <c r="V1014" s="25"/>
      <c r="W1014" s="25"/>
      <c r="X1014" s="25"/>
      <c r="Y1014" s="25"/>
      <c r="Z1014" s="25"/>
      <c r="AA1014" s="25"/>
      <c r="AB1014" s="25"/>
      <c r="AC1014" s="25"/>
    </row>
    <row r="1015">
      <c r="A1015" s="24" t="str">
        <f>'DE ( Tarik barang retur )'!AC992</f>
        <v/>
      </c>
      <c r="B1015" s="24" t="str">
        <f>'DE ( Tarik barang retur )'!F992</f>
        <v/>
      </c>
      <c r="C1015" s="24" t="str">
        <f>'DE ( Tarik barang retur )'!G992</f>
        <v/>
      </c>
      <c r="D1015" s="24" t="str">
        <f>'DE ( Tarik barang retur )'!H992</f>
        <v/>
      </c>
      <c r="E1015" s="24" t="str">
        <f>'DE ( Tarik barang retur )'!D992</f>
        <v/>
      </c>
      <c r="F1015" s="24" t="str">
        <f>'DE ( Tarik barang retur )'!R992</f>
        <v/>
      </c>
      <c r="G1015" s="24" t="str">
        <f>'DE ( Tarik barang retur )'!AF992</f>
        <v/>
      </c>
      <c r="H1015" s="24"/>
      <c r="I1015" s="24"/>
      <c r="J1015" s="24"/>
      <c r="K1015" s="24"/>
      <c r="L1015" s="24"/>
      <c r="M1015" s="24"/>
      <c r="N1015" s="24"/>
      <c r="O1015" s="24"/>
      <c r="P1015" s="25"/>
      <c r="Q1015" s="25"/>
      <c r="R1015" s="25"/>
      <c r="S1015" s="25"/>
      <c r="T1015" s="25"/>
      <c r="U1015" s="25"/>
      <c r="V1015" s="25"/>
      <c r="W1015" s="25"/>
      <c r="X1015" s="25"/>
      <c r="Y1015" s="25"/>
      <c r="Z1015" s="25"/>
      <c r="AA1015" s="25"/>
      <c r="AB1015" s="25"/>
      <c r="AC1015" s="25"/>
    </row>
    <row r="1016">
      <c r="A1016" s="24" t="str">
        <f>'DE ( Tarik barang retur )'!AC993</f>
        <v/>
      </c>
      <c r="B1016" s="24" t="str">
        <f>'DE ( Tarik barang retur )'!F993</f>
        <v/>
      </c>
      <c r="C1016" s="24" t="str">
        <f>'DE ( Tarik barang retur )'!G993</f>
        <v/>
      </c>
      <c r="D1016" s="24" t="str">
        <f>'DE ( Tarik barang retur )'!H993</f>
        <v/>
      </c>
      <c r="E1016" s="24" t="str">
        <f>'DE ( Tarik barang retur )'!D993</f>
        <v/>
      </c>
      <c r="F1016" s="24" t="str">
        <f>'DE ( Tarik barang retur )'!R993</f>
        <v/>
      </c>
      <c r="G1016" s="24" t="str">
        <f>'DE ( Tarik barang retur )'!AF993</f>
        <v/>
      </c>
      <c r="H1016" s="24"/>
      <c r="I1016" s="24"/>
      <c r="J1016" s="24"/>
      <c r="K1016" s="24"/>
      <c r="L1016" s="24"/>
      <c r="M1016" s="24"/>
      <c r="N1016" s="24"/>
      <c r="O1016" s="24"/>
      <c r="P1016" s="25"/>
      <c r="Q1016" s="25"/>
      <c r="R1016" s="25"/>
      <c r="S1016" s="25"/>
      <c r="T1016" s="25"/>
      <c r="U1016" s="25"/>
      <c r="V1016" s="25"/>
      <c r="W1016" s="25"/>
      <c r="X1016" s="25"/>
      <c r="Y1016" s="25"/>
      <c r="Z1016" s="25"/>
      <c r="AA1016" s="25"/>
      <c r="AB1016" s="25"/>
      <c r="AC1016" s="25"/>
    </row>
    <row r="1017">
      <c r="A1017" s="24" t="str">
        <f>'DE ( Tarik barang retur )'!AC994</f>
        <v/>
      </c>
      <c r="B1017" s="24" t="str">
        <f>'DE ( Tarik barang retur )'!F994</f>
        <v/>
      </c>
      <c r="C1017" s="24" t="str">
        <f>'DE ( Tarik barang retur )'!G994</f>
        <v/>
      </c>
      <c r="D1017" s="24" t="str">
        <f>'DE ( Tarik barang retur )'!H994</f>
        <v/>
      </c>
      <c r="E1017" s="24" t="str">
        <f>'DE ( Tarik barang retur )'!D994</f>
        <v/>
      </c>
      <c r="F1017" s="24" t="str">
        <f>'DE ( Tarik barang retur )'!R994</f>
        <v/>
      </c>
      <c r="G1017" s="24" t="str">
        <f>'DE ( Tarik barang retur )'!AF994</f>
        <v/>
      </c>
      <c r="H1017" s="24"/>
      <c r="I1017" s="24"/>
      <c r="J1017" s="24"/>
      <c r="K1017" s="24"/>
      <c r="L1017" s="24"/>
      <c r="M1017" s="24"/>
      <c r="N1017" s="24"/>
      <c r="O1017" s="24"/>
      <c r="P1017" s="25"/>
      <c r="Q1017" s="25"/>
      <c r="R1017" s="25"/>
      <c r="S1017" s="25"/>
      <c r="T1017" s="25"/>
      <c r="U1017" s="25"/>
      <c r="V1017" s="25"/>
      <c r="W1017" s="25"/>
      <c r="X1017" s="25"/>
      <c r="Y1017" s="25"/>
      <c r="Z1017" s="25"/>
      <c r="AA1017" s="25"/>
      <c r="AB1017" s="25"/>
      <c r="AC1017" s="25"/>
    </row>
    <row r="1018">
      <c r="A1018" s="24" t="str">
        <f>'DE ( Tarik barang retur )'!AC995</f>
        <v/>
      </c>
      <c r="B1018" s="24" t="str">
        <f>'DE ( Tarik barang retur )'!F995</f>
        <v/>
      </c>
      <c r="C1018" s="24" t="str">
        <f>'DE ( Tarik barang retur )'!G995</f>
        <v/>
      </c>
      <c r="D1018" s="24" t="str">
        <f>'DE ( Tarik barang retur )'!H995</f>
        <v/>
      </c>
      <c r="E1018" s="24" t="str">
        <f>'DE ( Tarik barang retur )'!D995</f>
        <v/>
      </c>
      <c r="F1018" s="24" t="str">
        <f>'DE ( Tarik barang retur )'!R995</f>
        <v/>
      </c>
      <c r="G1018" s="24" t="str">
        <f>'DE ( Tarik barang retur )'!AF995</f>
        <v/>
      </c>
      <c r="H1018" s="24"/>
      <c r="I1018" s="24"/>
      <c r="J1018" s="24"/>
      <c r="K1018" s="24"/>
      <c r="L1018" s="24"/>
      <c r="M1018" s="24"/>
      <c r="N1018" s="24"/>
      <c r="O1018" s="24"/>
      <c r="P1018" s="25"/>
      <c r="Q1018" s="25"/>
      <c r="R1018" s="25"/>
      <c r="S1018" s="25"/>
      <c r="T1018" s="25"/>
      <c r="U1018" s="25"/>
      <c r="V1018" s="25"/>
      <c r="W1018" s="25"/>
      <c r="X1018" s="25"/>
      <c r="Y1018" s="25"/>
      <c r="Z1018" s="25"/>
      <c r="AA1018" s="25"/>
      <c r="AB1018" s="25"/>
      <c r="AC1018" s="25"/>
    </row>
    <row r="1019">
      <c r="A1019" s="24" t="str">
        <f>'DE ( Tarik barang retur )'!AC996</f>
        <v/>
      </c>
      <c r="B1019" s="24" t="str">
        <f>'DE ( Tarik barang retur )'!F996</f>
        <v/>
      </c>
      <c r="C1019" s="24" t="str">
        <f>'DE ( Tarik barang retur )'!G996</f>
        <v/>
      </c>
      <c r="D1019" s="24" t="str">
        <f>'DE ( Tarik barang retur )'!H996</f>
        <v/>
      </c>
      <c r="E1019" s="24" t="str">
        <f>'DE ( Tarik barang retur )'!D996</f>
        <v/>
      </c>
      <c r="F1019" s="24" t="str">
        <f>'DE ( Tarik barang retur )'!R996</f>
        <v/>
      </c>
      <c r="G1019" s="24" t="str">
        <f>'DE ( Tarik barang retur )'!AF996</f>
        <v/>
      </c>
      <c r="H1019" s="24"/>
      <c r="I1019" s="24"/>
      <c r="J1019" s="24"/>
      <c r="K1019" s="24"/>
      <c r="L1019" s="24"/>
      <c r="M1019" s="24"/>
      <c r="N1019" s="24"/>
      <c r="O1019" s="24"/>
      <c r="P1019" s="25"/>
      <c r="Q1019" s="25"/>
      <c r="R1019" s="25"/>
      <c r="S1019" s="25"/>
      <c r="T1019" s="25"/>
      <c r="U1019" s="25"/>
      <c r="V1019" s="25"/>
      <c r="W1019" s="25"/>
      <c r="X1019" s="25"/>
      <c r="Y1019" s="25"/>
      <c r="Z1019" s="25"/>
      <c r="AA1019" s="25"/>
      <c r="AB1019" s="25"/>
      <c r="AC1019" s="25"/>
    </row>
    <row r="1020">
      <c r="A1020" s="24" t="str">
        <f>'DE ( Tarik barang retur )'!AC997</f>
        <v/>
      </c>
      <c r="B1020" s="24" t="str">
        <f>'DE ( Tarik barang retur )'!F997</f>
        <v/>
      </c>
      <c r="C1020" s="24" t="str">
        <f>'DE ( Tarik barang retur )'!G997</f>
        <v/>
      </c>
      <c r="D1020" s="24" t="str">
        <f>'DE ( Tarik barang retur )'!H997</f>
        <v/>
      </c>
      <c r="E1020" s="24" t="str">
        <f>'DE ( Tarik barang retur )'!D997</f>
        <v/>
      </c>
      <c r="F1020" s="24" t="str">
        <f>'DE ( Tarik barang retur )'!R997</f>
        <v/>
      </c>
      <c r="G1020" s="24" t="str">
        <f>'DE ( Tarik barang retur )'!AF997</f>
        <v/>
      </c>
      <c r="H1020" s="24"/>
      <c r="I1020" s="24"/>
      <c r="J1020" s="24"/>
      <c r="K1020" s="24"/>
      <c r="L1020" s="24"/>
      <c r="M1020" s="24"/>
      <c r="N1020" s="24"/>
      <c r="O1020" s="24"/>
      <c r="P1020" s="25"/>
      <c r="Q1020" s="25"/>
      <c r="R1020" s="25"/>
      <c r="S1020" s="25"/>
      <c r="T1020" s="25"/>
      <c r="U1020" s="25"/>
      <c r="V1020" s="25"/>
      <c r="W1020" s="25"/>
      <c r="X1020" s="25"/>
      <c r="Y1020" s="25"/>
      <c r="Z1020" s="25"/>
      <c r="AA1020" s="25"/>
      <c r="AB1020" s="25"/>
      <c r="AC1020" s="25"/>
    </row>
    <row r="1021">
      <c r="A1021" s="24" t="str">
        <f>'DE ( Tarik barang retur )'!AC998</f>
        <v/>
      </c>
      <c r="B1021" s="24" t="str">
        <f>'DE ( Tarik barang retur )'!F998</f>
        <v/>
      </c>
      <c r="C1021" s="24" t="str">
        <f>'DE ( Tarik barang retur )'!G998</f>
        <v/>
      </c>
      <c r="D1021" s="24" t="str">
        <f>'DE ( Tarik barang retur )'!H998</f>
        <v/>
      </c>
      <c r="E1021" s="24" t="str">
        <f>'DE ( Tarik barang retur )'!D998</f>
        <v/>
      </c>
      <c r="F1021" s="24" t="str">
        <f>'DE ( Tarik barang retur )'!R998</f>
        <v/>
      </c>
      <c r="G1021" s="24" t="str">
        <f>'DE ( Tarik barang retur )'!AF998</f>
        <v/>
      </c>
      <c r="H1021" s="24"/>
      <c r="I1021" s="24"/>
      <c r="J1021" s="24"/>
      <c r="K1021" s="24"/>
      <c r="L1021" s="24"/>
      <c r="M1021" s="24"/>
      <c r="N1021" s="24"/>
      <c r="O1021" s="24"/>
      <c r="P1021" s="25"/>
      <c r="Q1021" s="25"/>
      <c r="R1021" s="25"/>
      <c r="S1021" s="25"/>
      <c r="T1021" s="25"/>
      <c r="U1021" s="25"/>
      <c r="V1021" s="25"/>
      <c r="W1021" s="25"/>
      <c r="X1021" s="25"/>
      <c r="Y1021" s="25"/>
      <c r="Z1021" s="25"/>
      <c r="AA1021" s="25"/>
      <c r="AB1021" s="25"/>
      <c r="AC1021" s="25"/>
    </row>
    <row r="1022">
      <c r="A1022" s="24" t="str">
        <f>'DE ( Tarik barang retur )'!AC999</f>
        <v/>
      </c>
      <c r="B1022" s="24" t="str">
        <f>'DE ( Tarik barang retur )'!F999</f>
        <v/>
      </c>
      <c r="C1022" s="24" t="str">
        <f>'DE ( Tarik barang retur )'!G999</f>
        <v/>
      </c>
      <c r="D1022" s="24" t="str">
        <f>'DE ( Tarik barang retur )'!H999</f>
        <v/>
      </c>
      <c r="E1022" s="24" t="str">
        <f>'DE ( Tarik barang retur )'!D999</f>
        <v/>
      </c>
      <c r="F1022" s="24" t="str">
        <f>'DE ( Tarik barang retur )'!R999</f>
        <v/>
      </c>
      <c r="G1022" s="24" t="str">
        <f>'DE ( Tarik barang retur )'!AF999</f>
        <v/>
      </c>
      <c r="H1022" s="24"/>
      <c r="I1022" s="24"/>
      <c r="J1022" s="24"/>
      <c r="K1022" s="24"/>
      <c r="L1022" s="24"/>
      <c r="M1022" s="24"/>
      <c r="N1022" s="24"/>
      <c r="O1022" s="24"/>
      <c r="P1022" s="25"/>
      <c r="Q1022" s="25"/>
      <c r="R1022" s="25"/>
      <c r="S1022" s="25"/>
      <c r="T1022" s="25"/>
      <c r="U1022" s="25"/>
      <c r="V1022" s="25"/>
      <c r="W1022" s="25"/>
      <c r="X1022" s="25"/>
      <c r="Y1022" s="25"/>
      <c r="Z1022" s="25"/>
      <c r="AA1022" s="25"/>
      <c r="AB1022" s="25"/>
      <c r="AC1022" s="25"/>
    </row>
    <row r="1023">
      <c r="A1023" s="24" t="str">
        <f>'DE ( Tarik barang retur )'!AC1000</f>
        <v/>
      </c>
      <c r="B1023" s="24" t="str">
        <f>'DE ( Tarik barang retur )'!F1000</f>
        <v/>
      </c>
      <c r="C1023" s="24" t="str">
        <f>'DE ( Tarik barang retur )'!G1000</f>
        <v/>
      </c>
      <c r="D1023" s="24" t="str">
        <f>'DE ( Tarik barang retur )'!H1000</f>
        <v/>
      </c>
      <c r="E1023" s="24" t="str">
        <f>'DE ( Tarik barang retur )'!D1000</f>
        <v/>
      </c>
      <c r="F1023" s="24" t="str">
        <f>'DE ( Tarik barang retur )'!R1000</f>
        <v/>
      </c>
      <c r="G1023" s="24" t="str">
        <f>'DE ( Tarik barang retur )'!AF1000</f>
        <v/>
      </c>
      <c r="H1023" s="24"/>
      <c r="I1023" s="24"/>
      <c r="J1023" s="24"/>
      <c r="K1023" s="24"/>
      <c r="L1023" s="24"/>
      <c r="M1023" s="24"/>
      <c r="N1023" s="24"/>
      <c r="O1023" s="24"/>
      <c r="P1023" s="25"/>
      <c r="Q1023" s="25"/>
      <c r="R1023" s="25"/>
      <c r="S1023" s="25"/>
      <c r="T1023" s="25"/>
      <c r="U1023" s="25"/>
      <c r="V1023" s="25"/>
      <c r="W1023" s="25"/>
      <c r="X1023" s="25"/>
      <c r="Y1023" s="25"/>
      <c r="Z1023" s="25"/>
      <c r="AA1023" s="25"/>
      <c r="AB1023" s="25"/>
      <c r="AC1023" s="25"/>
    </row>
    <row r="1024">
      <c r="A1024" s="24" t="str">
        <f>'DE ( Tarik barang retur )'!AC1001</f>
        <v/>
      </c>
      <c r="B1024" s="24" t="str">
        <f>'DE ( Tarik barang retur )'!F1001</f>
        <v/>
      </c>
      <c r="C1024" s="24" t="str">
        <f>'DE ( Tarik barang retur )'!G1001</f>
        <v/>
      </c>
      <c r="D1024" s="24" t="str">
        <f>'DE ( Tarik barang retur )'!H1001</f>
        <v/>
      </c>
      <c r="E1024" s="24" t="str">
        <f>'DE ( Tarik barang retur )'!D1001</f>
        <v/>
      </c>
      <c r="F1024" s="24" t="str">
        <f>'DE ( Tarik barang retur )'!R1001</f>
        <v/>
      </c>
      <c r="G1024" s="24" t="str">
        <f>'DE ( Tarik barang retur )'!AF1001</f>
        <v/>
      </c>
      <c r="H1024" s="24"/>
      <c r="I1024" s="24"/>
      <c r="J1024" s="24"/>
      <c r="K1024" s="24"/>
      <c r="L1024" s="24"/>
      <c r="M1024" s="24"/>
      <c r="N1024" s="24"/>
      <c r="O1024" s="24"/>
      <c r="P1024" s="25"/>
      <c r="Q1024" s="25"/>
      <c r="R1024" s="25"/>
      <c r="S1024" s="25"/>
      <c r="T1024" s="25"/>
      <c r="U1024" s="25"/>
      <c r="V1024" s="25"/>
      <c r="W1024" s="25"/>
      <c r="X1024" s="25"/>
      <c r="Y1024" s="25"/>
      <c r="Z1024" s="25"/>
      <c r="AA1024" s="25"/>
      <c r="AB1024" s="25"/>
      <c r="AC1024" s="2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63"/>
    <col customWidth="1" min="13" max="13" width="23.88"/>
  </cols>
  <sheetData>
    <row r="1">
      <c r="A1" s="50" t="s">
        <v>5374</v>
      </c>
      <c r="B1" s="50" t="s">
        <v>5375</v>
      </c>
    </row>
    <row r="2">
      <c r="A2" s="51" t="s">
        <v>41</v>
      </c>
      <c r="B2" s="51" t="s">
        <v>5376</v>
      </c>
      <c r="E2" s="52" t="str">
        <f t="array" ref="E2:E580">UNIQUE('DE ( Tarik barang retur )'!H:H)</f>
        <v>from.address.address1</v>
      </c>
      <c r="J2" s="51" t="s">
        <v>5374</v>
      </c>
      <c r="K2" s="51" t="s">
        <v>5377</v>
      </c>
    </row>
    <row r="3">
      <c r="A3" s="51" t="s">
        <v>56</v>
      </c>
      <c r="B3" s="51" t="s">
        <v>5378</v>
      </c>
      <c r="E3" s="52" t="s">
        <v>41</v>
      </c>
      <c r="J3" s="51" t="s">
        <v>41</v>
      </c>
      <c r="K3" s="51" t="s">
        <v>5376</v>
      </c>
    </row>
    <row r="4">
      <c r="A4" s="51" t="s">
        <v>66</v>
      </c>
      <c r="B4" s="51" t="s">
        <v>5380</v>
      </c>
      <c r="E4" s="52" t="s">
        <v>56</v>
      </c>
      <c r="J4" s="51" t="s">
        <v>56</v>
      </c>
      <c r="K4" s="51" t="s">
        <v>5378</v>
      </c>
      <c r="O4" s="53">
        <f t="shared" ref="O4:O20" si="1">N4/$N$21</f>
        <v>0.2325581395</v>
      </c>
    </row>
    <row r="5">
      <c r="A5" s="51" t="s">
        <v>72</v>
      </c>
      <c r="B5" s="51" t="s">
        <v>5380</v>
      </c>
      <c r="E5" s="52" t="s">
        <v>66</v>
      </c>
      <c r="J5" s="51" t="s">
        <v>66</v>
      </c>
      <c r="K5" s="51" t="s">
        <v>5380</v>
      </c>
      <c r="O5" s="53">
        <f t="shared" si="1"/>
        <v>0.1802325581</v>
      </c>
    </row>
    <row r="6">
      <c r="A6" s="51" t="s">
        <v>78</v>
      </c>
      <c r="B6" s="51" t="s">
        <v>5380</v>
      </c>
      <c r="E6" s="52" t="s">
        <v>72</v>
      </c>
      <c r="J6" s="51" t="s">
        <v>72</v>
      </c>
      <c r="K6" s="51" t="s">
        <v>5380</v>
      </c>
      <c r="O6" s="53">
        <f t="shared" si="1"/>
        <v>0.1627906977</v>
      </c>
    </row>
    <row r="7">
      <c r="A7" s="51" t="s">
        <v>84</v>
      </c>
      <c r="B7" s="51" t="s">
        <v>5382</v>
      </c>
      <c r="E7" s="52" t="s">
        <v>78</v>
      </c>
      <c r="J7" s="51" t="s">
        <v>78</v>
      </c>
      <c r="K7" s="51" t="s">
        <v>5380</v>
      </c>
      <c r="O7" s="53">
        <f t="shared" si="1"/>
        <v>0.1569767442</v>
      </c>
    </row>
    <row r="8">
      <c r="A8" s="51" t="s">
        <v>90</v>
      </c>
      <c r="B8" s="51" t="s">
        <v>5384</v>
      </c>
      <c r="E8" s="52" t="s">
        <v>84</v>
      </c>
      <c r="J8" s="51" t="s">
        <v>84</v>
      </c>
      <c r="K8" s="51" t="s">
        <v>5382</v>
      </c>
      <c r="O8" s="53">
        <f t="shared" si="1"/>
        <v>0.05813953488</v>
      </c>
    </row>
    <row r="9">
      <c r="A9" s="51" t="s">
        <v>96</v>
      </c>
      <c r="B9" s="51" t="s">
        <v>5381</v>
      </c>
      <c r="E9" s="52" t="s">
        <v>90</v>
      </c>
      <c r="J9" s="51" t="s">
        <v>90</v>
      </c>
      <c r="K9" s="51" t="s">
        <v>5384</v>
      </c>
      <c r="O9" s="53">
        <f t="shared" si="1"/>
        <v>0.04651162791</v>
      </c>
    </row>
    <row r="10">
      <c r="A10" s="51" t="s">
        <v>102</v>
      </c>
      <c r="B10" s="51" t="s">
        <v>5381</v>
      </c>
      <c r="E10" s="52" t="s">
        <v>96</v>
      </c>
      <c r="J10" s="51" t="s">
        <v>96</v>
      </c>
      <c r="K10" s="51" t="s">
        <v>5381</v>
      </c>
      <c r="O10" s="53">
        <f t="shared" si="1"/>
        <v>0.04651162791</v>
      </c>
    </row>
    <row r="11">
      <c r="A11" s="51" t="s">
        <v>108</v>
      </c>
      <c r="B11" s="51" t="s">
        <v>5381</v>
      </c>
      <c r="E11" s="52" t="s">
        <v>102</v>
      </c>
      <c r="J11" s="51" t="s">
        <v>102</v>
      </c>
      <c r="K11" s="51" t="s">
        <v>5381</v>
      </c>
      <c r="O11" s="53">
        <f t="shared" si="1"/>
        <v>0.04069767442</v>
      </c>
    </row>
    <row r="12">
      <c r="A12" s="51" t="s">
        <v>114</v>
      </c>
      <c r="B12" s="51" t="s">
        <v>5381</v>
      </c>
      <c r="E12" s="52" t="s">
        <v>108</v>
      </c>
      <c r="J12" s="51" t="s">
        <v>108</v>
      </c>
      <c r="K12" s="51" t="s">
        <v>5381</v>
      </c>
      <c r="O12" s="53">
        <f t="shared" si="1"/>
        <v>0.02906976744</v>
      </c>
    </row>
    <row r="13">
      <c r="A13" s="51" t="s">
        <v>120</v>
      </c>
      <c r="B13" s="51" t="s">
        <v>5386</v>
      </c>
      <c r="E13" s="52" t="s">
        <v>114</v>
      </c>
      <c r="J13" s="51" t="s">
        <v>114</v>
      </c>
      <c r="K13" s="51" t="s">
        <v>5381</v>
      </c>
      <c r="O13" s="53">
        <f t="shared" si="1"/>
        <v>0.005813953488</v>
      </c>
    </row>
    <row r="14">
      <c r="A14" s="51" t="s">
        <v>126</v>
      </c>
      <c r="B14" s="51" t="s">
        <v>5385</v>
      </c>
      <c r="E14" s="52" t="s">
        <v>120</v>
      </c>
      <c r="J14" s="51" t="s">
        <v>120</v>
      </c>
      <c r="K14" s="51" t="s">
        <v>5386</v>
      </c>
      <c r="O14" s="53">
        <f t="shared" si="1"/>
        <v>0.005813953488</v>
      </c>
    </row>
    <row r="15">
      <c r="A15" s="51" t="s">
        <v>132</v>
      </c>
      <c r="B15" s="51" t="s">
        <v>5387</v>
      </c>
      <c r="E15" s="52" t="s">
        <v>126</v>
      </c>
      <c r="J15" s="51" t="s">
        <v>126</v>
      </c>
      <c r="K15" s="51" t="s">
        <v>5385</v>
      </c>
      <c r="O15" s="53">
        <f t="shared" si="1"/>
        <v>0.005813953488</v>
      </c>
    </row>
    <row r="16">
      <c r="A16" s="51" t="s">
        <v>138</v>
      </c>
      <c r="B16" s="51" t="s">
        <v>5376</v>
      </c>
      <c r="E16" s="52" t="s">
        <v>132</v>
      </c>
      <c r="J16" s="51" t="s">
        <v>132</v>
      </c>
      <c r="K16" s="51" t="s">
        <v>5387</v>
      </c>
      <c r="O16" s="53">
        <f t="shared" si="1"/>
        <v>0.005813953488</v>
      </c>
    </row>
    <row r="17">
      <c r="A17" s="51" t="s">
        <v>144</v>
      </c>
      <c r="B17" s="51" t="s">
        <v>5376</v>
      </c>
      <c r="E17" s="52" t="s">
        <v>138</v>
      </c>
      <c r="J17" s="51" t="s">
        <v>138</v>
      </c>
      <c r="K17" s="51" t="s">
        <v>5376</v>
      </c>
      <c r="O17" s="53">
        <f t="shared" si="1"/>
        <v>0.005813953488</v>
      </c>
    </row>
    <row r="18">
      <c r="A18" s="51" t="s">
        <v>150</v>
      </c>
      <c r="B18" s="51" t="s">
        <v>5383</v>
      </c>
      <c r="E18" s="52" t="s">
        <v>144</v>
      </c>
      <c r="J18" s="51" t="s">
        <v>144</v>
      </c>
      <c r="K18" s="51" t="s">
        <v>5376</v>
      </c>
      <c r="O18" s="53">
        <f t="shared" si="1"/>
        <v>0.005813953488</v>
      </c>
    </row>
    <row r="19">
      <c r="A19" s="51" t="s">
        <v>156</v>
      </c>
      <c r="B19" s="51" t="s">
        <v>5376</v>
      </c>
      <c r="E19" s="52" t="s">
        <v>150</v>
      </c>
      <c r="J19" s="51" t="s">
        <v>150</v>
      </c>
      <c r="K19" s="51" t="s">
        <v>5383</v>
      </c>
      <c r="O19" s="53">
        <f t="shared" si="1"/>
        <v>0.005813953488</v>
      </c>
    </row>
    <row r="20">
      <c r="A20" s="51" t="s">
        <v>5395</v>
      </c>
      <c r="B20" s="51" t="s">
        <v>5376</v>
      </c>
      <c r="E20" s="52" t="s">
        <v>156</v>
      </c>
      <c r="J20" s="51" t="s">
        <v>156</v>
      </c>
      <c r="K20" s="51" t="s">
        <v>5376</v>
      </c>
      <c r="O20" s="53">
        <f t="shared" si="1"/>
        <v>0.005813953488</v>
      </c>
    </row>
    <row r="21">
      <c r="A21" s="51" t="s">
        <v>168</v>
      </c>
      <c r="B21" s="51" t="s">
        <v>5376</v>
      </c>
      <c r="E21" s="52" t="s">
        <v>162</v>
      </c>
      <c r="J21" s="51" t="s">
        <v>162</v>
      </c>
      <c r="K21" s="51" t="s">
        <v>5376</v>
      </c>
    </row>
    <row r="22">
      <c r="A22" s="51" t="s">
        <v>174</v>
      </c>
      <c r="B22" s="51" t="s">
        <v>5388</v>
      </c>
      <c r="E22" s="52" t="s">
        <v>168</v>
      </c>
      <c r="J22" s="51" t="s">
        <v>168</v>
      </c>
      <c r="K22" s="51" t="s">
        <v>5376</v>
      </c>
    </row>
    <row r="23">
      <c r="A23" s="51" t="s">
        <v>180</v>
      </c>
      <c r="B23" s="51" t="s">
        <v>5383</v>
      </c>
      <c r="E23" s="52" t="s">
        <v>174</v>
      </c>
      <c r="J23" s="51" t="s">
        <v>174</v>
      </c>
      <c r="K23" s="51" t="s">
        <v>5388</v>
      </c>
    </row>
    <row r="24">
      <c r="A24" s="51" t="s">
        <v>186</v>
      </c>
      <c r="B24" s="51" t="s">
        <v>5376</v>
      </c>
      <c r="E24" s="52" t="s">
        <v>180</v>
      </c>
      <c r="J24" s="51" t="s">
        <v>180</v>
      </c>
      <c r="K24" s="51" t="s">
        <v>5383</v>
      </c>
    </row>
    <row r="25">
      <c r="A25" s="51" t="s">
        <v>194</v>
      </c>
      <c r="B25" s="51" t="s">
        <v>5376</v>
      </c>
      <c r="E25" s="52" t="s">
        <v>186</v>
      </c>
      <c r="J25" s="51" t="s">
        <v>186</v>
      </c>
      <c r="K25" s="51" t="s">
        <v>5376</v>
      </c>
    </row>
    <row r="26">
      <c r="A26" s="51" t="s">
        <v>201</v>
      </c>
      <c r="B26" s="51" t="s">
        <v>5376</v>
      </c>
      <c r="E26" s="52" t="s">
        <v>194</v>
      </c>
      <c r="J26" s="51" t="s">
        <v>194</v>
      </c>
      <c r="K26" s="51" t="s">
        <v>5376</v>
      </c>
    </row>
    <row r="27">
      <c r="E27" s="52" t="s">
        <v>201</v>
      </c>
      <c r="J27" s="51" t="s">
        <v>201</v>
      </c>
      <c r="K27" s="51" t="s">
        <v>5376</v>
      </c>
    </row>
    <row r="28">
      <c r="E28" s="52" t="s">
        <v>207</v>
      </c>
      <c r="J28" s="51" t="s">
        <v>207</v>
      </c>
      <c r="K28" s="51" t="s">
        <v>5383</v>
      </c>
    </row>
    <row r="29">
      <c r="E29" s="52" t="s">
        <v>213</v>
      </c>
      <c r="J29" s="51" t="s">
        <v>213</v>
      </c>
      <c r="K29" s="51" t="s">
        <v>5383</v>
      </c>
    </row>
    <row r="30">
      <c r="E30" s="52" t="s">
        <v>219</v>
      </c>
      <c r="J30" s="51" t="s">
        <v>219</v>
      </c>
      <c r="K30" s="51" t="s">
        <v>5383</v>
      </c>
    </row>
    <row r="31">
      <c r="E31" s="52" t="s">
        <v>225</v>
      </c>
      <c r="J31" s="51" t="s">
        <v>225</v>
      </c>
      <c r="K31" s="51" t="s">
        <v>5376</v>
      </c>
    </row>
    <row r="32">
      <c r="E32" s="52" t="s">
        <v>231</v>
      </c>
      <c r="J32" s="51" t="s">
        <v>231</v>
      </c>
      <c r="K32" s="51" t="s">
        <v>5383</v>
      </c>
    </row>
    <row r="33">
      <c r="E33" s="52" t="s">
        <v>241</v>
      </c>
      <c r="J33" s="51" t="s">
        <v>241</v>
      </c>
      <c r="K33" s="51" t="s">
        <v>5383</v>
      </c>
    </row>
    <row r="34">
      <c r="E34" s="52" t="s">
        <v>247</v>
      </c>
      <c r="J34" s="51" t="s">
        <v>247</v>
      </c>
      <c r="K34" s="51" t="s">
        <v>5383</v>
      </c>
    </row>
    <row r="35">
      <c r="E35" s="52" t="s">
        <v>253</v>
      </c>
      <c r="J35" s="51" t="s">
        <v>253</v>
      </c>
      <c r="K35" s="51" t="s">
        <v>5383</v>
      </c>
    </row>
    <row r="36">
      <c r="E36" s="52" t="s">
        <v>259</v>
      </c>
      <c r="J36" s="51" t="s">
        <v>259</v>
      </c>
      <c r="K36" s="51" t="s">
        <v>5376</v>
      </c>
    </row>
    <row r="37">
      <c r="E37" s="52" t="s">
        <v>265</v>
      </c>
      <c r="J37" s="51" t="s">
        <v>265</v>
      </c>
      <c r="K37" s="51" t="s">
        <v>5383</v>
      </c>
    </row>
    <row r="38">
      <c r="E38" s="52" t="s">
        <v>271</v>
      </c>
      <c r="J38" s="51" t="s">
        <v>271</v>
      </c>
      <c r="K38" s="51" t="s">
        <v>5383</v>
      </c>
    </row>
    <row r="39">
      <c r="E39" s="52" t="s">
        <v>277</v>
      </c>
      <c r="J39" s="51" t="s">
        <v>277</v>
      </c>
      <c r="K39" s="51" t="s">
        <v>5388</v>
      </c>
    </row>
    <row r="40">
      <c r="E40" s="52" t="s">
        <v>283</v>
      </c>
      <c r="J40" s="51" t="s">
        <v>283</v>
      </c>
      <c r="K40" s="51" t="s">
        <v>5376</v>
      </c>
    </row>
    <row r="41">
      <c r="E41" s="52" t="s">
        <v>289</v>
      </c>
      <c r="J41" s="51" t="s">
        <v>289</v>
      </c>
      <c r="K41" s="51" t="s">
        <v>5376</v>
      </c>
    </row>
    <row r="42">
      <c r="E42" s="52" t="s">
        <v>295</v>
      </c>
      <c r="J42" s="51" t="s">
        <v>295</v>
      </c>
      <c r="K42" s="51" t="s">
        <v>5383</v>
      </c>
    </row>
    <row r="43">
      <c r="E43" s="52" t="s">
        <v>301</v>
      </c>
      <c r="J43" s="51" t="s">
        <v>301</v>
      </c>
      <c r="K43" s="51" t="s">
        <v>5376</v>
      </c>
    </row>
    <row r="44">
      <c r="E44" s="52" t="s">
        <v>307</v>
      </c>
      <c r="J44" s="51" t="s">
        <v>307</v>
      </c>
      <c r="K44" s="51" t="s">
        <v>5383</v>
      </c>
    </row>
    <row r="45">
      <c r="E45" s="52" t="s">
        <v>313</v>
      </c>
      <c r="J45" s="51" t="s">
        <v>313</v>
      </c>
      <c r="K45" s="51" t="s">
        <v>5376</v>
      </c>
    </row>
    <row r="46">
      <c r="E46" s="52" t="s">
        <v>319</v>
      </c>
      <c r="J46" s="51" t="s">
        <v>319</v>
      </c>
      <c r="K46" s="51" t="s">
        <v>5376</v>
      </c>
    </row>
    <row r="47">
      <c r="E47" s="52" t="s">
        <v>325</v>
      </c>
      <c r="J47" s="51" t="s">
        <v>325</v>
      </c>
      <c r="K47" s="51" t="s">
        <v>5376</v>
      </c>
    </row>
    <row r="48">
      <c r="E48" s="52" t="s">
        <v>331</v>
      </c>
      <c r="J48" s="51" t="s">
        <v>331</v>
      </c>
      <c r="K48" s="51" t="s">
        <v>5376</v>
      </c>
    </row>
    <row r="49">
      <c r="E49" s="52" t="s">
        <v>337</v>
      </c>
      <c r="J49" s="51" t="s">
        <v>337</v>
      </c>
      <c r="K49" s="51" t="s">
        <v>5376</v>
      </c>
    </row>
    <row r="50">
      <c r="E50" s="52" t="s">
        <v>343</v>
      </c>
      <c r="J50" s="51" t="s">
        <v>343</v>
      </c>
      <c r="K50" s="51" t="s">
        <v>5376</v>
      </c>
    </row>
    <row r="51">
      <c r="E51" s="52" t="s">
        <v>349</v>
      </c>
      <c r="J51" s="51" t="s">
        <v>349</v>
      </c>
      <c r="K51" s="51" t="s">
        <v>5376</v>
      </c>
    </row>
    <row r="52">
      <c r="E52" s="52" t="s">
        <v>359</v>
      </c>
      <c r="J52" s="51" t="s">
        <v>359</v>
      </c>
      <c r="K52" s="51" t="s">
        <v>5376</v>
      </c>
    </row>
    <row r="53">
      <c r="E53" s="52" t="s">
        <v>365</v>
      </c>
      <c r="J53" s="51" t="s">
        <v>365</v>
      </c>
      <c r="K53" s="51" t="s">
        <v>5383</v>
      </c>
    </row>
    <row r="54">
      <c r="E54" s="52" t="s">
        <v>371</v>
      </c>
      <c r="J54" s="51" t="s">
        <v>371</v>
      </c>
      <c r="K54" s="51" t="s">
        <v>5376</v>
      </c>
    </row>
    <row r="55">
      <c r="E55" s="52" t="s">
        <v>377</v>
      </c>
      <c r="J55" s="51" t="s">
        <v>377</v>
      </c>
      <c r="K55" s="51" t="s">
        <v>5376</v>
      </c>
    </row>
    <row r="56">
      <c r="E56" s="52" t="s">
        <v>387</v>
      </c>
      <c r="J56" s="51" t="s">
        <v>387</v>
      </c>
      <c r="K56" s="51" t="s">
        <v>5388</v>
      </c>
    </row>
    <row r="57">
      <c r="E57" s="52" t="s">
        <v>393</v>
      </c>
      <c r="J57" s="51" t="s">
        <v>393</v>
      </c>
      <c r="K57" s="51" t="s">
        <v>5383</v>
      </c>
    </row>
    <row r="58">
      <c r="E58" s="52" t="s">
        <v>399</v>
      </c>
      <c r="J58" s="51" t="s">
        <v>399</v>
      </c>
      <c r="K58" s="51" t="s">
        <v>5383</v>
      </c>
    </row>
    <row r="59">
      <c r="E59" s="52" t="s">
        <v>405</v>
      </c>
      <c r="J59" s="51" t="s">
        <v>405</v>
      </c>
      <c r="K59" s="51" t="s">
        <v>5376</v>
      </c>
    </row>
    <row r="60">
      <c r="E60" s="52" t="s">
        <v>411</v>
      </c>
      <c r="J60" s="51" t="s">
        <v>411</v>
      </c>
      <c r="K60" s="51" t="s">
        <v>5376</v>
      </c>
    </row>
    <row r="61">
      <c r="E61" s="52" t="s">
        <v>417</v>
      </c>
      <c r="J61" s="51" t="s">
        <v>417</v>
      </c>
      <c r="K61" s="51" t="s">
        <v>5383</v>
      </c>
    </row>
    <row r="62">
      <c r="E62" s="52" t="s">
        <v>423</v>
      </c>
      <c r="J62" s="51" t="s">
        <v>423</v>
      </c>
      <c r="K62" s="51" t="s">
        <v>5383</v>
      </c>
    </row>
    <row r="63">
      <c r="E63" s="52" t="s">
        <v>433</v>
      </c>
      <c r="J63" s="51" t="s">
        <v>433</v>
      </c>
      <c r="K63" s="51" t="s">
        <v>5383</v>
      </c>
    </row>
    <row r="64">
      <c r="E64" s="52" t="s">
        <v>439</v>
      </c>
      <c r="J64" s="51" t="s">
        <v>5396</v>
      </c>
      <c r="K64" s="51" t="s">
        <v>5376</v>
      </c>
    </row>
    <row r="65">
      <c r="E65" s="52" t="s">
        <v>445</v>
      </c>
      <c r="J65" s="51" t="s">
        <v>445</v>
      </c>
      <c r="K65" s="51" t="s">
        <v>5376</v>
      </c>
    </row>
    <row r="66">
      <c r="E66" s="52" t="s">
        <v>451</v>
      </c>
      <c r="J66" s="51" t="s">
        <v>451</v>
      </c>
      <c r="K66" s="51" t="s">
        <v>5383</v>
      </c>
    </row>
    <row r="67">
      <c r="E67" s="52" t="s">
        <v>457</v>
      </c>
      <c r="J67" s="51" t="s">
        <v>457</v>
      </c>
      <c r="K67" s="51" t="s">
        <v>5383</v>
      </c>
    </row>
    <row r="68">
      <c r="E68" s="52" t="s">
        <v>463</v>
      </c>
      <c r="J68" s="51" t="s">
        <v>463</v>
      </c>
      <c r="K68" s="51" t="s">
        <v>5383</v>
      </c>
    </row>
    <row r="69">
      <c r="E69" s="52" t="s">
        <v>469</v>
      </c>
      <c r="J69" s="51" t="s">
        <v>469</v>
      </c>
      <c r="K69" s="51" t="s">
        <v>5381</v>
      </c>
    </row>
    <row r="70">
      <c r="E70" s="52" t="s">
        <v>475</v>
      </c>
      <c r="J70" s="51" t="s">
        <v>475</v>
      </c>
      <c r="K70" s="51" t="s">
        <v>5381</v>
      </c>
    </row>
    <row r="71">
      <c r="E71" s="52" t="s">
        <v>481</v>
      </c>
      <c r="J71" s="51" t="s">
        <v>481</v>
      </c>
      <c r="K71" s="51" t="s">
        <v>5389</v>
      </c>
    </row>
    <row r="72">
      <c r="E72" s="52" t="s">
        <v>487</v>
      </c>
      <c r="J72" s="51" t="s">
        <v>487</v>
      </c>
      <c r="K72" s="51" t="s">
        <v>5381</v>
      </c>
    </row>
    <row r="73">
      <c r="E73" s="52" t="s">
        <v>493</v>
      </c>
      <c r="J73" s="51" t="s">
        <v>493</v>
      </c>
      <c r="K73" s="51" t="s">
        <v>5381</v>
      </c>
    </row>
    <row r="74">
      <c r="E74" s="52" t="s">
        <v>499</v>
      </c>
      <c r="J74" s="51" t="s">
        <v>499</v>
      </c>
      <c r="K74" s="51" t="s">
        <v>5389</v>
      </c>
    </row>
    <row r="75">
      <c r="E75" s="52" t="s">
        <v>505</v>
      </c>
      <c r="J75" s="51" t="s">
        <v>505</v>
      </c>
      <c r="K75" s="51" t="s">
        <v>5381</v>
      </c>
    </row>
    <row r="76">
      <c r="E76" s="52" t="s">
        <v>511</v>
      </c>
      <c r="J76" s="51" t="s">
        <v>511</v>
      </c>
      <c r="K76" s="51" t="s">
        <v>5381</v>
      </c>
    </row>
    <row r="77">
      <c r="E77" s="52" t="s">
        <v>517</v>
      </c>
      <c r="J77" s="51" t="s">
        <v>517</v>
      </c>
      <c r="K77" s="51" t="s">
        <v>5381</v>
      </c>
    </row>
    <row r="78">
      <c r="E78" s="52" t="s">
        <v>523</v>
      </c>
      <c r="J78" s="51" t="s">
        <v>523</v>
      </c>
      <c r="K78" s="51" t="s">
        <v>5381</v>
      </c>
    </row>
    <row r="79">
      <c r="E79" s="52" t="s">
        <v>529</v>
      </c>
      <c r="J79" s="51" t="s">
        <v>529</v>
      </c>
      <c r="K79" s="51" t="s">
        <v>5381</v>
      </c>
    </row>
    <row r="80">
      <c r="E80" s="52" t="s">
        <v>535</v>
      </c>
      <c r="J80" s="51" t="s">
        <v>535</v>
      </c>
      <c r="K80" s="51" t="s">
        <v>5389</v>
      </c>
    </row>
    <row r="81">
      <c r="E81" s="52" t="s">
        <v>541</v>
      </c>
      <c r="J81" s="51" t="s">
        <v>541</v>
      </c>
      <c r="K81" s="51" t="s">
        <v>5389</v>
      </c>
    </row>
    <row r="82">
      <c r="E82" s="52" t="s">
        <v>547</v>
      </c>
      <c r="J82" s="51" t="s">
        <v>547</v>
      </c>
      <c r="K82" s="51" t="s">
        <v>5381</v>
      </c>
    </row>
    <row r="83">
      <c r="E83" s="52" t="s">
        <v>553</v>
      </c>
      <c r="J83" s="51" t="s">
        <v>553</v>
      </c>
      <c r="K83" s="51" t="s">
        <v>5381</v>
      </c>
    </row>
    <row r="84">
      <c r="E84" s="52" t="s">
        <v>559</v>
      </c>
      <c r="J84" s="51" t="s">
        <v>559</v>
      </c>
      <c r="K84" s="51" t="s">
        <v>5389</v>
      </c>
    </row>
    <row r="85">
      <c r="E85" s="52" t="s">
        <v>565</v>
      </c>
      <c r="J85" s="51" t="s">
        <v>565</v>
      </c>
      <c r="K85" s="51" t="s">
        <v>5385</v>
      </c>
    </row>
    <row r="86">
      <c r="E86" s="52" t="s">
        <v>571</v>
      </c>
      <c r="J86" s="51" t="s">
        <v>571</v>
      </c>
      <c r="K86" s="51" t="s">
        <v>5387</v>
      </c>
    </row>
    <row r="87">
      <c r="E87" s="52" t="s">
        <v>577</v>
      </c>
      <c r="J87" s="51" t="s">
        <v>577</v>
      </c>
      <c r="K87" s="51" t="s">
        <v>5386</v>
      </c>
    </row>
    <row r="88">
      <c r="E88" s="52" t="s">
        <v>583</v>
      </c>
      <c r="J88" s="51" t="s">
        <v>583</v>
      </c>
      <c r="K88" s="51" t="s">
        <v>5385</v>
      </c>
    </row>
    <row r="89">
      <c r="E89" s="52" t="s">
        <v>589</v>
      </c>
      <c r="J89" s="51" t="s">
        <v>589</v>
      </c>
      <c r="K89" s="51" t="s">
        <v>5387</v>
      </c>
    </row>
    <row r="90">
      <c r="E90" s="52" t="s">
        <v>595</v>
      </c>
      <c r="J90" s="51" t="s">
        <v>595</v>
      </c>
      <c r="K90" s="51" t="s">
        <v>5385</v>
      </c>
    </row>
    <row r="91">
      <c r="E91" s="52" t="s">
        <v>601</v>
      </c>
      <c r="J91" s="51" t="s">
        <v>5397</v>
      </c>
      <c r="K91" s="51" t="s">
        <v>5386</v>
      </c>
    </row>
    <row r="92">
      <c r="E92" s="52" t="s">
        <v>607</v>
      </c>
      <c r="J92" s="51" t="s">
        <v>607</v>
      </c>
      <c r="K92" s="51" t="s">
        <v>5387</v>
      </c>
    </row>
    <row r="93">
      <c r="E93" s="52" t="s">
        <v>613</v>
      </c>
      <c r="J93" s="51" t="s">
        <v>613</v>
      </c>
      <c r="K93" s="51" t="s">
        <v>5385</v>
      </c>
    </row>
    <row r="94">
      <c r="E94" s="52" t="s">
        <v>619</v>
      </c>
      <c r="J94" s="51" t="s">
        <v>619</v>
      </c>
      <c r="K94" s="51" t="s">
        <v>5385</v>
      </c>
    </row>
    <row r="95">
      <c r="E95" s="52" t="s">
        <v>625</v>
      </c>
      <c r="J95" s="51" t="s">
        <v>625</v>
      </c>
      <c r="K95" s="51" t="s">
        <v>5385</v>
      </c>
    </row>
    <row r="96">
      <c r="E96" s="52" t="s">
        <v>631</v>
      </c>
      <c r="J96" s="51" t="s">
        <v>631</v>
      </c>
      <c r="K96" s="51" t="s">
        <v>5387</v>
      </c>
    </row>
    <row r="97">
      <c r="E97" s="52" t="s">
        <v>637</v>
      </c>
      <c r="J97" s="51" t="s">
        <v>637</v>
      </c>
      <c r="K97" s="51" t="s">
        <v>5385</v>
      </c>
    </row>
    <row r="98">
      <c r="E98" s="52" t="s">
        <v>643</v>
      </c>
      <c r="J98" s="51" t="s">
        <v>5398</v>
      </c>
      <c r="K98" s="51" t="s">
        <v>5386</v>
      </c>
    </row>
    <row r="99">
      <c r="E99" s="52" t="s">
        <v>649</v>
      </c>
      <c r="J99" s="51" t="s">
        <v>649</v>
      </c>
      <c r="K99" s="51" t="s">
        <v>5386</v>
      </c>
    </row>
    <row r="100">
      <c r="E100" s="52" t="s">
        <v>655</v>
      </c>
      <c r="J100" s="51" t="s">
        <v>655</v>
      </c>
      <c r="K100" s="51" t="s">
        <v>5385</v>
      </c>
    </row>
    <row r="101">
      <c r="E101" s="52" t="s">
        <v>661</v>
      </c>
      <c r="J101" s="51" t="s">
        <v>661</v>
      </c>
      <c r="K101" s="51" t="s">
        <v>5380</v>
      </c>
    </row>
    <row r="102">
      <c r="E102" s="52" t="s">
        <v>667</v>
      </c>
      <c r="J102" s="51" t="s">
        <v>667</v>
      </c>
      <c r="K102" s="51" t="s">
        <v>5380</v>
      </c>
    </row>
    <row r="103">
      <c r="E103" s="52" t="s">
        <v>673</v>
      </c>
      <c r="J103" s="51" t="s">
        <v>673</v>
      </c>
      <c r="K103" s="51" t="s">
        <v>5380</v>
      </c>
    </row>
    <row r="104">
      <c r="E104" s="52" t="s">
        <v>679</v>
      </c>
      <c r="J104" s="51" t="s">
        <v>679</v>
      </c>
      <c r="K104" s="51" t="s">
        <v>5380</v>
      </c>
    </row>
    <row r="105">
      <c r="E105" s="52" t="s">
        <v>685</v>
      </c>
      <c r="J105" s="51" t="s">
        <v>685</v>
      </c>
      <c r="K105" s="51" t="s">
        <v>5383</v>
      </c>
    </row>
    <row r="106">
      <c r="E106" s="52" t="s">
        <v>691</v>
      </c>
      <c r="J106" s="51" t="s">
        <v>691</v>
      </c>
      <c r="K106" s="51" t="s">
        <v>5380</v>
      </c>
    </row>
    <row r="107">
      <c r="E107" s="52" t="s">
        <v>697</v>
      </c>
      <c r="J107" s="51" t="s">
        <v>697</v>
      </c>
      <c r="K107" s="51" t="s">
        <v>5383</v>
      </c>
    </row>
    <row r="108">
      <c r="E108" s="52" t="s">
        <v>703</v>
      </c>
      <c r="J108" s="51" t="s">
        <v>703</v>
      </c>
      <c r="K108" s="51" t="s">
        <v>5380</v>
      </c>
    </row>
    <row r="109">
      <c r="E109" s="52" t="s">
        <v>709</v>
      </c>
      <c r="J109" s="51" t="s">
        <v>709</v>
      </c>
      <c r="K109" s="51" t="s">
        <v>5383</v>
      </c>
    </row>
    <row r="110">
      <c r="E110" s="52" t="s">
        <v>715</v>
      </c>
      <c r="J110" s="51" t="s">
        <v>715</v>
      </c>
      <c r="K110" s="51" t="s">
        <v>5380</v>
      </c>
    </row>
    <row r="111">
      <c r="E111" s="52" t="s">
        <v>721</v>
      </c>
      <c r="J111" s="51" t="s">
        <v>721</v>
      </c>
      <c r="K111" s="51" t="s">
        <v>5380</v>
      </c>
    </row>
    <row r="112">
      <c r="E112" s="52" t="s">
        <v>727</v>
      </c>
      <c r="J112" s="51" t="s">
        <v>727</v>
      </c>
      <c r="K112" s="51" t="s">
        <v>5380</v>
      </c>
    </row>
    <row r="113">
      <c r="E113" s="52" t="s">
        <v>733</v>
      </c>
      <c r="J113" s="51" t="s">
        <v>733</v>
      </c>
      <c r="K113" s="51" t="s">
        <v>5380</v>
      </c>
    </row>
    <row r="114">
      <c r="E114" s="52" t="s">
        <v>739</v>
      </c>
      <c r="J114" s="51" t="s">
        <v>739</v>
      </c>
      <c r="K114" s="51" t="s">
        <v>5383</v>
      </c>
    </row>
    <row r="115">
      <c r="E115" s="52" t="s">
        <v>745</v>
      </c>
      <c r="J115" s="51" t="s">
        <v>745</v>
      </c>
      <c r="K115" s="51" t="s">
        <v>5380</v>
      </c>
    </row>
    <row r="116">
      <c r="E116" s="52" t="s">
        <v>751</v>
      </c>
      <c r="J116" s="51" t="s">
        <v>751</v>
      </c>
      <c r="K116" s="51" t="s">
        <v>5380</v>
      </c>
    </row>
    <row r="117">
      <c r="E117" s="52" t="s">
        <v>757</v>
      </c>
      <c r="J117" s="51" t="s">
        <v>757</v>
      </c>
      <c r="K117" s="51" t="s">
        <v>5380</v>
      </c>
    </row>
    <row r="118">
      <c r="E118" s="52" t="s">
        <v>763</v>
      </c>
      <c r="J118" s="51" t="s">
        <v>763</v>
      </c>
      <c r="K118" s="51" t="s">
        <v>5380</v>
      </c>
    </row>
    <row r="119">
      <c r="E119" s="52" t="s">
        <v>769</v>
      </c>
      <c r="J119" s="51" t="s">
        <v>769</v>
      </c>
      <c r="K119" s="51" t="s">
        <v>5380</v>
      </c>
    </row>
    <row r="120">
      <c r="E120" s="52" t="s">
        <v>775</v>
      </c>
      <c r="J120" s="51" t="s">
        <v>775</v>
      </c>
      <c r="K120" s="51" t="s">
        <v>5380</v>
      </c>
    </row>
    <row r="121">
      <c r="E121" s="52" t="s">
        <v>781</v>
      </c>
      <c r="J121" s="51" t="s">
        <v>781</v>
      </c>
      <c r="K121" s="51" t="s">
        <v>5380</v>
      </c>
    </row>
    <row r="122">
      <c r="E122" s="52" t="s">
        <v>787</v>
      </c>
      <c r="J122" s="51" t="s">
        <v>787</v>
      </c>
      <c r="K122" s="51" t="s">
        <v>5380</v>
      </c>
    </row>
    <row r="123">
      <c r="E123" s="52" t="s">
        <v>793</v>
      </c>
      <c r="J123" s="51" t="s">
        <v>793</v>
      </c>
      <c r="K123" s="51" t="s">
        <v>5393</v>
      </c>
    </row>
    <row r="124">
      <c r="E124" s="52" t="s">
        <v>799</v>
      </c>
      <c r="J124" s="51" t="s">
        <v>799</v>
      </c>
      <c r="K124" s="51" t="s">
        <v>5381</v>
      </c>
    </row>
    <row r="125">
      <c r="E125" s="52" t="s">
        <v>805</v>
      </c>
      <c r="J125" s="51" t="s">
        <v>805</v>
      </c>
      <c r="K125" s="51" t="s">
        <v>5387</v>
      </c>
    </row>
    <row r="126">
      <c r="E126" s="52" t="s">
        <v>811</v>
      </c>
      <c r="J126" s="51" t="s">
        <v>811</v>
      </c>
      <c r="K126" s="51" t="s">
        <v>5376</v>
      </c>
    </row>
    <row r="127">
      <c r="E127" s="52" t="s">
        <v>829</v>
      </c>
      <c r="J127" s="51" t="s">
        <v>829</v>
      </c>
      <c r="K127" s="51" t="s">
        <v>5376</v>
      </c>
    </row>
    <row r="128">
      <c r="E128" s="52" t="s">
        <v>835</v>
      </c>
      <c r="J128" s="51" t="s">
        <v>835</v>
      </c>
      <c r="K128" s="51" t="s">
        <v>5388</v>
      </c>
    </row>
    <row r="129">
      <c r="E129" s="52" t="s">
        <v>845</v>
      </c>
      <c r="J129" s="51" t="s">
        <v>845</v>
      </c>
      <c r="K129" s="51" t="s">
        <v>5386</v>
      </c>
    </row>
    <row r="130">
      <c r="E130" s="52" t="s">
        <v>855</v>
      </c>
      <c r="J130" s="51" t="s">
        <v>855</v>
      </c>
      <c r="K130" s="51" t="s">
        <v>5381</v>
      </c>
    </row>
    <row r="131">
      <c r="E131" s="52" t="s">
        <v>861</v>
      </c>
      <c r="J131" s="51" t="s">
        <v>861</v>
      </c>
      <c r="K131" s="51" t="s">
        <v>5381</v>
      </c>
    </row>
    <row r="132">
      <c r="E132" s="52" t="s">
        <v>867</v>
      </c>
      <c r="J132" s="51" t="s">
        <v>867</v>
      </c>
      <c r="K132" s="51" t="s">
        <v>5380</v>
      </c>
    </row>
    <row r="133">
      <c r="E133" s="52" t="s">
        <v>873</v>
      </c>
      <c r="J133" s="51" t="s">
        <v>873</v>
      </c>
      <c r="K133" s="51" t="s">
        <v>5380</v>
      </c>
    </row>
    <row r="134">
      <c r="E134" s="52" t="s">
        <v>883</v>
      </c>
      <c r="J134" s="51" t="s">
        <v>883</v>
      </c>
      <c r="K134" s="51" t="s">
        <v>5392</v>
      </c>
    </row>
    <row r="135">
      <c r="E135" s="52" t="s">
        <v>891</v>
      </c>
      <c r="J135" s="51" t="s">
        <v>891</v>
      </c>
      <c r="K135" s="51" t="s">
        <v>5388</v>
      </c>
    </row>
    <row r="136">
      <c r="E136" s="52" t="s">
        <v>896</v>
      </c>
      <c r="J136" s="51" t="s">
        <v>896</v>
      </c>
      <c r="K136" s="51" t="s">
        <v>5381</v>
      </c>
    </row>
    <row r="137">
      <c r="E137" s="52" t="s">
        <v>902</v>
      </c>
      <c r="J137" s="51" t="s">
        <v>902</v>
      </c>
      <c r="K137" s="51" t="s">
        <v>5394</v>
      </c>
    </row>
    <row r="138">
      <c r="E138" s="52" t="s">
        <v>908</v>
      </c>
      <c r="J138" s="51" t="s">
        <v>908</v>
      </c>
      <c r="K138" s="51" t="s">
        <v>5390</v>
      </c>
    </row>
    <row r="139">
      <c r="E139" s="52" t="s">
        <v>918</v>
      </c>
      <c r="J139" s="51" t="s">
        <v>918</v>
      </c>
      <c r="K139" s="51" t="s">
        <v>5380</v>
      </c>
    </row>
    <row r="140">
      <c r="E140" s="52" t="s">
        <v>924</v>
      </c>
      <c r="J140" s="51" t="s">
        <v>924</v>
      </c>
      <c r="K140" s="51" t="s">
        <v>5380</v>
      </c>
    </row>
    <row r="141">
      <c r="E141" s="52" t="s">
        <v>934</v>
      </c>
      <c r="J141" s="51" t="s">
        <v>934</v>
      </c>
      <c r="K141" s="51" t="s">
        <v>5380</v>
      </c>
    </row>
    <row r="142">
      <c r="E142" s="52" t="s">
        <v>940</v>
      </c>
      <c r="J142" s="51" t="s">
        <v>940</v>
      </c>
      <c r="K142" s="51" t="s">
        <v>5380</v>
      </c>
    </row>
    <row r="143">
      <c r="E143" s="52" t="s">
        <v>946</v>
      </c>
      <c r="J143" s="51" t="s">
        <v>946</v>
      </c>
      <c r="K143" s="51" t="s">
        <v>5376</v>
      </c>
    </row>
    <row r="144">
      <c r="E144" s="52" t="s">
        <v>956</v>
      </c>
      <c r="J144" s="51" t="s">
        <v>956</v>
      </c>
      <c r="K144" s="51" t="s">
        <v>5376</v>
      </c>
    </row>
    <row r="145">
      <c r="E145" s="52" t="s">
        <v>970</v>
      </c>
      <c r="J145" s="51" t="s">
        <v>970</v>
      </c>
      <c r="K145" s="51" t="s">
        <v>5388</v>
      </c>
    </row>
    <row r="146">
      <c r="E146" s="52" t="s">
        <v>988</v>
      </c>
      <c r="J146" s="51" t="s">
        <v>988</v>
      </c>
      <c r="K146" s="51" t="s">
        <v>5376</v>
      </c>
    </row>
    <row r="147">
      <c r="E147" s="52" t="s">
        <v>994</v>
      </c>
      <c r="J147" s="51" t="s">
        <v>994</v>
      </c>
      <c r="K147" s="51" t="s">
        <v>5376</v>
      </c>
    </row>
    <row r="148">
      <c r="E148" s="52" t="s">
        <v>1000</v>
      </c>
      <c r="J148" s="51" t="s">
        <v>1000</v>
      </c>
      <c r="K148" s="51" t="s">
        <v>5388</v>
      </c>
    </row>
    <row r="149">
      <c r="E149" s="52" t="s">
        <v>1006</v>
      </c>
      <c r="J149" s="51" t="s">
        <v>1006</v>
      </c>
      <c r="K149" s="51" t="s">
        <v>5376</v>
      </c>
    </row>
    <row r="150">
      <c r="E150" s="52" t="s">
        <v>1012</v>
      </c>
      <c r="J150" s="51" t="s">
        <v>1012</v>
      </c>
      <c r="K150" s="51" t="s">
        <v>5383</v>
      </c>
    </row>
    <row r="151">
      <c r="E151" s="52" t="s">
        <v>1026</v>
      </c>
      <c r="J151" s="51" t="s">
        <v>1026</v>
      </c>
      <c r="K151" s="51" t="s">
        <v>5376</v>
      </c>
    </row>
    <row r="152">
      <c r="E152" s="52" t="s">
        <v>1036</v>
      </c>
      <c r="J152" s="51" t="s">
        <v>5399</v>
      </c>
      <c r="K152" s="51" t="s">
        <v>5376</v>
      </c>
    </row>
    <row r="153">
      <c r="E153" s="52" t="s">
        <v>1042</v>
      </c>
      <c r="J153" s="51" t="s">
        <v>1042</v>
      </c>
      <c r="K153" s="51" t="s">
        <v>5376</v>
      </c>
    </row>
    <row r="154">
      <c r="E154" s="52" t="s">
        <v>1052</v>
      </c>
      <c r="J154" s="51" t="s">
        <v>1052</v>
      </c>
      <c r="K154" s="51" t="s">
        <v>5381</v>
      </c>
    </row>
    <row r="155">
      <c r="E155" s="52" t="s">
        <v>1058</v>
      </c>
      <c r="J155" s="51" t="s">
        <v>1058</v>
      </c>
      <c r="K155" s="51" t="s">
        <v>5381</v>
      </c>
    </row>
    <row r="156">
      <c r="E156" s="52" t="s">
        <v>1064</v>
      </c>
      <c r="J156" s="51" t="s">
        <v>1064</v>
      </c>
      <c r="K156" s="51" t="s">
        <v>5381</v>
      </c>
    </row>
    <row r="157">
      <c r="E157" s="52" t="s">
        <v>1070</v>
      </c>
      <c r="J157" s="51" t="s">
        <v>5400</v>
      </c>
      <c r="K157" s="51" t="s">
        <v>5381</v>
      </c>
    </row>
    <row r="158">
      <c r="E158" s="52" t="s">
        <v>1076</v>
      </c>
      <c r="J158" s="51" t="s">
        <v>1076</v>
      </c>
      <c r="K158" s="51" t="s">
        <v>5381</v>
      </c>
    </row>
    <row r="159">
      <c r="E159" s="52" t="s">
        <v>1086</v>
      </c>
      <c r="J159" s="51" t="s">
        <v>1086</v>
      </c>
      <c r="K159" s="51" t="s">
        <v>5381</v>
      </c>
    </row>
    <row r="160">
      <c r="E160" s="52" t="s">
        <v>1100</v>
      </c>
      <c r="J160" s="51" t="s">
        <v>1100</v>
      </c>
      <c r="K160" s="51" t="s">
        <v>5381</v>
      </c>
    </row>
    <row r="161">
      <c r="E161" s="52" t="s">
        <v>1106</v>
      </c>
      <c r="J161" s="51" t="s">
        <v>1106</v>
      </c>
      <c r="K161" s="51" t="s">
        <v>5381</v>
      </c>
    </row>
    <row r="162">
      <c r="E162" s="52" t="s">
        <v>1112</v>
      </c>
      <c r="J162" s="51" t="s">
        <v>1112</v>
      </c>
      <c r="K162" s="51" t="s">
        <v>5387</v>
      </c>
    </row>
    <row r="163">
      <c r="E163" s="52" t="s">
        <v>1118</v>
      </c>
      <c r="J163" s="51" t="s">
        <v>1118</v>
      </c>
      <c r="K163" s="51" t="s">
        <v>5385</v>
      </c>
    </row>
    <row r="164">
      <c r="E164" s="52" t="s">
        <v>1124</v>
      </c>
      <c r="J164" s="51" t="s">
        <v>1124</v>
      </c>
      <c r="K164" s="51" t="s">
        <v>5386</v>
      </c>
    </row>
    <row r="165">
      <c r="E165" s="52" t="s">
        <v>1130</v>
      </c>
      <c r="J165" s="51" t="s">
        <v>1130</v>
      </c>
      <c r="K165" s="51" t="s">
        <v>5386</v>
      </c>
    </row>
    <row r="166">
      <c r="E166" s="52" t="s">
        <v>1136</v>
      </c>
      <c r="J166" s="51" t="s">
        <v>1136</v>
      </c>
      <c r="K166" s="51" t="s">
        <v>5391</v>
      </c>
    </row>
    <row r="167">
      <c r="E167" s="52" t="s">
        <v>1146</v>
      </c>
      <c r="J167" s="51" t="s">
        <v>1146</v>
      </c>
      <c r="K167" s="51" t="s">
        <v>5387</v>
      </c>
    </row>
    <row r="168">
      <c r="E168" s="52" t="s">
        <v>1152</v>
      </c>
      <c r="J168" s="51" t="s">
        <v>1152</v>
      </c>
      <c r="K168" s="51" t="s">
        <v>5381</v>
      </c>
    </row>
    <row r="169">
      <c r="E169" s="52" t="s">
        <v>1158</v>
      </c>
      <c r="J169" s="51" t="s">
        <v>1158</v>
      </c>
      <c r="K169" s="51" t="s">
        <v>5381</v>
      </c>
    </row>
    <row r="170">
      <c r="E170" s="52" t="s">
        <v>1166</v>
      </c>
      <c r="J170" s="51" t="s">
        <v>1166</v>
      </c>
      <c r="K170" s="51" t="s">
        <v>5381</v>
      </c>
    </row>
    <row r="171">
      <c r="E171" s="52" t="s">
        <v>1172</v>
      </c>
      <c r="J171" s="51" t="s">
        <v>1172</v>
      </c>
      <c r="K171" s="51" t="s">
        <v>5381</v>
      </c>
    </row>
    <row r="172">
      <c r="E172" s="52" t="s">
        <v>1178</v>
      </c>
      <c r="J172" s="51" t="s">
        <v>1178</v>
      </c>
      <c r="K172" s="51" t="s">
        <v>5380</v>
      </c>
    </row>
    <row r="173">
      <c r="E173" s="52" t="s">
        <v>1188</v>
      </c>
      <c r="J173" s="51" t="s">
        <v>1188</v>
      </c>
      <c r="K173" s="51" t="s">
        <v>5376</v>
      </c>
    </row>
    <row r="174">
      <c r="E174" s="52" t="s">
        <v>1194</v>
      </c>
      <c r="J174" s="51" t="s">
        <v>1194</v>
      </c>
      <c r="K174" s="51" t="s">
        <v>5376</v>
      </c>
    </row>
    <row r="175">
      <c r="E175" s="52" t="s">
        <v>1216</v>
      </c>
    </row>
    <row r="176">
      <c r="E176" s="52" t="s">
        <v>1225</v>
      </c>
    </row>
    <row r="177">
      <c r="E177" s="52" t="s">
        <v>1234</v>
      </c>
    </row>
    <row r="178">
      <c r="E178" s="52" t="s">
        <v>1240</v>
      </c>
    </row>
    <row r="179">
      <c r="E179" s="52" t="s">
        <v>1246</v>
      </c>
    </row>
    <row r="180">
      <c r="E180" s="52" t="s">
        <v>1252</v>
      </c>
    </row>
    <row r="181">
      <c r="E181" s="52" t="s">
        <v>1258</v>
      </c>
    </row>
    <row r="182">
      <c r="E182" s="52" t="s">
        <v>1264</v>
      </c>
    </row>
    <row r="183">
      <c r="E183" s="52" t="s">
        <v>1270</v>
      </c>
    </row>
    <row r="184">
      <c r="E184" s="52" t="s">
        <v>1276</v>
      </c>
    </row>
    <row r="185">
      <c r="E185" s="52" t="s">
        <v>1286</v>
      </c>
    </row>
    <row r="186">
      <c r="E186" s="52" t="s">
        <v>1292</v>
      </c>
    </row>
    <row r="187">
      <c r="E187" s="52" t="s">
        <v>1298</v>
      </c>
    </row>
    <row r="188">
      <c r="E188" s="52" t="s">
        <v>1304</v>
      </c>
    </row>
    <row r="189">
      <c r="E189" s="52" t="s">
        <v>1314</v>
      </c>
    </row>
    <row r="190">
      <c r="E190" s="52" t="s">
        <v>1320</v>
      </c>
    </row>
    <row r="191">
      <c r="E191" s="52" t="s">
        <v>1330</v>
      </c>
    </row>
    <row r="192">
      <c r="E192" s="52" t="s">
        <v>1340</v>
      </c>
    </row>
    <row r="193">
      <c r="E193" s="52" t="s">
        <v>1354</v>
      </c>
    </row>
    <row r="194">
      <c r="E194" s="52" t="s">
        <v>1364</v>
      </c>
    </row>
    <row r="195">
      <c r="E195" s="52" t="s">
        <v>1370</v>
      </c>
    </row>
    <row r="196">
      <c r="E196" s="52" t="s">
        <v>1376</v>
      </c>
    </row>
    <row r="197">
      <c r="E197" s="52" t="s">
        <v>1383</v>
      </c>
    </row>
    <row r="198">
      <c r="E198" s="52" t="s">
        <v>1390</v>
      </c>
    </row>
    <row r="199">
      <c r="E199" s="52" t="s">
        <v>1397</v>
      </c>
    </row>
    <row r="200">
      <c r="E200" s="52" t="s">
        <v>1409</v>
      </c>
    </row>
    <row r="201">
      <c r="E201" s="52" t="s">
        <v>1416</v>
      </c>
    </row>
    <row r="202">
      <c r="E202" s="52" t="s">
        <v>1438</v>
      </c>
    </row>
    <row r="203">
      <c r="E203" s="52" t="s">
        <v>1445</v>
      </c>
    </row>
    <row r="204">
      <c r="E204" s="52" t="s">
        <v>1452</v>
      </c>
    </row>
    <row r="205">
      <c r="E205" s="52" t="s">
        <v>1459</v>
      </c>
    </row>
    <row r="206">
      <c r="E206" s="52" t="s">
        <v>1466</v>
      </c>
    </row>
    <row r="207">
      <c r="E207" s="52" t="s">
        <v>1478</v>
      </c>
    </row>
    <row r="208">
      <c r="E208" s="52" t="s">
        <v>1485</v>
      </c>
    </row>
    <row r="209">
      <c r="E209" s="52" t="s">
        <v>1492</v>
      </c>
    </row>
    <row r="210">
      <c r="E210" s="52" t="s">
        <v>1509</v>
      </c>
    </row>
    <row r="211">
      <c r="E211" s="52" t="s">
        <v>1541</v>
      </c>
    </row>
    <row r="212">
      <c r="E212" s="52" t="s">
        <v>1558</v>
      </c>
    </row>
    <row r="213">
      <c r="E213" s="52" t="s">
        <v>1565</v>
      </c>
    </row>
    <row r="214">
      <c r="E214" s="52" t="s">
        <v>1572</v>
      </c>
    </row>
    <row r="215">
      <c r="E215" s="52" t="s">
        <v>1579</v>
      </c>
    </row>
    <row r="216">
      <c r="E216" s="52" t="s">
        <v>1586</v>
      </c>
    </row>
    <row r="217">
      <c r="E217" s="52" t="s">
        <v>1593</v>
      </c>
    </row>
    <row r="218">
      <c r="E218" s="52" t="s">
        <v>1610</v>
      </c>
    </row>
    <row r="219">
      <c r="E219" s="52" t="s">
        <v>1617</v>
      </c>
    </row>
    <row r="220">
      <c r="E220" s="52" t="s">
        <v>1634</v>
      </c>
    </row>
    <row r="221">
      <c r="E221" s="52" t="s">
        <v>1641</v>
      </c>
    </row>
    <row r="222">
      <c r="E222" s="52" t="s">
        <v>1648</v>
      </c>
    </row>
    <row r="223">
      <c r="E223" s="52" t="s">
        <v>1655</v>
      </c>
    </row>
    <row r="224">
      <c r="E224" s="52" t="s">
        <v>1662</v>
      </c>
    </row>
    <row r="225">
      <c r="E225" s="52" t="s">
        <v>1669</v>
      </c>
    </row>
    <row r="226">
      <c r="E226" s="52" t="s">
        <v>1676</v>
      </c>
    </row>
    <row r="227">
      <c r="E227" s="52" t="s">
        <v>1688</v>
      </c>
    </row>
    <row r="228">
      <c r="E228" s="52" t="s">
        <v>1695</v>
      </c>
    </row>
    <row r="229">
      <c r="E229" s="52" t="s">
        <v>1702</v>
      </c>
    </row>
    <row r="230">
      <c r="E230" s="52" t="s">
        <v>1709</v>
      </c>
    </row>
    <row r="231">
      <c r="E231" s="52" t="s">
        <v>1716</v>
      </c>
    </row>
    <row r="232">
      <c r="E232" s="52" t="s">
        <v>1733</v>
      </c>
    </row>
    <row r="233">
      <c r="E233" s="52" t="s">
        <v>1740</v>
      </c>
    </row>
    <row r="234">
      <c r="E234" s="52" t="s">
        <v>1747</v>
      </c>
    </row>
    <row r="235">
      <c r="E235" s="52" t="s">
        <v>1754</v>
      </c>
    </row>
    <row r="236">
      <c r="E236" s="52" t="s">
        <v>1761</v>
      </c>
    </row>
    <row r="237">
      <c r="E237" s="52" t="s">
        <v>1773</v>
      </c>
    </row>
    <row r="238">
      <c r="E238" s="52" t="s">
        <v>1780</v>
      </c>
    </row>
    <row r="239">
      <c r="E239" s="52" t="s">
        <v>1787</v>
      </c>
    </row>
    <row r="240">
      <c r="E240" s="52" t="s">
        <v>1794</v>
      </c>
    </row>
    <row r="241">
      <c r="E241" s="52" t="s">
        <v>1801</v>
      </c>
    </row>
    <row r="242">
      <c r="E242" s="52" t="s">
        <v>1808</v>
      </c>
    </row>
    <row r="243">
      <c r="E243" s="52" t="s">
        <v>1815</v>
      </c>
    </row>
    <row r="244">
      <c r="E244" s="52" t="s">
        <v>1826</v>
      </c>
    </row>
    <row r="245">
      <c r="E245" s="52" t="s">
        <v>1833</v>
      </c>
    </row>
    <row r="246">
      <c r="E246" s="52" t="s">
        <v>1840</v>
      </c>
    </row>
    <row r="247">
      <c r="E247" s="52" t="s">
        <v>1852</v>
      </c>
    </row>
    <row r="248">
      <c r="E248" s="52" t="s">
        <v>1859</v>
      </c>
    </row>
    <row r="249">
      <c r="E249" s="52" t="s">
        <v>1871</v>
      </c>
    </row>
    <row r="250">
      <c r="E250" s="52" t="s">
        <v>1878</v>
      </c>
    </row>
    <row r="251">
      <c r="E251" s="52" t="s">
        <v>1885</v>
      </c>
    </row>
    <row r="252">
      <c r="E252" s="52" t="s">
        <v>1897</v>
      </c>
    </row>
    <row r="253">
      <c r="E253" s="52" t="s">
        <v>1908</v>
      </c>
    </row>
    <row r="254">
      <c r="E254" s="52" t="s">
        <v>1920</v>
      </c>
    </row>
    <row r="255">
      <c r="E255" s="52" t="s">
        <v>1927</v>
      </c>
    </row>
    <row r="256">
      <c r="E256" s="52" t="s">
        <v>1934</v>
      </c>
    </row>
    <row r="257">
      <c r="E257" s="52" t="s">
        <v>1944</v>
      </c>
    </row>
    <row r="258">
      <c r="E258" s="52" t="s">
        <v>1956</v>
      </c>
    </row>
    <row r="259">
      <c r="E259" s="52" t="s">
        <v>1968</v>
      </c>
    </row>
    <row r="260">
      <c r="E260" s="52" t="s">
        <v>1975</v>
      </c>
    </row>
    <row r="261">
      <c r="E261" s="52" t="s">
        <v>1982</v>
      </c>
    </row>
    <row r="262">
      <c r="E262" s="52" t="s">
        <v>1994</v>
      </c>
    </row>
    <row r="263">
      <c r="E263" s="52" t="s">
        <v>2001</v>
      </c>
    </row>
    <row r="264">
      <c r="E264" s="52" t="s">
        <v>2013</v>
      </c>
    </row>
    <row r="265">
      <c r="E265" s="52" t="s">
        <v>2024</v>
      </c>
    </row>
    <row r="266">
      <c r="E266" s="52" t="s">
        <v>2031</v>
      </c>
    </row>
    <row r="267">
      <c r="E267" s="52" t="s">
        <v>2038</v>
      </c>
    </row>
    <row r="268">
      <c r="E268" s="52" t="s">
        <v>2045</v>
      </c>
    </row>
    <row r="269">
      <c r="E269" s="52" t="s">
        <v>2062</v>
      </c>
    </row>
    <row r="270">
      <c r="E270" s="52" t="s">
        <v>2069</v>
      </c>
    </row>
    <row r="271">
      <c r="E271" s="52" t="s">
        <v>2081</v>
      </c>
    </row>
    <row r="272">
      <c r="E272" s="52" t="s">
        <v>2089</v>
      </c>
    </row>
    <row r="273">
      <c r="E273" s="52" t="s">
        <v>2111</v>
      </c>
    </row>
    <row r="274">
      <c r="E274" s="52" t="s">
        <v>2118</v>
      </c>
    </row>
    <row r="275">
      <c r="E275" s="52" t="s">
        <v>2125</v>
      </c>
    </row>
    <row r="276">
      <c r="E276" s="52" t="s">
        <v>2141</v>
      </c>
    </row>
    <row r="277">
      <c r="E277" s="52" t="s">
        <v>2157</v>
      </c>
    </row>
    <row r="278">
      <c r="E278" s="52" t="s">
        <v>2164</v>
      </c>
    </row>
    <row r="279">
      <c r="E279" s="52" t="s">
        <v>2175</v>
      </c>
    </row>
    <row r="280">
      <c r="E280" s="52" t="s">
        <v>2182</v>
      </c>
    </row>
    <row r="281">
      <c r="E281" s="52" t="s">
        <v>2189</v>
      </c>
    </row>
    <row r="282">
      <c r="E282" s="52" t="s">
        <v>2201</v>
      </c>
    </row>
    <row r="283">
      <c r="E283" s="52" t="s">
        <v>2208</v>
      </c>
    </row>
    <row r="284">
      <c r="E284" s="52" t="s">
        <v>2215</v>
      </c>
    </row>
    <row r="285">
      <c r="E285" s="52" t="s">
        <v>2222</v>
      </c>
    </row>
    <row r="286">
      <c r="E286" s="52" t="s">
        <v>2229</v>
      </c>
    </row>
    <row r="287">
      <c r="E287" s="52" t="s">
        <v>2236</v>
      </c>
    </row>
    <row r="288">
      <c r="E288" s="52" t="s">
        <v>2243</v>
      </c>
    </row>
    <row r="289">
      <c r="E289" s="52" t="s">
        <v>2250</v>
      </c>
    </row>
    <row r="290">
      <c r="E290" s="52" t="s">
        <v>2257</v>
      </c>
    </row>
    <row r="291">
      <c r="E291" s="52" t="s">
        <v>2264</v>
      </c>
    </row>
    <row r="292">
      <c r="E292" s="52" t="s">
        <v>2271</v>
      </c>
    </row>
    <row r="293">
      <c r="E293" s="52" t="s">
        <v>2287</v>
      </c>
    </row>
    <row r="294">
      <c r="E294" s="52" t="s">
        <v>2294</v>
      </c>
    </row>
    <row r="295">
      <c r="E295" s="52" t="s">
        <v>2301</v>
      </c>
    </row>
    <row r="296">
      <c r="E296" s="52" t="s">
        <v>2308</v>
      </c>
    </row>
    <row r="297">
      <c r="E297" s="52" t="s">
        <v>2315</v>
      </c>
    </row>
    <row r="298">
      <c r="E298" s="52" t="s">
        <v>2322</v>
      </c>
    </row>
    <row r="299">
      <c r="E299" s="52" t="s">
        <v>2329</v>
      </c>
    </row>
    <row r="300">
      <c r="E300" s="52" t="s">
        <v>2335</v>
      </c>
    </row>
    <row r="301">
      <c r="E301" s="52" t="s">
        <v>2357</v>
      </c>
    </row>
    <row r="302">
      <c r="E302" s="52" t="s">
        <v>2364</v>
      </c>
    </row>
    <row r="303">
      <c r="E303" s="52" t="s">
        <v>2371</v>
      </c>
    </row>
    <row r="304">
      <c r="E304" s="52" t="s">
        <v>2378</v>
      </c>
    </row>
    <row r="305">
      <c r="E305" s="52" t="s">
        <v>2385</v>
      </c>
    </row>
    <row r="306">
      <c r="E306" s="52" t="s">
        <v>2392</v>
      </c>
    </row>
    <row r="307">
      <c r="E307" s="52" t="s">
        <v>2399</v>
      </c>
    </row>
    <row r="308">
      <c r="E308" s="52" t="s">
        <v>2410</v>
      </c>
    </row>
    <row r="309">
      <c r="E309" s="52" t="s">
        <v>2417</v>
      </c>
    </row>
    <row r="310">
      <c r="E310" s="52" t="s">
        <v>2440</v>
      </c>
    </row>
    <row r="311">
      <c r="E311" s="52" t="s">
        <v>2447</v>
      </c>
    </row>
    <row r="312">
      <c r="E312" s="52" t="s">
        <v>2459</v>
      </c>
    </row>
    <row r="313">
      <c r="E313" s="52" t="s">
        <v>2470</v>
      </c>
    </row>
    <row r="314">
      <c r="E314" s="52" t="s">
        <v>2497</v>
      </c>
    </row>
    <row r="315">
      <c r="E315" s="52" t="s">
        <v>2504</v>
      </c>
    </row>
    <row r="316">
      <c r="E316" s="52" t="s">
        <v>2511</v>
      </c>
    </row>
    <row r="317">
      <c r="E317" s="52" t="s">
        <v>2528</v>
      </c>
    </row>
    <row r="318">
      <c r="E318" s="52" t="s">
        <v>2536</v>
      </c>
    </row>
    <row r="319">
      <c r="E319" s="52" t="s">
        <v>2543</v>
      </c>
    </row>
    <row r="320">
      <c r="E320" s="52" t="s">
        <v>2550</v>
      </c>
    </row>
    <row r="321">
      <c r="E321" s="52" t="s">
        <v>2557</v>
      </c>
    </row>
    <row r="322">
      <c r="E322" s="52" t="s">
        <v>2564</v>
      </c>
    </row>
    <row r="323">
      <c r="E323" s="52" t="s">
        <v>2571</v>
      </c>
    </row>
    <row r="324">
      <c r="E324" s="52" t="s">
        <v>2578</v>
      </c>
    </row>
    <row r="325">
      <c r="E325" s="52" t="s">
        <v>2585</v>
      </c>
    </row>
    <row r="326">
      <c r="E326" s="52" t="s">
        <v>2592</v>
      </c>
    </row>
    <row r="327">
      <c r="E327" s="52" t="s">
        <v>2599</v>
      </c>
    </row>
    <row r="328">
      <c r="E328" s="52" t="s">
        <v>2606</v>
      </c>
    </row>
    <row r="329">
      <c r="E329" s="52" t="s">
        <v>2613</v>
      </c>
    </row>
    <row r="330">
      <c r="E330" s="52" t="s">
        <v>2620</v>
      </c>
    </row>
    <row r="331">
      <c r="E331" s="52" t="s">
        <v>2626</v>
      </c>
    </row>
    <row r="332">
      <c r="E332" s="52" t="s">
        <v>2633</v>
      </c>
    </row>
    <row r="333">
      <c r="E333" s="52" t="s">
        <v>2640</v>
      </c>
    </row>
    <row r="334">
      <c r="E334" s="52" t="s">
        <v>2647</v>
      </c>
    </row>
    <row r="335">
      <c r="E335" s="52" t="s">
        <v>2658</v>
      </c>
    </row>
    <row r="336">
      <c r="E336" s="52" t="s">
        <v>2665</v>
      </c>
    </row>
    <row r="337">
      <c r="E337" s="52" t="s">
        <v>2672</v>
      </c>
    </row>
    <row r="338">
      <c r="E338" s="52" t="s">
        <v>2679</v>
      </c>
    </row>
    <row r="339">
      <c r="E339" s="52" t="s">
        <v>2686</v>
      </c>
    </row>
    <row r="340">
      <c r="E340" s="52" t="s">
        <v>2693</v>
      </c>
    </row>
    <row r="341">
      <c r="E341" s="52" t="s">
        <v>2700</v>
      </c>
    </row>
    <row r="342">
      <c r="E342" s="52" t="s">
        <v>2707</v>
      </c>
    </row>
    <row r="343">
      <c r="E343" s="52" t="s">
        <v>2714</v>
      </c>
    </row>
    <row r="344">
      <c r="E344" s="52" t="s">
        <v>2721</v>
      </c>
    </row>
    <row r="345">
      <c r="E345" s="52" t="s">
        <v>2728</v>
      </c>
    </row>
    <row r="346">
      <c r="E346" s="52" t="s">
        <v>2734</v>
      </c>
    </row>
    <row r="347">
      <c r="E347" s="52" t="s">
        <v>2741</v>
      </c>
    </row>
    <row r="348">
      <c r="E348" s="52" t="s">
        <v>2748</v>
      </c>
    </row>
    <row r="349">
      <c r="E349" s="52" t="s">
        <v>2755</v>
      </c>
    </row>
    <row r="350">
      <c r="E350" s="52" t="s">
        <v>2761</v>
      </c>
    </row>
    <row r="351">
      <c r="E351" s="52" t="s">
        <v>2768</v>
      </c>
    </row>
    <row r="352">
      <c r="E352" s="52" t="s">
        <v>2775</v>
      </c>
    </row>
    <row r="353">
      <c r="E353" s="52" t="s">
        <v>2782</v>
      </c>
    </row>
    <row r="354">
      <c r="E354" s="52" t="s">
        <v>2789</v>
      </c>
    </row>
    <row r="355">
      <c r="E355" s="52" t="s">
        <v>2803</v>
      </c>
    </row>
    <row r="356">
      <c r="E356" s="52" t="s">
        <v>2810</v>
      </c>
    </row>
    <row r="357">
      <c r="E357" s="52" t="s">
        <v>2817</v>
      </c>
    </row>
    <row r="358">
      <c r="E358" s="52" t="s">
        <v>2824</v>
      </c>
    </row>
    <row r="359">
      <c r="E359" s="52" t="s">
        <v>2836</v>
      </c>
    </row>
    <row r="360">
      <c r="E360" s="52" t="s">
        <v>2852</v>
      </c>
    </row>
    <row r="361">
      <c r="E361" s="52" t="s">
        <v>2859</v>
      </c>
    </row>
    <row r="362">
      <c r="E362" s="52" t="s">
        <v>2866</v>
      </c>
    </row>
    <row r="363">
      <c r="E363" s="52" t="s">
        <v>2873</v>
      </c>
    </row>
    <row r="364">
      <c r="E364" s="52" t="s">
        <v>2880</v>
      </c>
    </row>
    <row r="365">
      <c r="E365" s="52" t="s">
        <v>2887</v>
      </c>
    </row>
    <row r="366">
      <c r="E366" s="52" t="s">
        <v>2894</v>
      </c>
    </row>
    <row r="367">
      <c r="E367" s="52" t="s">
        <v>2901</v>
      </c>
    </row>
    <row r="368">
      <c r="E368" s="52" t="s">
        <v>2913</v>
      </c>
    </row>
    <row r="369">
      <c r="E369" s="52" t="s">
        <v>2920</v>
      </c>
    </row>
    <row r="370">
      <c r="E370" s="52" t="s">
        <v>2927</v>
      </c>
    </row>
    <row r="371">
      <c r="E371" s="52" t="s">
        <v>2934</v>
      </c>
    </row>
    <row r="372">
      <c r="E372" s="52" t="s">
        <v>2946</v>
      </c>
    </row>
    <row r="373">
      <c r="E373" s="52" t="s">
        <v>2958</v>
      </c>
    </row>
    <row r="374">
      <c r="E374" s="52" t="s">
        <v>2965</v>
      </c>
    </row>
    <row r="375">
      <c r="E375" s="52" t="s">
        <v>2972</v>
      </c>
    </row>
    <row r="376">
      <c r="E376" s="52" t="s">
        <v>2979</v>
      </c>
    </row>
    <row r="377">
      <c r="E377" s="52" t="s">
        <v>2991</v>
      </c>
    </row>
    <row r="378">
      <c r="E378" s="52" t="s">
        <v>2998</v>
      </c>
    </row>
    <row r="379">
      <c r="E379" s="52" t="s">
        <v>3019</v>
      </c>
    </row>
    <row r="380">
      <c r="E380" s="52" t="s">
        <v>3039</v>
      </c>
    </row>
    <row r="381">
      <c r="E381" s="52" t="s">
        <v>3050</v>
      </c>
    </row>
    <row r="382">
      <c r="E382" s="52" t="s">
        <v>3084</v>
      </c>
    </row>
    <row r="383">
      <c r="E383" s="52" t="s">
        <v>3101</v>
      </c>
    </row>
    <row r="384">
      <c r="E384" s="52" t="s">
        <v>3108</v>
      </c>
    </row>
    <row r="385">
      <c r="E385" s="52" t="s">
        <v>3114</v>
      </c>
    </row>
    <row r="386">
      <c r="E386" s="52" t="s">
        <v>3129</v>
      </c>
    </row>
    <row r="387">
      <c r="E387" s="52" t="s">
        <v>3145</v>
      </c>
    </row>
    <row r="388">
      <c r="E388" s="52" t="s">
        <v>3156</v>
      </c>
    </row>
    <row r="389">
      <c r="E389" s="52" t="s">
        <v>3163</v>
      </c>
    </row>
    <row r="390">
      <c r="E390" s="52" t="s">
        <v>3170</v>
      </c>
    </row>
    <row r="391">
      <c r="E391" s="52" t="s">
        <v>3189</v>
      </c>
    </row>
    <row r="392">
      <c r="E392" s="52" t="s">
        <v>3214</v>
      </c>
    </row>
    <row r="393">
      <c r="E393" s="52" t="s">
        <v>3221</v>
      </c>
    </row>
    <row r="394">
      <c r="E394" s="52" t="s">
        <v>3228</v>
      </c>
    </row>
    <row r="395">
      <c r="E395" s="52" t="s">
        <v>3255</v>
      </c>
    </row>
    <row r="396">
      <c r="E396" s="52" t="s">
        <v>3278</v>
      </c>
    </row>
    <row r="397">
      <c r="E397" s="52" t="s">
        <v>3289</v>
      </c>
    </row>
    <row r="398">
      <c r="E398" s="52" t="s">
        <v>3304</v>
      </c>
    </row>
    <row r="399">
      <c r="E399" s="52" t="s">
        <v>3311</v>
      </c>
    </row>
    <row r="400">
      <c r="E400" s="52" t="s">
        <v>3327</v>
      </c>
    </row>
    <row r="401">
      <c r="E401" s="52" t="s">
        <v>3344</v>
      </c>
    </row>
    <row r="402">
      <c r="E402" s="52" t="s">
        <v>3351</v>
      </c>
    </row>
    <row r="403">
      <c r="E403" s="52" t="s">
        <v>3357</v>
      </c>
    </row>
    <row r="404">
      <c r="E404" s="52" t="s">
        <v>3371</v>
      </c>
    </row>
    <row r="405">
      <c r="E405" s="52" t="s">
        <v>3377</v>
      </c>
    </row>
    <row r="406">
      <c r="E406" s="52" t="s">
        <v>3384</v>
      </c>
    </row>
    <row r="407">
      <c r="E407" s="52" t="s">
        <v>3390</v>
      </c>
    </row>
    <row r="408">
      <c r="E408" s="52" t="s">
        <v>3416</v>
      </c>
    </row>
    <row r="409">
      <c r="E409" s="52" t="s">
        <v>3431</v>
      </c>
    </row>
    <row r="410">
      <c r="E410" s="52" t="s">
        <v>3441</v>
      </c>
    </row>
    <row r="411">
      <c r="E411" s="52" t="s">
        <v>3448</v>
      </c>
    </row>
    <row r="412">
      <c r="E412" s="52" t="s">
        <v>3455</v>
      </c>
    </row>
    <row r="413">
      <c r="E413" s="52" t="s">
        <v>3468</v>
      </c>
    </row>
    <row r="414">
      <c r="E414" s="52" t="s">
        <v>3474</v>
      </c>
    </row>
    <row r="415">
      <c r="E415" s="52" t="s">
        <v>3480</v>
      </c>
    </row>
    <row r="416">
      <c r="E416" s="52" t="s">
        <v>3506</v>
      </c>
    </row>
    <row r="417">
      <c r="E417" s="52" t="s">
        <v>3513</v>
      </c>
    </row>
    <row r="418">
      <c r="E418" s="52" t="s">
        <v>3530</v>
      </c>
    </row>
    <row r="419">
      <c r="E419" s="52" t="s">
        <v>3537</v>
      </c>
    </row>
    <row r="420">
      <c r="E420" s="52" t="s">
        <v>3549</v>
      </c>
    </row>
    <row r="421">
      <c r="E421" s="52" t="s">
        <v>3556</v>
      </c>
    </row>
    <row r="422">
      <c r="E422" s="52" t="s">
        <v>3563</v>
      </c>
    </row>
    <row r="423">
      <c r="E423" s="52" t="s">
        <v>3575</v>
      </c>
    </row>
    <row r="424">
      <c r="E424" s="52" t="s">
        <v>3582</v>
      </c>
    </row>
    <row r="425">
      <c r="E425" s="52" t="s">
        <v>3589</v>
      </c>
    </row>
    <row r="426">
      <c r="E426" s="52" t="s">
        <v>3601</v>
      </c>
    </row>
    <row r="427">
      <c r="E427" s="52" t="s">
        <v>3608</v>
      </c>
    </row>
    <row r="428">
      <c r="E428" s="52" t="s">
        <v>3615</v>
      </c>
    </row>
    <row r="429">
      <c r="E429" s="52" t="s">
        <v>3622</v>
      </c>
    </row>
    <row r="430">
      <c r="E430" s="52" t="s">
        <v>3639</v>
      </c>
    </row>
    <row r="431">
      <c r="E431" s="52" t="s">
        <v>3646</v>
      </c>
    </row>
    <row r="432">
      <c r="E432" s="52" t="s">
        <v>3653</v>
      </c>
    </row>
    <row r="433">
      <c r="E433" s="52" t="s">
        <v>3660</v>
      </c>
    </row>
    <row r="434">
      <c r="E434" s="52" t="s">
        <v>3667</v>
      </c>
    </row>
    <row r="435">
      <c r="E435" s="52" t="s">
        <v>3674</v>
      </c>
    </row>
    <row r="436">
      <c r="E436" s="52" t="s">
        <v>3686</v>
      </c>
    </row>
    <row r="437">
      <c r="E437" s="52" t="s">
        <v>3693</v>
      </c>
    </row>
    <row r="438">
      <c r="E438" s="52" t="s">
        <v>3700</v>
      </c>
    </row>
    <row r="439">
      <c r="E439" s="52" t="s">
        <v>3707</v>
      </c>
    </row>
    <row r="440">
      <c r="E440" s="52" t="s">
        <v>3714</v>
      </c>
    </row>
    <row r="441">
      <c r="E441" s="52" t="s">
        <v>3721</v>
      </c>
    </row>
    <row r="442">
      <c r="E442" s="52" t="s">
        <v>3728</v>
      </c>
    </row>
    <row r="443">
      <c r="E443" s="52" t="s">
        <v>3734</v>
      </c>
    </row>
    <row r="444">
      <c r="E444" s="52" t="s">
        <v>3741</v>
      </c>
    </row>
    <row r="445">
      <c r="E445" s="52" t="s">
        <v>3748</v>
      </c>
    </row>
    <row r="446">
      <c r="E446" s="52" t="s">
        <v>3755</v>
      </c>
    </row>
    <row r="447">
      <c r="E447" s="52" t="s">
        <v>3762</v>
      </c>
    </row>
    <row r="448">
      <c r="E448" s="52" t="s">
        <v>3769</v>
      </c>
    </row>
    <row r="449">
      <c r="E449" s="52" t="s">
        <v>3776</v>
      </c>
    </row>
    <row r="450">
      <c r="E450" s="52" t="s">
        <v>3783</v>
      </c>
    </row>
    <row r="451">
      <c r="E451" s="52" t="s">
        <v>3790</v>
      </c>
    </row>
    <row r="452">
      <c r="E452" s="52" t="s">
        <v>3797</v>
      </c>
    </row>
    <row r="453">
      <c r="E453" s="52" t="s">
        <v>3804</v>
      </c>
    </row>
    <row r="454">
      <c r="E454" s="52" t="s">
        <v>3811</v>
      </c>
    </row>
    <row r="455">
      <c r="E455" s="52" t="s">
        <v>3818</v>
      </c>
    </row>
    <row r="456">
      <c r="E456" s="52" t="s">
        <v>3825</v>
      </c>
    </row>
    <row r="457">
      <c r="E457" s="52" t="s">
        <v>3832</v>
      </c>
    </row>
    <row r="458">
      <c r="E458" s="52" t="s">
        <v>3838</v>
      </c>
    </row>
    <row r="459">
      <c r="E459" s="52" t="s">
        <v>3845</v>
      </c>
    </row>
    <row r="460">
      <c r="E460" s="52" t="s">
        <v>3852</v>
      </c>
    </row>
    <row r="461">
      <c r="E461" s="52" t="s">
        <v>3859</v>
      </c>
    </row>
    <row r="462">
      <c r="E462" s="52" t="s">
        <v>3866</v>
      </c>
    </row>
    <row r="463">
      <c r="E463" s="52" t="s">
        <v>3873</v>
      </c>
    </row>
    <row r="464">
      <c r="E464" s="52" t="s">
        <v>3880</v>
      </c>
    </row>
    <row r="465">
      <c r="E465" s="52" t="s">
        <v>3887</v>
      </c>
    </row>
    <row r="466">
      <c r="E466" s="52" t="s">
        <v>3899</v>
      </c>
    </row>
    <row r="467">
      <c r="E467" s="52" t="s">
        <v>3906</v>
      </c>
    </row>
    <row r="468">
      <c r="E468" s="52" t="s">
        <v>3913</v>
      </c>
    </row>
    <row r="469">
      <c r="E469" s="52" t="s">
        <v>3920</v>
      </c>
    </row>
    <row r="470">
      <c r="E470" s="52" t="s">
        <v>3927</v>
      </c>
    </row>
    <row r="471">
      <c r="E471" s="52" t="s">
        <v>3934</v>
      </c>
    </row>
    <row r="472">
      <c r="E472" s="52" t="s">
        <v>3945</v>
      </c>
    </row>
    <row r="473">
      <c r="E473" s="52" t="s">
        <v>3962</v>
      </c>
    </row>
    <row r="474">
      <c r="E474" s="52" t="s">
        <v>3969</v>
      </c>
    </row>
    <row r="475">
      <c r="E475" s="52" t="s">
        <v>3995</v>
      </c>
    </row>
    <row r="476">
      <c r="E476" s="52" t="s">
        <v>4007</v>
      </c>
    </row>
    <row r="477">
      <c r="E477" s="52" t="s">
        <v>4019</v>
      </c>
    </row>
    <row r="478">
      <c r="E478" s="52" t="s">
        <v>4046</v>
      </c>
    </row>
    <row r="479">
      <c r="E479" s="52" t="s">
        <v>4053</v>
      </c>
    </row>
    <row r="480">
      <c r="E480" s="52" t="s">
        <v>4060</v>
      </c>
    </row>
    <row r="481">
      <c r="E481" s="52" t="s">
        <v>4072</v>
      </c>
    </row>
    <row r="482">
      <c r="E482" s="52" t="s">
        <v>4079</v>
      </c>
    </row>
    <row r="483">
      <c r="E483" s="52" t="s">
        <v>4091</v>
      </c>
    </row>
    <row r="484">
      <c r="E484" s="52" t="s">
        <v>4098</v>
      </c>
    </row>
    <row r="485">
      <c r="E485" s="52" t="s">
        <v>4105</v>
      </c>
    </row>
    <row r="486">
      <c r="E486" s="52" t="s">
        <v>4112</v>
      </c>
    </row>
    <row r="487">
      <c r="E487" s="52" t="s">
        <v>4124</v>
      </c>
    </row>
    <row r="488">
      <c r="E488" s="52" t="s">
        <v>4131</v>
      </c>
    </row>
    <row r="489">
      <c r="E489" s="52" t="s">
        <v>4138</v>
      </c>
    </row>
    <row r="490">
      <c r="E490" s="52" t="s">
        <v>4145</v>
      </c>
    </row>
    <row r="491">
      <c r="E491" s="52" t="s">
        <v>4152</v>
      </c>
    </row>
    <row r="492">
      <c r="E492" s="52" t="s">
        <v>4164</v>
      </c>
    </row>
    <row r="493">
      <c r="E493" s="52" t="s">
        <v>4171</v>
      </c>
    </row>
    <row r="494">
      <c r="E494" s="52" t="s">
        <v>4178</v>
      </c>
    </row>
    <row r="495">
      <c r="E495" s="52" t="s">
        <v>4185</v>
      </c>
    </row>
    <row r="496">
      <c r="E496" s="52" t="s">
        <v>4197</v>
      </c>
    </row>
    <row r="497">
      <c r="E497" s="52" t="s">
        <v>4214</v>
      </c>
    </row>
    <row r="498">
      <c r="E498" s="52" t="s">
        <v>4221</v>
      </c>
    </row>
    <row r="499">
      <c r="E499" s="52" t="s">
        <v>4232</v>
      </c>
    </row>
    <row r="500">
      <c r="E500" s="52" t="s">
        <v>4244</v>
      </c>
    </row>
    <row r="501">
      <c r="E501" s="52" t="s">
        <v>4261</v>
      </c>
    </row>
    <row r="502">
      <c r="E502" s="52" t="s">
        <v>4268</v>
      </c>
    </row>
    <row r="503">
      <c r="E503" s="52" t="s">
        <v>4275</v>
      </c>
    </row>
    <row r="504">
      <c r="E504" s="52" t="s">
        <v>4287</v>
      </c>
    </row>
    <row r="505">
      <c r="E505" s="52" t="s">
        <v>4294</v>
      </c>
    </row>
    <row r="506">
      <c r="E506" s="52" t="s">
        <v>4311</v>
      </c>
    </row>
    <row r="507">
      <c r="E507" s="52" t="s">
        <v>4328</v>
      </c>
    </row>
    <row r="508">
      <c r="E508" s="52" t="s">
        <v>4335</v>
      </c>
    </row>
    <row r="509">
      <c r="E509" s="52" t="s">
        <v>4352</v>
      </c>
    </row>
    <row r="510">
      <c r="E510" s="52" t="s">
        <v>4379</v>
      </c>
    </row>
    <row r="511">
      <c r="E511" s="52" t="s">
        <v>4386</v>
      </c>
    </row>
    <row r="512">
      <c r="E512" s="52" t="s">
        <v>4393</v>
      </c>
    </row>
    <row r="513">
      <c r="E513" s="52" t="s">
        <v>4400</v>
      </c>
    </row>
    <row r="514">
      <c r="E514" s="52" t="s">
        <v>4407</v>
      </c>
    </row>
    <row r="515">
      <c r="E515" s="52" t="s">
        <v>4443</v>
      </c>
    </row>
    <row r="516">
      <c r="E516" s="52" t="s">
        <v>4450</v>
      </c>
    </row>
    <row r="517">
      <c r="E517" s="52" t="s">
        <v>4457</v>
      </c>
    </row>
    <row r="518">
      <c r="E518" s="52" t="s">
        <v>4464</v>
      </c>
    </row>
    <row r="519">
      <c r="E519" s="52" t="s">
        <v>4471</v>
      </c>
    </row>
    <row r="520">
      <c r="E520" s="52" t="s">
        <v>4478</v>
      </c>
    </row>
    <row r="521">
      <c r="E521" s="52" t="s">
        <v>4490</v>
      </c>
    </row>
    <row r="522">
      <c r="E522" s="52" t="s">
        <v>4497</v>
      </c>
    </row>
    <row r="523">
      <c r="E523" s="52" t="s">
        <v>4504</v>
      </c>
    </row>
    <row r="524">
      <c r="E524" s="52" t="s">
        <v>4516</v>
      </c>
    </row>
    <row r="525">
      <c r="E525" s="52" t="s">
        <v>4528</v>
      </c>
    </row>
    <row r="526">
      <c r="E526" s="52" t="s">
        <v>4537</v>
      </c>
    </row>
    <row r="527">
      <c r="E527" s="52" t="s">
        <v>4549</v>
      </c>
    </row>
    <row r="528">
      <c r="E528" s="52" t="s">
        <v>4556</v>
      </c>
    </row>
    <row r="529">
      <c r="E529" s="52" t="s">
        <v>4573</v>
      </c>
    </row>
    <row r="530">
      <c r="E530" s="52" t="s">
        <v>4580</v>
      </c>
    </row>
    <row r="531">
      <c r="E531" s="52" t="s">
        <v>4587</v>
      </c>
    </row>
    <row r="532">
      <c r="E532" s="52" t="s">
        <v>4599</v>
      </c>
    </row>
    <row r="533">
      <c r="E533" s="52" t="s">
        <v>4606</v>
      </c>
    </row>
    <row r="534">
      <c r="E534" s="52" t="s">
        <v>4623</v>
      </c>
    </row>
    <row r="535">
      <c r="E535" s="52" t="s">
        <v>4630</v>
      </c>
    </row>
    <row r="536">
      <c r="E536" s="52" t="s">
        <v>4637</v>
      </c>
    </row>
    <row r="537">
      <c r="E537" s="52" t="s">
        <v>4649</v>
      </c>
    </row>
    <row r="538">
      <c r="E538" s="52" t="s">
        <v>4666</v>
      </c>
    </row>
    <row r="539">
      <c r="E539" s="52" t="s">
        <v>4678</v>
      </c>
    </row>
    <row r="540">
      <c r="E540" s="52" t="s">
        <v>4690</v>
      </c>
    </row>
    <row r="541">
      <c r="E541" s="52" t="s">
        <v>4697</v>
      </c>
    </row>
    <row r="542">
      <c r="E542" s="52" t="s">
        <v>4704</v>
      </c>
    </row>
    <row r="543">
      <c r="E543" s="52" t="s">
        <v>4716</v>
      </c>
    </row>
    <row r="544">
      <c r="E544" s="52" t="s">
        <v>4723</v>
      </c>
    </row>
    <row r="545">
      <c r="E545" s="52" t="s">
        <v>4735</v>
      </c>
    </row>
    <row r="546">
      <c r="E546" s="52" t="s">
        <v>4742</v>
      </c>
    </row>
    <row r="547">
      <c r="E547" s="52" t="s">
        <v>4763</v>
      </c>
    </row>
    <row r="548">
      <c r="E548" s="52" t="s">
        <v>4780</v>
      </c>
    </row>
    <row r="549">
      <c r="E549" s="52" t="s">
        <v>4787</v>
      </c>
    </row>
    <row r="550">
      <c r="E550" s="52" t="s">
        <v>4813</v>
      </c>
    </row>
    <row r="551">
      <c r="E551" s="52" t="s">
        <v>4819</v>
      </c>
    </row>
    <row r="552">
      <c r="E552" s="52" t="s">
        <v>4829</v>
      </c>
    </row>
    <row r="553">
      <c r="E553" s="52" t="s">
        <v>4835</v>
      </c>
    </row>
    <row r="554">
      <c r="E554" s="52" t="s">
        <v>4841</v>
      </c>
    </row>
    <row r="555">
      <c r="E555" s="52" t="s">
        <v>4851</v>
      </c>
    </row>
    <row r="556">
      <c r="E556" s="52" t="s">
        <v>4861</v>
      </c>
    </row>
    <row r="557">
      <c r="E557" s="52" t="s">
        <v>4871</v>
      </c>
    </row>
    <row r="558">
      <c r="E558" s="52" t="s">
        <v>4885</v>
      </c>
    </row>
    <row r="559">
      <c r="E559" s="52" t="s">
        <v>4891</v>
      </c>
    </row>
    <row r="560">
      <c r="E560" s="52" t="s">
        <v>4901</v>
      </c>
    </row>
    <row r="561">
      <c r="E561" s="52" t="s">
        <v>5075</v>
      </c>
    </row>
    <row r="562">
      <c r="E562" s="52" t="s">
        <v>5082</v>
      </c>
    </row>
    <row r="563">
      <c r="E563" s="52" t="s">
        <v>5093</v>
      </c>
    </row>
    <row r="564">
      <c r="E564" s="52" t="s">
        <v>5099</v>
      </c>
    </row>
    <row r="565">
      <c r="E565" s="52" t="s">
        <v>5110</v>
      </c>
    </row>
    <row r="566">
      <c r="E566" s="52" t="s">
        <v>5117</v>
      </c>
    </row>
    <row r="567">
      <c r="E567" s="52" t="s">
        <v>5124</v>
      </c>
    </row>
    <row r="568">
      <c r="E568" s="52" t="s">
        <v>5131</v>
      </c>
    </row>
    <row r="569">
      <c r="E569" s="52" t="s">
        <v>5143</v>
      </c>
    </row>
    <row r="570">
      <c r="E570" s="52" t="s">
        <v>5150</v>
      </c>
    </row>
    <row r="571">
      <c r="E571" s="52" t="s">
        <v>5157</v>
      </c>
    </row>
    <row r="572">
      <c r="E572" s="52" t="s">
        <v>5164</v>
      </c>
    </row>
    <row r="573">
      <c r="E573" s="52" t="s">
        <v>5171</v>
      </c>
    </row>
    <row r="574">
      <c r="E574" s="52" t="s">
        <v>5178</v>
      </c>
    </row>
    <row r="575">
      <c r="E575" s="52" t="s">
        <v>5185</v>
      </c>
    </row>
    <row r="576">
      <c r="E576" s="52" t="s">
        <v>5202</v>
      </c>
    </row>
    <row r="577">
      <c r="E577" s="52" t="s">
        <v>5209</v>
      </c>
    </row>
    <row r="578">
      <c r="E578" s="52" t="s">
        <v>5231</v>
      </c>
    </row>
    <row r="579">
      <c r="E579" s="52" t="s">
        <v>5243</v>
      </c>
    </row>
    <row r="580">
      <c r="E580" s="52"/>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26.25"/>
    <col customWidth="1" min="3" max="3" width="52.75"/>
    <col customWidth="1" min="4" max="4" width="17.38"/>
  </cols>
  <sheetData>
    <row r="1">
      <c r="A1" s="54" t="s">
        <v>5267</v>
      </c>
      <c r="B1" s="54" t="s">
        <v>5401</v>
      </c>
      <c r="C1" s="54" t="s">
        <v>5402</v>
      </c>
      <c r="D1" s="54" t="s">
        <v>5276</v>
      </c>
      <c r="E1" s="54" t="s">
        <v>5274</v>
      </c>
      <c r="F1" s="54" t="s">
        <v>5275</v>
      </c>
      <c r="G1" s="55"/>
      <c r="H1" s="55"/>
      <c r="I1" s="55"/>
      <c r="J1" s="55"/>
      <c r="K1" s="55"/>
      <c r="L1" s="55"/>
      <c r="M1" s="55"/>
      <c r="N1" s="55"/>
      <c r="O1" s="55"/>
      <c r="P1" s="55"/>
      <c r="Q1" s="55"/>
      <c r="R1" s="55"/>
      <c r="S1" s="55"/>
      <c r="T1" s="55"/>
      <c r="U1" s="55"/>
    </row>
    <row r="2">
      <c r="A2" s="51" t="s">
        <v>5403</v>
      </c>
      <c r="B2" s="51" t="s">
        <v>5404</v>
      </c>
      <c r="C2" s="51" t="s">
        <v>3169</v>
      </c>
      <c r="D2" s="51" t="s">
        <v>5294</v>
      </c>
      <c r="E2" s="56"/>
      <c r="F2" s="56">
        <v>46181.0</v>
      </c>
    </row>
    <row r="3">
      <c r="A3" s="51" t="s">
        <v>5405</v>
      </c>
      <c r="B3" s="51" t="s">
        <v>5406</v>
      </c>
      <c r="C3" s="51" t="s">
        <v>4052</v>
      </c>
      <c r="D3" s="51" t="s">
        <v>5294</v>
      </c>
      <c r="E3" s="56"/>
      <c r="F3" s="56">
        <v>46179.0</v>
      </c>
    </row>
    <row r="4">
      <c r="A4" s="51" t="s">
        <v>5407</v>
      </c>
      <c r="B4" s="51" t="s">
        <v>5408</v>
      </c>
      <c r="C4" s="51" t="s">
        <v>854</v>
      </c>
      <c r="D4" s="51" t="s">
        <v>5294</v>
      </c>
      <c r="E4" s="56"/>
      <c r="F4" s="56">
        <v>46179.0</v>
      </c>
    </row>
    <row r="5">
      <c r="A5" s="51" t="s">
        <v>5409</v>
      </c>
      <c r="B5" s="51" t="s">
        <v>5410</v>
      </c>
      <c r="C5" s="51" t="s">
        <v>5411</v>
      </c>
      <c r="D5" s="51" t="s">
        <v>5294</v>
      </c>
      <c r="E5" s="56">
        <v>46179.0</v>
      </c>
      <c r="F5" s="56">
        <v>46181.0</v>
      </c>
    </row>
    <row r="6">
      <c r="A6" s="51" t="s">
        <v>5412</v>
      </c>
      <c r="B6" s="51" t="s">
        <v>5413</v>
      </c>
      <c r="C6" s="51" t="s">
        <v>5414</v>
      </c>
      <c r="D6" s="51" t="s">
        <v>5294</v>
      </c>
      <c r="E6" s="56">
        <v>46179.0</v>
      </c>
      <c r="F6" s="56">
        <v>46181.0</v>
      </c>
    </row>
    <row r="7">
      <c r="A7" s="51" t="s">
        <v>5415</v>
      </c>
      <c r="B7" s="51" t="s">
        <v>5416</v>
      </c>
      <c r="C7" s="51" t="s">
        <v>5417</v>
      </c>
      <c r="D7" s="51" t="s">
        <v>5294</v>
      </c>
      <c r="E7" s="56">
        <v>46177.0</v>
      </c>
      <c r="F7" s="56">
        <v>46179.0</v>
      </c>
    </row>
    <row r="8">
      <c r="A8" s="51" t="s">
        <v>5418</v>
      </c>
      <c r="B8" s="51" t="s">
        <v>5419</v>
      </c>
      <c r="C8" s="51" t="s">
        <v>5420</v>
      </c>
      <c r="D8" s="51" t="s">
        <v>5371</v>
      </c>
      <c r="F8" s="56"/>
    </row>
    <row r="9">
      <c r="A9" s="51" t="s">
        <v>5421</v>
      </c>
      <c r="B9" s="51" t="s">
        <v>5422</v>
      </c>
      <c r="C9" s="51" t="s">
        <v>1732</v>
      </c>
      <c r="D9" s="51" t="s">
        <v>5294</v>
      </c>
      <c r="F9" s="56">
        <v>46176.0</v>
      </c>
    </row>
    <row r="10">
      <c r="A10" s="51" t="s">
        <v>5423</v>
      </c>
      <c r="B10" s="51" t="s">
        <v>5424</v>
      </c>
      <c r="C10" s="51" t="s">
        <v>5425</v>
      </c>
      <c r="D10" s="51" t="s">
        <v>5294</v>
      </c>
      <c r="F10" s="56">
        <v>46172.0</v>
      </c>
    </row>
    <row r="11">
      <c r="A11" s="51" t="s">
        <v>5426</v>
      </c>
      <c r="B11" s="51" t="s">
        <v>5427</v>
      </c>
      <c r="C11" s="51" t="s">
        <v>1165</v>
      </c>
      <c r="D11" s="51" t="s">
        <v>5294</v>
      </c>
      <c r="F11" s="56">
        <v>46172.0</v>
      </c>
    </row>
    <row r="12">
      <c r="A12" s="51" t="s">
        <v>5428</v>
      </c>
      <c r="B12" s="51" t="s">
        <v>5429</v>
      </c>
      <c r="C12" s="51" t="s">
        <v>854</v>
      </c>
      <c r="D12" s="51" t="s">
        <v>5294</v>
      </c>
      <c r="F12" s="56">
        <v>46172.0</v>
      </c>
    </row>
    <row r="13">
      <c r="A13" s="51" t="s">
        <v>5430</v>
      </c>
      <c r="B13" s="51" t="s">
        <v>5431</v>
      </c>
      <c r="C13" s="51" t="s">
        <v>854</v>
      </c>
      <c r="D13" s="51" t="s">
        <v>5294</v>
      </c>
      <c r="F13" s="56">
        <v>46172.0</v>
      </c>
    </row>
    <row r="14">
      <c r="A14" s="51" t="s">
        <v>5432</v>
      </c>
      <c r="B14" s="51" t="s">
        <v>5433</v>
      </c>
      <c r="C14" s="51" t="s">
        <v>5425</v>
      </c>
      <c r="D14" s="51" t="s">
        <v>5294</v>
      </c>
      <c r="F14" s="56">
        <v>46172.0</v>
      </c>
    </row>
    <row r="15">
      <c r="A15" s="51" t="s">
        <v>5434</v>
      </c>
      <c r="B15" s="51" t="s">
        <v>5435</v>
      </c>
      <c r="C15" s="51" t="s">
        <v>4045</v>
      </c>
      <c r="D15" s="51" t="s">
        <v>5294</v>
      </c>
      <c r="E15" s="56"/>
      <c r="F15" s="56">
        <v>46172.0</v>
      </c>
    </row>
    <row r="16">
      <c r="A16" s="51" t="s">
        <v>5436</v>
      </c>
      <c r="B16" s="51" t="s">
        <v>5437</v>
      </c>
      <c r="C16" s="51" t="s">
        <v>5438</v>
      </c>
      <c r="D16" s="51" t="s">
        <v>5294</v>
      </c>
      <c r="F16" s="56">
        <v>46172.0</v>
      </c>
    </row>
    <row r="17">
      <c r="A17" s="51" t="s">
        <v>5439</v>
      </c>
      <c r="B17" s="51" t="s">
        <v>5440</v>
      </c>
      <c r="C17" s="51" t="s">
        <v>43</v>
      </c>
      <c r="D17" s="51" t="s">
        <v>5287</v>
      </c>
      <c r="F17" s="56"/>
    </row>
    <row r="18">
      <c r="A18" s="51" t="s">
        <v>5441</v>
      </c>
      <c r="B18" s="51" t="s">
        <v>5442</v>
      </c>
      <c r="C18" s="51" t="s">
        <v>5425</v>
      </c>
      <c r="D18" s="51" t="s">
        <v>5294</v>
      </c>
      <c r="F18" s="56">
        <v>46172.0</v>
      </c>
    </row>
    <row r="19">
      <c r="A19" s="51" t="s">
        <v>5443</v>
      </c>
      <c r="B19" s="51" t="s">
        <v>5444</v>
      </c>
      <c r="C19" s="51" t="s">
        <v>5414</v>
      </c>
      <c r="D19" s="51" t="s">
        <v>5294</v>
      </c>
      <c r="E19" s="56">
        <v>46168.0</v>
      </c>
      <c r="F19" s="56">
        <v>46170.0</v>
      </c>
    </row>
    <row r="20">
      <c r="A20" s="51" t="s">
        <v>5445</v>
      </c>
      <c r="B20" s="51" t="s">
        <v>5446</v>
      </c>
      <c r="C20" s="51" t="s">
        <v>43</v>
      </c>
      <c r="D20" s="51" t="s">
        <v>5294</v>
      </c>
      <c r="F20" s="56">
        <v>46168.0</v>
      </c>
    </row>
    <row r="21">
      <c r="A21" s="51" t="s">
        <v>5447</v>
      </c>
      <c r="B21" s="51" t="s">
        <v>5448</v>
      </c>
      <c r="C21" s="51" t="s">
        <v>43</v>
      </c>
      <c r="D21" s="51" t="s">
        <v>5294</v>
      </c>
      <c r="F21" s="56">
        <v>46168.0</v>
      </c>
    </row>
    <row r="22">
      <c r="A22" s="51" t="s">
        <v>5449</v>
      </c>
      <c r="B22" s="51" t="s">
        <v>5450</v>
      </c>
      <c r="C22" s="51" t="s">
        <v>43</v>
      </c>
      <c r="D22" s="51" t="s">
        <v>5294</v>
      </c>
      <c r="F22" s="56">
        <v>46168.0</v>
      </c>
    </row>
    <row r="23">
      <c r="A23" s="51" t="s">
        <v>5451</v>
      </c>
      <c r="B23" s="51" t="s">
        <v>5452</v>
      </c>
      <c r="C23" s="51" t="s">
        <v>43</v>
      </c>
      <c r="D23" s="51" t="s">
        <v>5294</v>
      </c>
      <c r="F23" s="56">
        <v>46168.0</v>
      </c>
    </row>
    <row r="24">
      <c r="A24" s="51" t="s">
        <v>5453</v>
      </c>
      <c r="B24" s="51" t="s">
        <v>5454</v>
      </c>
      <c r="C24" s="51" t="s">
        <v>43</v>
      </c>
      <c r="D24" s="51" t="s">
        <v>5294</v>
      </c>
      <c r="F24" s="56">
        <v>46168.0</v>
      </c>
    </row>
    <row r="25">
      <c r="A25" s="51" t="s">
        <v>5455</v>
      </c>
      <c r="B25" s="51" t="s">
        <v>5456</v>
      </c>
      <c r="C25" s="51" t="s">
        <v>43</v>
      </c>
      <c r="D25" s="51" t="s">
        <v>5294</v>
      </c>
      <c r="F25" s="56">
        <v>46168.0</v>
      </c>
    </row>
    <row r="26">
      <c r="A26" s="51" t="s">
        <v>5457</v>
      </c>
      <c r="B26" s="51" t="s">
        <v>5458</v>
      </c>
      <c r="C26" s="51" t="s">
        <v>43</v>
      </c>
      <c r="D26" s="51" t="s">
        <v>5294</v>
      </c>
      <c r="F26" s="56">
        <v>46168.0</v>
      </c>
    </row>
    <row r="27">
      <c r="A27" s="51" t="s">
        <v>5459</v>
      </c>
      <c r="B27" s="51" t="s">
        <v>5460</v>
      </c>
      <c r="C27" s="51" t="s">
        <v>43</v>
      </c>
      <c r="D27" s="51" t="s">
        <v>5294</v>
      </c>
      <c r="E27" s="56"/>
      <c r="F27" s="56">
        <v>46168.0</v>
      </c>
    </row>
    <row r="28">
      <c r="A28" s="51" t="s">
        <v>5461</v>
      </c>
      <c r="B28" s="51" t="s">
        <v>5462</v>
      </c>
      <c r="C28" s="51" t="s">
        <v>43</v>
      </c>
      <c r="D28" s="51" t="s">
        <v>5294</v>
      </c>
      <c r="E28" s="56"/>
      <c r="F28" s="56">
        <v>46168.0</v>
      </c>
    </row>
    <row r="29">
      <c r="A29" s="51" t="s">
        <v>5463</v>
      </c>
      <c r="B29" s="51" t="s">
        <v>5464</v>
      </c>
      <c r="C29" s="51" t="s">
        <v>43</v>
      </c>
      <c r="D29" s="51" t="s">
        <v>5294</v>
      </c>
      <c r="E29" s="56"/>
      <c r="F29" s="56">
        <v>46168.0</v>
      </c>
    </row>
    <row r="30">
      <c r="A30" s="51" t="s">
        <v>5465</v>
      </c>
      <c r="B30" s="51" t="s">
        <v>5466</v>
      </c>
      <c r="C30" s="51" t="s">
        <v>43</v>
      </c>
      <c r="D30" s="51" t="s">
        <v>5294</v>
      </c>
      <c r="E30" s="56"/>
      <c r="F30" s="56">
        <v>46168.0</v>
      </c>
    </row>
    <row r="31">
      <c r="A31" s="51" t="s">
        <v>5467</v>
      </c>
      <c r="B31" s="51" t="s">
        <v>5468</v>
      </c>
      <c r="C31" s="51" t="s">
        <v>1800</v>
      </c>
      <c r="D31" s="51" t="s">
        <v>5294</v>
      </c>
      <c r="E31" s="56">
        <v>46169.0</v>
      </c>
      <c r="F31" s="56">
        <v>46170.0</v>
      </c>
    </row>
    <row r="32">
      <c r="A32" s="51" t="s">
        <v>5469</v>
      </c>
      <c r="B32" s="51" t="s">
        <v>5470</v>
      </c>
      <c r="C32" s="51" t="s">
        <v>854</v>
      </c>
      <c r="D32" s="51" t="s">
        <v>5294</v>
      </c>
      <c r="E32" s="56">
        <v>46164.0</v>
      </c>
      <c r="F32" s="56">
        <v>46164.0</v>
      </c>
    </row>
    <row r="33">
      <c r="A33" s="51" t="s">
        <v>5471</v>
      </c>
      <c r="B33" s="51" t="s">
        <v>5472</v>
      </c>
      <c r="C33" s="51" t="s">
        <v>5473</v>
      </c>
      <c r="D33" s="51" t="s">
        <v>5294</v>
      </c>
      <c r="E33" s="56">
        <v>46164.0</v>
      </c>
      <c r="F33" s="56">
        <v>46164.0</v>
      </c>
    </row>
    <row r="34">
      <c r="A34" s="51" t="s">
        <v>5474</v>
      </c>
      <c r="B34" s="51" t="s">
        <v>5475</v>
      </c>
      <c r="C34" s="51" t="s">
        <v>1051</v>
      </c>
      <c r="D34" s="51" t="s">
        <v>5294</v>
      </c>
      <c r="E34" s="56">
        <v>46164.0</v>
      </c>
      <c r="F34" s="56">
        <v>46165.0</v>
      </c>
    </row>
    <row r="35">
      <c r="A35" s="51" t="s">
        <v>5476</v>
      </c>
      <c r="B35" s="51" t="s">
        <v>5477</v>
      </c>
      <c r="C35" s="51" t="s">
        <v>1171</v>
      </c>
      <c r="D35" s="51" t="s">
        <v>5294</v>
      </c>
      <c r="E35" s="56">
        <v>46164.0</v>
      </c>
      <c r="F35" s="56">
        <v>46164.0</v>
      </c>
    </row>
    <row r="36">
      <c r="A36" s="51" t="s">
        <v>5478</v>
      </c>
      <c r="B36" s="51" t="s">
        <v>5479</v>
      </c>
      <c r="C36" s="51" t="s">
        <v>1075</v>
      </c>
      <c r="D36" s="51" t="s">
        <v>5294</v>
      </c>
      <c r="E36" s="56">
        <v>46164.0</v>
      </c>
      <c r="F36" s="56">
        <v>46164.0</v>
      </c>
    </row>
    <row r="37">
      <c r="A37" s="51" t="s">
        <v>5480</v>
      </c>
      <c r="B37" s="51" t="s">
        <v>5481</v>
      </c>
      <c r="C37" s="51" t="s">
        <v>552</v>
      </c>
      <c r="D37" s="51" t="s">
        <v>5294</v>
      </c>
      <c r="E37" s="56">
        <v>46164.0</v>
      </c>
      <c r="F37" s="56">
        <v>46164.0</v>
      </c>
    </row>
    <row r="38">
      <c r="A38" s="51" t="s">
        <v>5482</v>
      </c>
      <c r="B38" s="51" t="s">
        <v>5483</v>
      </c>
      <c r="C38" s="51" t="s">
        <v>5484</v>
      </c>
      <c r="D38" s="51" t="s">
        <v>5294</v>
      </c>
      <c r="E38" s="56">
        <v>46164.0</v>
      </c>
      <c r="F38" s="56">
        <v>46164.0</v>
      </c>
    </row>
    <row r="39">
      <c r="A39" s="51" t="s">
        <v>5485</v>
      </c>
      <c r="B39" s="51" t="s">
        <v>5486</v>
      </c>
      <c r="C39" s="51" t="s">
        <v>895</v>
      </c>
      <c r="D39" s="51" t="s">
        <v>5294</v>
      </c>
      <c r="E39" s="56">
        <v>46164.0</v>
      </c>
      <c r="F39" s="56">
        <v>46164.0</v>
      </c>
    </row>
    <row r="40">
      <c r="A40" s="51" t="s">
        <v>5487</v>
      </c>
      <c r="B40" s="51" t="s">
        <v>5488</v>
      </c>
      <c r="C40" s="51" t="s">
        <v>474</v>
      </c>
      <c r="D40" s="51" t="s">
        <v>5294</v>
      </c>
      <c r="E40" s="56">
        <v>46164.0</v>
      </c>
      <c r="F40" s="56">
        <v>46164.0</v>
      </c>
    </row>
    <row r="41">
      <c r="A41" s="51" t="s">
        <v>5489</v>
      </c>
      <c r="B41" s="51" t="s">
        <v>5490</v>
      </c>
      <c r="C41" s="51" t="s">
        <v>854</v>
      </c>
      <c r="D41" s="51" t="s">
        <v>5294</v>
      </c>
      <c r="E41" s="56">
        <v>46164.0</v>
      </c>
      <c r="F41" s="56">
        <v>46164.0</v>
      </c>
    </row>
    <row r="42">
      <c r="A42" s="51" t="s">
        <v>5491</v>
      </c>
      <c r="B42" s="51" t="s">
        <v>5492</v>
      </c>
      <c r="C42" s="51" t="s">
        <v>95</v>
      </c>
      <c r="D42" s="51" t="s">
        <v>5294</v>
      </c>
      <c r="E42" s="56">
        <v>46164.0</v>
      </c>
      <c r="F42" s="56">
        <v>46164.0</v>
      </c>
    </row>
    <row r="43">
      <c r="A43" s="51" t="s">
        <v>5493</v>
      </c>
      <c r="B43" s="51" t="s">
        <v>5494</v>
      </c>
      <c r="C43" s="51" t="s">
        <v>5495</v>
      </c>
      <c r="D43" s="51" t="s">
        <v>5287</v>
      </c>
      <c r="E43" s="56"/>
      <c r="F43" s="56"/>
    </row>
    <row r="44">
      <c r="A44" s="51" t="s">
        <v>5496</v>
      </c>
      <c r="B44" s="51" t="s">
        <v>5497</v>
      </c>
      <c r="C44" s="51" t="s">
        <v>1564</v>
      </c>
      <c r="D44" s="51" t="s">
        <v>5294</v>
      </c>
      <c r="E44" s="56">
        <v>46163.0</v>
      </c>
      <c r="F44" s="56">
        <v>46167.0</v>
      </c>
    </row>
    <row r="45">
      <c r="A45" s="51" t="s">
        <v>5498</v>
      </c>
      <c r="B45" s="51" t="s">
        <v>5499</v>
      </c>
      <c r="C45" s="51" t="s">
        <v>5414</v>
      </c>
      <c r="D45" s="51" t="s">
        <v>5294</v>
      </c>
      <c r="E45" s="56">
        <v>46158.0</v>
      </c>
      <c r="F45" s="56">
        <v>46160.0</v>
      </c>
    </row>
    <row r="46">
      <c r="A46" s="51" t="s">
        <v>5500</v>
      </c>
      <c r="B46" s="51" t="s">
        <v>5501</v>
      </c>
      <c r="C46" s="51" t="s">
        <v>5414</v>
      </c>
      <c r="D46" s="51" t="s">
        <v>5294</v>
      </c>
      <c r="E46" s="56">
        <v>46158.0</v>
      </c>
      <c r="F46" s="56">
        <v>46160.0</v>
      </c>
    </row>
    <row r="47">
      <c r="A47" s="51" t="s">
        <v>5502</v>
      </c>
      <c r="B47" s="51" t="s">
        <v>5503</v>
      </c>
      <c r="C47" s="51" t="s">
        <v>5504</v>
      </c>
      <c r="D47" s="51" t="s">
        <v>5294</v>
      </c>
      <c r="E47" s="56">
        <v>46158.0</v>
      </c>
      <c r="F47" s="56">
        <v>46160.0</v>
      </c>
    </row>
    <row r="48">
      <c r="A48" s="51" t="s">
        <v>5505</v>
      </c>
      <c r="B48" s="51" t="s">
        <v>5506</v>
      </c>
      <c r="C48" s="51" t="s">
        <v>5414</v>
      </c>
      <c r="D48" s="51" t="s">
        <v>5294</v>
      </c>
      <c r="E48" s="56">
        <v>46158.0</v>
      </c>
      <c r="F48" s="56">
        <v>46160.0</v>
      </c>
    </row>
    <row r="49">
      <c r="A49" s="51" t="s">
        <v>5507</v>
      </c>
      <c r="B49" s="51" t="s">
        <v>5508</v>
      </c>
      <c r="C49" s="51" t="s">
        <v>5509</v>
      </c>
      <c r="D49" s="51" t="s">
        <v>5294</v>
      </c>
      <c r="E49" s="56">
        <v>46155.0</v>
      </c>
      <c r="F49" s="56">
        <v>46156.0</v>
      </c>
    </row>
    <row r="50">
      <c r="A50" s="51" t="s">
        <v>5510</v>
      </c>
      <c r="B50" s="51" t="s">
        <v>5511</v>
      </c>
      <c r="C50" s="51" t="s">
        <v>5414</v>
      </c>
      <c r="D50" s="51" t="s">
        <v>5294</v>
      </c>
      <c r="E50" s="56">
        <v>46154.0</v>
      </c>
      <c r="F50" s="56">
        <v>46156.0</v>
      </c>
    </row>
    <row r="51">
      <c r="A51" s="51" t="s">
        <v>5512</v>
      </c>
      <c r="B51" s="51" t="s">
        <v>5513</v>
      </c>
      <c r="C51" s="51" t="s">
        <v>5414</v>
      </c>
      <c r="D51" s="51" t="s">
        <v>5294</v>
      </c>
      <c r="E51" s="56">
        <v>46154.0</v>
      </c>
      <c r="F51" s="56">
        <v>46156.0</v>
      </c>
    </row>
    <row r="52">
      <c r="A52" s="51" t="s">
        <v>5514</v>
      </c>
      <c r="B52" s="51" t="s">
        <v>5515</v>
      </c>
      <c r="C52" s="51" t="s">
        <v>5414</v>
      </c>
      <c r="D52" s="51" t="s">
        <v>5294</v>
      </c>
      <c r="E52" s="56">
        <v>46154.0</v>
      </c>
      <c r="F52" s="56">
        <v>46156.0</v>
      </c>
    </row>
    <row r="53">
      <c r="A53" s="51" t="s">
        <v>5516</v>
      </c>
      <c r="B53" s="51" t="s">
        <v>5517</v>
      </c>
      <c r="C53" s="51" t="s">
        <v>5414</v>
      </c>
      <c r="D53" s="51" t="s">
        <v>5294</v>
      </c>
      <c r="E53" s="56">
        <v>46154.0</v>
      </c>
      <c r="F53" s="56">
        <v>46156.0</v>
      </c>
    </row>
    <row r="54">
      <c r="A54" s="51" t="s">
        <v>5518</v>
      </c>
      <c r="B54" s="51" t="s">
        <v>5519</v>
      </c>
      <c r="C54" s="51" t="s">
        <v>5520</v>
      </c>
      <c r="D54" s="51" t="s">
        <v>5294</v>
      </c>
      <c r="E54" s="56">
        <v>46153.0</v>
      </c>
      <c r="F54" s="56">
        <v>46155.0</v>
      </c>
    </row>
    <row r="55">
      <c r="A55" s="51" t="s">
        <v>5521</v>
      </c>
      <c r="B55" s="51" t="s">
        <v>5522</v>
      </c>
      <c r="C55" s="51" t="s">
        <v>5523</v>
      </c>
      <c r="D55" s="51" t="s">
        <v>5294</v>
      </c>
      <c r="E55" s="56">
        <v>46149.0</v>
      </c>
      <c r="F55" s="56">
        <v>46152.0</v>
      </c>
    </row>
    <row r="56">
      <c r="A56" s="51" t="s">
        <v>5524</v>
      </c>
      <c r="B56" s="51" t="s">
        <v>5525</v>
      </c>
      <c r="C56" s="51" t="s">
        <v>5414</v>
      </c>
      <c r="D56" s="51" t="s">
        <v>5294</v>
      </c>
      <c r="E56" s="56">
        <v>46147.0</v>
      </c>
      <c r="F56" s="56">
        <v>46149.0</v>
      </c>
    </row>
    <row r="57">
      <c r="A57" s="51" t="s">
        <v>5526</v>
      </c>
      <c r="B57" s="51" t="s">
        <v>5527</v>
      </c>
      <c r="C57" s="51" t="s">
        <v>5528</v>
      </c>
      <c r="D57" s="51" t="s">
        <v>5294</v>
      </c>
      <c r="E57" s="56">
        <v>46146.0</v>
      </c>
      <c r="F57" s="56">
        <v>46147.0</v>
      </c>
    </row>
    <row r="58">
      <c r="A58" s="51" t="s">
        <v>5529</v>
      </c>
      <c r="B58" s="51" t="s">
        <v>5530</v>
      </c>
      <c r="C58" s="51" t="s">
        <v>5528</v>
      </c>
      <c r="D58" s="51" t="s">
        <v>5287</v>
      </c>
      <c r="E58" s="56"/>
      <c r="F58" s="56"/>
    </row>
    <row r="59">
      <c r="A59" s="51" t="s">
        <v>5531</v>
      </c>
      <c r="B59" s="51" t="s">
        <v>5532</v>
      </c>
      <c r="C59" s="51" t="s">
        <v>5290</v>
      </c>
      <c r="D59" s="51" t="s">
        <v>5294</v>
      </c>
      <c r="E59" s="56">
        <v>46140.0</v>
      </c>
      <c r="F59" s="56">
        <v>46143.0</v>
      </c>
    </row>
    <row r="60">
      <c r="A60" s="51" t="s">
        <v>5533</v>
      </c>
      <c r="B60" s="51" t="s">
        <v>5534</v>
      </c>
      <c r="C60" s="51" t="s">
        <v>5535</v>
      </c>
      <c r="D60" s="51" t="s">
        <v>5294</v>
      </c>
      <c r="E60" s="56">
        <v>46135.0</v>
      </c>
      <c r="F60" s="56">
        <v>46137.0</v>
      </c>
    </row>
    <row r="61">
      <c r="A61" s="51" t="s">
        <v>5536</v>
      </c>
      <c r="B61" s="51" t="s">
        <v>5537</v>
      </c>
      <c r="C61" s="51" t="s">
        <v>5414</v>
      </c>
      <c r="D61" s="51" t="s">
        <v>5294</v>
      </c>
      <c r="E61" s="56">
        <v>46135.0</v>
      </c>
      <c r="F61" s="56">
        <v>46136.0</v>
      </c>
    </row>
    <row r="62">
      <c r="A62" s="51" t="s">
        <v>5538</v>
      </c>
      <c r="B62" s="51" t="s">
        <v>5539</v>
      </c>
      <c r="C62" s="51" t="s">
        <v>5414</v>
      </c>
      <c r="D62" s="51" t="s">
        <v>5294</v>
      </c>
      <c r="E62" s="56">
        <v>46133.0</v>
      </c>
      <c r="F62" s="56">
        <v>46134.0</v>
      </c>
    </row>
    <row r="63">
      <c r="A63" s="51" t="s">
        <v>5540</v>
      </c>
      <c r="B63" s="51" t="s">
        <v>5541</v>
      </c>
      <c r="C63" s="51" t="s">
        <v>5414</v>
      </c>
      <c r="D63" s="51" t="s">
        <v>5294</v>
      </c>
      <c r="E63" s="56">
        <v>46133.0</v>
      </c>
      <c r="F63" s="56">
        <v>46134.0</v>
      </c>
    </row>
    <row r="64">
      <c r="A64" s="51" t="s">
        <v>5542</v>
      </c>
      <c r="B64" s="51" t="s">
        <v>5543</v>
      </c>
      <c r="C64" s="51" t="s">
        <v>5414</v>
      </c>
      <c r="D64" s="51" t="s">
        <v>5294</v>
      </c>
      <c r="E64" s="56">
        <v>46129.0</v>
      </c>
      <c r="F64" s="56">
        <v>46131.0</v>
      </c>
    </row>
    <row r="65">
      <c r="A65" s="51" t="s">
        <v>5544</v>
      </c>
      <c r="B65" s="51" t="s">
        <v>5545</v>
      </c>
      <c r="C65" s="51" t="s">
        <v>5546</v>
      </c>
      <c r="D65" s="51" t="s">
        <v>5294</v>
      </c>
      <c r="E65" s="56">
        <v>46128.0</v>
      </c>
      <c r="F65" s="56">
        <v>46130.0</v>
      </c>
    </row>
    <row r="66">
      <c r="A66" s="51" t="s">
        <v>5547</v>
      </c>
      <c r="B66" s="51" t="s">
        <v>5548</v>
      </c>
      <c r="C66" s="51" t="s">
        <v>5414</v>
      </c>
      <c r="D66" s="51" t="s">
        <v>5294</v>
      </c>
      <c r="E66" s="56">
        <v>46129.0</v>
      </c>
      <c r="F66" s="56">
        <v>46131.0</v>
      </c>
    </row>
    <row r="67">
      <c r="A67" s="51" t="s">
        <v>5549</v>
      </c>
      <c r="B67" s="51" t="s">
        <v>5550</v>
      </c>
      <c r="C67" s="51" t="s">
        <v>5551</v>
      </c>
      <c r="D67" s="51" t="s">
        <v>5294</v>
      </c>
      <c r="E67" s="56">
        <v>46125.0</v>
      </c>
      <c r="F67" s="56">
        <v>46127.0</v>
      </c>
    </row>
    <row r="68">
      <c r="A68" s="51" t="s">
        <v>5552</v>
      </c>
      <c r="B68" s="51" t="s">
        <v>5553</v>
      </c>
      <c r="C68" s="51" t="s">
        <v>5554</v>
      </c>
      <c r="D68" s="51" t="s">
        <v>5294</v>
      </c>
      <c r="E68" s="56">
        <v>46122.0</v>
      </c>
      <c r="F68" s="56">
        <v>46123.0</v>
      </c>
    </row>
    <row r="69">
      <c r="A69" s="51" t="s">
        <v>5555</v>
      </c>
      <c r="B69" s="51" t="s">
        <v>5556</v>
      </c>
      <c r="C69" s="51" t="s">
        <v>5414</v>
      </c>
      <c r="D69" s="51" t="s">
        <v>5294</v>
      </c>
      <c r="E69" s="56">
        <v>46123.0</v>
      </c>
      <c r="F69" s="56">
        <v>46125.0</v>
      </c>
    </row>
    <row r="70">
      <c r="A70" s="51" t="s">
        <v>5557</v>
      </c>
      <c r="B70" s="51" t="s">
        <v>5558</v>
      </c>
      <c r="C70" s="51" t="s">
        <v>5559</v>
      </c>
      <c r="D70" s="51" t="s">
        <v>5294</v>
      </c>
      <c r="E70" s="56">
        <v>46119.0</v>
      </c>
      <c r="F70" s="56">
        <v>46121.0</v>
      </c>
    </row>
    <row r="71">
      <c r="A71" s="51" t="s">
        <v>5560</v>
      </c>
      <c r="B71" s="51" t="s">
        <v>5561</v>
      </c>
      <c r="C71" s="51" t="s">
        <v>5562</v>
      </c>
      <c r="D71" s="51" t="s">
        <v>5294</v>
      </c>
      <c r="E71" s="56">
        <v>46117.0</v>
      </c>
      <c r="F71" s="56">
        <v>46119.0</v>
      </c>
    </row>
    <row r="72">
      <c r="A72" s="51" t="s">
        <v>5563</v>
      </c>
      <c r="B72" s="51" t="s">
        <v>5564</v>
      </c>
      <c r="C72" s="51" t="s">
        <v>5565</v>
      </c>
      <c r="D72" s="51" t="s">
        <v>5294</v>
      </c>
      <c r="E72" s="56">
        <v>46108.0</v>
      </c>
      <c r="F72" s="56">
        <v>46111.0</v>
      </c>
    </row>
    <row r="73">
      <c r="A73" s="51" t="s">
        <v>5566</v>
      </c>
      <c r="B73" s="51" t="s">
        <v>5567</v>
      </c>
      <c r="C73" s="51" t="s">
        <v>5520</v>
      </c>
      <c r="D73" s="51" t="s">
        <v>5294</v>
      </c>
      <c r="E73" s="56">
        <v>46107.0</v>
      </c>
      <c r="F73" s="56">
        <v>46109.0</v>
      </c>
    </row>
    <row r="74">
      <c r="A74" s="51" t="s">
        <v>5568</v>
      </c>
      <c r="B74" s="51" t="s">
        <v>5569</v>
      </c>
      <c r="C74" s="51" t="s">
        <v>5414</v>
      </c>
      <c r="D74" s="51" t="s">
        <v>5294</v>
      </c>
      <c r="E74" s="56">
        <v>46108.0</v>
      </c>
      <c r="F74" s="56">
        <v>46109.0</v>
      </c>
    </row>
    <row r="75">
      <c r="A75" s="51" t="s">
        <v>5570</v>
      </c>
      <c r="B75" s="51" t="s">
        <v>5571</v>
      </c>
      <c r="C75" s="51" t="s">
        <v>5414</v>
      </c>
      <c r="D75" s="51" t="s">
        <v>5294</v>
      </c>
      <c r="E75" s="56">
        <v>46108.0</v>
      </c>
      <c r="F75" s="56">
        <v>46109.0</v>
      </c>
    </row>
    <row r="76">
      <c r="A76" s="51" t="s">
        <v>5572</v>
      </c>
      <c r="B76" s="51" t="s">
        <v>5573</v>
      </c>
      <c r="C76" s="51" t="s">
        <v>5565</v>
      </c>
      <c r="D76" s="51" t="s">
        <v>5294</v>
      </c>
      <c r="E76" s="56">
        <v>46106.0</v>
      </c>
      <c r="F76" s="56">
        <v>46108.0</v>
      </c>
    </row>
    <row r="77">
      <c r="A77" s="51" t="s">
        <v>5574</v>
      </c>
      <c r="B77" s="51" t="s">
        <v>5575</v>
      </c>
      <c r="C77" s="51" t="s">
        <v>5562</v>
      </c>
      <c r="D77" s="51" t="s">
        <v>5294</v>
      </c>
      <c r="E77" s="56">
        <v>46101.0</v>
      </c>
      <c r="F77" s="56">
        <v>46104.0</v>
      </c>
    </row>
    <row r="78">
      <c r="A78" s="51" t="s">
        <v>5576</v>
      </c>
      <c r="B78" s="51" t="s">
        <v>5577</v>
      </c>
      <c r="C78" s="51" t="s">
        <v>5578</v>
      </c>
      <c r="D78" s="51" t="s">
        <v>5294</v>
      </c>
      <c r="E78" s="56">
        <v>46100.0</v>
      </c>
      <c r="F78" s="56">
        <v>46101.0</v>
      </c>
    </row>
    <row r="79">
      <c r="A79" s="51" t="s">
        <v>5579</v>
      </c>
      <c r="B79" s="51" t="s">
        <v>5580</v>
      </c>
      <c r="C79" s="51" t="s">
        <v>5414</v>
      </c>
      <c r="D79" s="51" t="s">
        <v>5294</v>
      </c>
      <c r="E79" s="56">
        <v>46099.0</v>
      </c>
      <c r="F79" s="56">
        <v>46103.0</v>
      </c>
    </row>
    <row r="80">
      <c r="A80" s="51" t="s">
        <v>5581</v>
      </c>
      <c r="B80" s="51" t="s">
        <v>5582</v>
      </c>
      <c r="C80" s="51" t="s">
        <v>5414</v>
      </c>
      <c r="D80" s="51" t="s">
        <v>5294</v>
      </c>
      <c r="E80" s="56">
        <v>46099.0</v>
      </c>
      <c r="F80" s="56">
        <v>46127.0</v>
      </c>
    </row>
    <row r="81">
      <c r="A81" s="51" t="s">
        <v>5583</v>
      </c>
      <c r="B81" s="51" t="s">
        <v>5584</v>
      </c>
      <c r="C81" s="51" t="s">
        <v>5585</v>
      </c>
      <c r="D81" s="51" t="s">
        <v>5294</v>
      </c>
      <c r="E81" s="56">
        <v>46097.0</v>
      </c>
      <c r="F81" s="56">
        <v>46099.0</v>
      </c>
    </row>
    <row r="82">
      <c r="A82" s="51" t="s">
        <v>5586</v>
      </c>
      <c r="B82" s="51" t="s">
        <v>5587</v>
      </c>
      <c r="C82" s="51" t="s">
        <v>5414</v>
      </c>
      <c r="D82" s="51" t="s">
        <v>5294</v>
      </c>
      <c r="E82" s="56">
        <v>46099.0</v>
      </c>
      <c r="F82" s="56">
        <v>46103.0</v>
      </c>
    </row>
    <row r="83">
      <c r="A83" s="51" t="s">
        <v>5588</v>
      </c>
      <c r="B83" s="51" t="s">
        <v>5589</v>
      </c>
      <c r="C83" s="51" t="s">
        <v>5590</v>
      </c>
      <c r="D83" s="51" t="s">
        <v>5294</v>
      </c>
      <c r="E83" s="56">
        <v>46085.0</v>
      </c>
      <c r="F83" s="56">
        <v>46086.0</v>
      </c>
    </row>
    <row r="84">
      <c r="A84" s="51" t="s">
        <v>5591</v>
      </c>
      <c r="B84" s="51" t="s">
        <v>5592</v>
      </c>
      <c r="C84" s="51" t="s">
        <v>5414</v>
      </c>
      <c r="D84" s="51" t="s">
        <v>5294</v>
      </c>
      <c r="E84" s="56">
        <v>46081.0</v>
      </c>
      <c r="F84" s="56">
        <v>46082.0</v>
      </c>
    </row>
    <row r="85">
      <c r="A85" s="51" t="s">
        <v>5593</v>
      </c>
      <c r="B85" s="51" t="s">
        <v>5594</v>
      </c>
      <c r="C85" s="51" t="s">
        <v>5595</v>
      </c>
      <c r="D85" s="51" t="s">
        <v>5294</v>
      </c>
      <c r="E85" s="56">
        <v>46081.0</v>
      </c>
      <c r="F85" s="56">
        <v>46083.0</v>
      </c>
    </row>
    <row r="86">
      <c r="A86" s="51" t="s">
        <v>5596</v>
      </c>
      <c r="B86" s="51" t="s">
        <v>5597</v>
      </c>
      <c r="C86" s="51" t="s">
        <v>4260</v>
      </c>
      <c r="D86" s="51" t="s">
        <v>5287</v>
      </c>
      <c r="E86" s="56">
        <v>46081.0</v>
      </c>
      <c r="F86" s="56"/>
    </row>
    <row r="87">
      <c r="A87" s="51" t="s">
        <v>5598</v>
      </c>
      <c r="B87" s="57" t="s">
        <v>5599</v>
      </c>
      <c r="C87" s="51" t="s">
        <v>5414</v>
      </c>
      <c r="D87" s="51" t="s">
        <v>5294</v>
      </c>
      <c r="E87" s="56">
        <v>46080.0</v>
      </c>
      <c r="F87" s="56">
        <v>46081.0</v>
      </c>
    </row>
    <row r="88">
      <c r="A88" s="51" t="s">
        <v>5600</v>
      </c>
      <c r="B88" s="51" t="s">
        <v>5601</v>
      </c>
      <c r="C88" s="51" t="s">
        <v>5414</v>
      </c>
      <c r="D88" s="51" t="s">
        <v>5294</v>
      </c>
      <c r="E88" s="56">
        <v>46080.0</v>
      </c>
      <c r="F88" s="56">
        <v>46081.0</v>
      </c>
    </row>
    <row r="89">
      <c r="A89" s="51" t="s">
        <v>5602</v>
      </c>
      <c r="B89" s="51" t="s">
        <v>5603</v>
      </c>
      <c r="C89" s="51" t="s">
        <v>5604</v>
      </c>
      <c r="D89" s="51" t="s">
        <v>5294</v>
      </c>
      <c r="E89" s="56">
        <v>46079.0</v>
      </c>
      <c r="F89" s="56">
        <v>46080.0</v>
      </c>
    </row>
    <row r="90">
      <c r="A90" s="51" t="s">
        <v>5605</v>
      </c>
      <c r="B90" s="51" t="s">
        <v>5606</v>
      </c>
      <c r="C90" s="51" t="s">
        <v>5607</v>
      </c>
      <c r="D90" s="51" t="s">
        <v>5294</v>
      </c>
      <c r="E90" s="56">
        <v>46079.0</v>
      </c>
      <c r="F90" s="56">
        <v>46080.0</v>
      </c>
    </row>
    <row r="91">
      <c r="A91" s="51" t="s">
        <v>5608</v>
      </c>
      <c r="B91" s="57">
        <v>2.60211E16</v>
      </c>
      <c r="C91" s="51" t="s">
        <v>5562</v>
      </c>
      <c r="D91" s="51" t="s">
        <v>5294</v>
      </c>
      <c r="E91" s="56">
        <v>46075.0</v>
      </c>
      <c r="F91" s="56">
        <v>46079.0</v>
      </c>
    </row>
    <row r="92">
      <c r="A92" s="51" t="s">
        <v>5609</v>
      </c>
      <c r="B92" s="51" t="s">
        <v>5610</v>
      </c>
      <c r="C92" s="51" t="s">
        <v>5611</v>
      </c>
      <c r="D92" s="51" t="s">
        <v>5294</v>
      </c>
      <c r="E92" s="56">
        <v>46073.0</v>
      </c>
      <c r="F92" s="56">
        <v>46075.0</v>
      </c>
    </row>
    <row r="93">
      <c r="A93" s="51" t="s">
        <v>5612</v>
      </c>
      <c r="B93" s="51" t="s">
        <v>5613</v>
      </c>
      <c r="C93" s="51" t="s">
        <v>5611</v>
      </c>
      <c r="D93" s="51" t="s">
        <v>5294</v>
      </c>
      <c r="E93" s="56">
        <v>46073.0</v>
      </c>
      <c r="F93" s="56">
        <v>46074.0</v>
      </c>
    </row>
    <row r="94">
      <c r="A94" s="51" t="s">
        <v>5614</v>
      </c>
      <c r="B94" s="51" t="s">
        <v>5615</v>
      </c>
      <c r="C94" s="51" t="s">
        <v>5414</v>
      </c>
      <c r="D94" s="51" t="s">
        <v>5294</v>
      </c>
      <c r="E94" s="56">
        <v>46077.0</v>
      </c>
      <c r="F94" s="56">
        <v>46078.0</v>
      </c>
    </row>
    <row r="95">
      <c r="A95" s="51" t="s">
        <v>5616</v>
      </c>
      <c r="B95" s="51" t="s">
        <v>5617</v>
      </c>
      <c r="C95" s="51" t="s">
        <v>5520</v>
      </c>
      <c r="D95" s="51" t="s">
        <v>5294</v>
      </c>
      <c r="E95" s="56">
        <v>46067.0</v>
      </c>
      <c r="F95" s="56">
        <v>46069.0</v>
      </c>
    </row>
    <row r="96">
      <c r="A96" s="51" t="s">
        <v>5618</v>
      </c>
      <c r="B96" s="51" t="s">
        <v>5619</v>
      </c>
      <c r="C96" s="51" t="s">
        <v>5414</v>
      </c>
      <c r="D96" s="51" t="s">
        <v>5294</v>
      </c>
      <c r="E96" s="56">
        <v>46068.0</v>
      </c>
      <c r="F96" s="56">
        <v>46069.0</v>
      </c>
    </row>
    <row r="97">
      <c r="A97" s="51" t="s">
        <v>5620</v>
      </c>
      <c r="B97" s="51" t="s">
        <v>5621</v>
      </c>
      <c r="C97" s="51" t="s">
        <v>5509</v>
      </c>
      <c r="D97" s="51" t="s">
        <v>5294</v>
      </c>
      <c r="E97" s="56">
        <v>46066.0</v>
      </c>
      <c r="F97" s="56">
        <v>46067.0</v>
      </c>
    </row>
    <row r="98">
      <c r="A98" s="51" t="s">
        <v>5622</v>
      </c>
      <c r="B98" s="51" t="s">
        <v>5623</v>
      </c>
      <c r="C98" s="51" t="s">
        <v>5624</v>
      </c>
      <c r="D98" s="51" t="s">
        <v>5287</v>
      </c>
      <c r="E98" s="56"/>
      <c r="F98" s="56"/>
    </row>
    <row r="99">
      <c r="A99" s="51" t="s">
        <v>5625</v>
      </c>
      <c r="B99" s="51" t="s">
        <v>5626</v>
      </c>
      <c r="C99" s="51" t="s">
        <v>5624</v>
      </c>
      <c r="D99" s="51" t="s">
        <v>5287</v>
      </c>
      <c r="E99" s="56"/>
      <c r="F99" s="56"/>
    </row>
    <row r="100">
      <c r="A100" s="51" t="s">
        <v>5627</v>
      </c>
      <c r="B100" s="51" t="s">
        <v>5628</v>
      </c>
      <c r="C100" s="51" t="s">
        <v>5624</v>
      </c>
      <c r="D100" s="51" t="s">
        <v>5294</v>
      </c>
      <c r="E100" s="56">
        <v>46063.0</v>
      </c>
      <c r="F100" s="56">
        <v>46066.0</v>
      </c>
    </row>
    <row r="101">
      <c r="A101" s="51" t="s">
        <v>5629</v>
      </c>
      <c r="B101" s="51" t="s">
        <v>5630</v>
      </c>
      <c r="C101" s="51" t="s">
        <v>5414</v>
      </c>
      <c r="D101" s="51" t="s">
        <v>5294</v>
      </c>
      <c r="E101" s="56">
        <v>46065.0</v>
      </c>
      <c r="F101" s="56">
        <v>46066.0</v>
      </c>
    </row>
    <row r="102">
      <c r="A102" s="51" t="s">
        <v>5631</v>
      </c>
      <c r="B102" s="51" t="s">
        <v>5632</v>
      </c>
      <c r="C102" s="51" t="s">
        <v>5633</v>
      </c>
      <c r="D102" s="51" t="s">
        <v>5294</v>
      </c>
      <c r="E102" s="56">
        <v>46065.0</v>
      </c>
      <c r="F102" s="56">
        <v>46066.0</v>
      </c>
    </row>
    <row r="103">
      <c r="A103" s="51" t="s">
        <v>5634</v>
      </c>
      <c r="B103" s="51" t="s">
        <v>5635</v>
      </c>
      <c r="C103" s="51" t="s">
        <v>5636</v>
      </c>
      <c r="D103" s="51" t="s">
        <v>5294</v>
      </c>
      <c r="E103" s="56">
        <v>46060.0</v>
      </c>
      <c r="F103" s="56">
        <v>46061.0</v>
      </c>
    </row>
    <row r="104">
      <c r="A104" s="51" t="s">
        <v>5637</v>
      </c>
      <c r="B104" s="51" t="s">
        <v>5638</v>
      </c>
      <c r="C104" s="51" t="s">
        <v>5414</v>
      </c>
      <c r="D104" s="51" t="s">
        <v>5294</v>
      </c>
      <c r="E104" s="56">
        <v>46052.0</v>
      </c>
      <c r="F104" s="56">
        <v>46053.0</v>
      </c>
    </row>
    <row r="105">
      <c r="A105" s="51" t="s">
        <v>5639</v>
      </c>
      <c r="B105" s="51" t="s">
        <v>5640</v>
      </c>
      <c r="C105" s="51" t="s">
        <v>5641</v>
      </c>
      <c r="D105" s="51" t="s">
        <v>5294</v>
      </c>
      <c r="E105" s="56">
        <v>46021.0</v>
      </c>
      <c r="F105" s="56">
        <v>46022.0</v>
      </c>
    </row>
    <row r="106">
      <c r="A106" s="51" t="s">
        <v>5642</v>
      </c>
      <c r="B106" s="51" t="s">
        <v>5643</v>
      </c>
      <c r="C106" s="51" t="s">
        <v>5578</v>
      </c>
      <c r="D106" s="51" t="s">
        <v>5294</v>
      </c>
      <c r="E106" s="56">
        <v>46019.0</v>
      </c>
      <c r="F106" s="56">
        <v>46020.0</v>
      </c>
    </row>
    <row r="107">
      <c r="A107" s="51" t="s">
        <v>5644</v>
      </c>
      <c r="B107" s="51" t="s">
        <v>5645</v>
      </c>
      <c r="C107" s="51" t="s">
        <v>5562</v>
      </c>
      <c r="D107" s="51" t="s">
        <v>5294</v>
      </c>
      <c r="E107" s="56">
        <v>46014.0</v>
      </c>
      <c r="F107" s="56">
        <v>46015.0</v>
      </c>
    </row>
    <row r="108">
      <c r="A108" s="51" t="s">
        <v>5646</v>
      </c>
      <c r="B108" s="51" t="s">
        <v>5647</v>
      </c>
      <c r="C108" s="51" t="s">
        <v>1564</v>
      </c>
      <c r="D108" s="51" t="s">
        <v>5294</v>
      </c>
      <c r="E108" s="56">
        <v>46002.0</v>
      </c>
      <c r="F108" s="56">
        <v>46003.0</v>
      </c>
    </row>
    <row r="109">
      <c r="A109" s="51" t="s">
        <v>5648</v>
      </c>
      <c r="B109" s="51" t="s">
        <v>5649</v>
      </c>
      <c r="C109" s="51" t="s">
        <v>5650</v>
      </c>
      <c r="D109" s="51" t="s">
        <v>5294</v>
      </c>
      <c r="E109" s="56">
        <v>45989.0</v>
      </c>
      <c r="F109" s="56">
        <v>45991.0</v>
      </c>
    </row>
    <row r="110">
      <c r="A110" s="51" t="s">
        <v>5651</v>
      </c>
      <c r="B110" s="51" t="s">
        <v>5652</v>
      </c>
      <c r="C110" s="51" t="s">
        <v>5653</v>
      </c>
      <c r="D110" s="51" t="s">
        <v>5294</v>
      </c>
      <c r="E110" s="56">
        <v>45976.0</v>
      </c>
      <c r="F110" s="56">
        <v>45977.0</v>
      </c>
    </row>
    <row r="111">
      <c r="A111" s="51" t="s">
        <v>5654</v>
      </c>
      <c r="B111" s="51" t="s">
        <v>5655</v>
      </c>
      <c r="C111" s="51" t="s">
        <v>5656</v>
      </c>
      <c r="D111" s="51" t="s">
        <v>5294</v>
      </c>
      <c r="E111" s="56">
        <v>45948.0</v>
      </c>
      <c r="F111" s="56">
        <v>45950.0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3" width="24.38"/>
    <col customWidth="1" min="5" max="5" width="19.13"/>
  </cols>
  <sheetData>
    <row r="1">
      <c r="A1" s="51" t="s">
        <v>5278</v>
      </c>
      <c r="B1" s="51" t="s">
        <v>5279</v>
      </c>
      <c r="C1" s="51" t="s">
        <v>5657</v>
      </c>
    </row>
    <row r="2">
      <c r="A2" s="52" t="s">
        <v>5388</v>
      </c>
      <c r="B2" s="52" t="s">
        <v>5658</v>
      </c>
      <c r="C2" s="52" t="s">
        <v>5372</v>
      </c>
    </row>
    <row r="3">
      <c r="A3" s="52" t="s">
        <v>5385</v>
      </c>
      <c r="B3" s="52" t="s">
        <v>5659</v>
      </c>
      <c r="C3" s="52" t="s">
        <v>5372</v>
      </c>
    </row>
    <row r="4">
      <c r="A4" s="52" t="s">
        <v>5660</v>
      </c>
      <c r="B4" s="52" t="s">
        <v>5658</v>
      </c>
      <c r="C4" s="52" t="s">
        <v>5372</v>
      </c>
    </row>
    <row r="5">
      <c r="A5" s="52" t="s">
        <v>5376</v>
      </c>
      <c r="B5" s="52" t="s">
        <v>187</v>
      </c>
      <c r="C5" s="52" t="s">
        <v>5372</v>
      </c>
    </row>
    <row r="6">
      <c r="A6" s="52" t="s">
        <v>5383</v>
      </c>
      <c r="B6" s="52" t="s">
        <v>187</v>
      </c>
      <c r="C6" s="52" t="s">
        <v>5372</v>
      </c>
    </row>
    <row r="7">
      <c r="A7" s="52" t="s">
        <v>5387</v>
      </c>
      <c r="B7" s="52" t="s">
        <v>5659</v>
      </c>
      <c r="C7" s="52" t="s">
        <v>5372</v>
      </c>
    </row>
    <row r="8">
      <c r="A8" s="52" t="s">
        <v>5386</v>
      </c>
      <c r="B8" s="52" t="s">
        <v>5659</v>
      </c>
      <c r="C8" s="52" t="s">
        <v>5372</v>
      </c>
    </row>
    <row r="9">
      <c r="A9" s="52" t="s">
        <v>5381</v>
      </c>
      <c r="B9" s="52" t="s">
        <v>187</v>
      </c>
      <c r="C9" s="52" t="s">
        <v>5372</v>
      </c>
    </row>
    <row r="10">
      <c r="A10" s="52" t="s">
        <v>5661</v>
      </c>
      <c r="B10" s="52" t="s">
        <v>5659</v>
      </c>
      <c r="C10" s="52" t="s">
        <v>5372</v>
      </c>
    </row>
    <row r="11">
      <c r="A11" s="52" t="s">
        <v>5387</v>
      </c>
      <c r="B11" s="52" t="s">
        <v>5659</v>
      </c>
      <c r="C11" s="52" t="s">
        <v>5372</v>
      </c>
    </row>
    <row r="12">
      <c r="A12" s="52" t="s">
        <v>5385</v>
      </c>
      <c r="B12" s="52" t="s">
        <v>5659</v>
      </c>
      <c r="C12" s="52" t="s">
        <v>5372</v>
      </c>
    </row>
    <row r="13">
      <c r="A13" s="52" t="s">
        <v>5385</v>
      </c>
      <c r="B13" s="52" t="s">
        <v>5659</v>
      </c>
      <c r="C13" s="52" t="s">
        <v>5372</v>
      </c>
    </row>
    <row r="14">
      <c r="A14" s="52" t="s">
        <v>5387</v>
      </c>
      <c r="B14" s="52" t="s">
        <v>5659</v>
      </c>
      <c r="C14" s="52" t="s">
        <v>5372</v>
      </c>
    </row>
    <row r="15">
      <c r="A15" s="52" t="s">
        <v>5383</v>
      </c>
      <c r="B15" s="52" t="s">
        <v>187</v>
      </c>
      <c r="C15" s="52" t="s">
        <v>5372</v>
      </c>
    </row>
    <row r="16">
      <c r="A16" s="52" t="s">
        <v>5660</v>
      </c>
      <c r="B16" s="52" t="s">
        <v>5658</v>
      </c>
      <c r="C16" s="52" t="s">
        <v>5372</v>
      </c>
    </row>
    <row r="17">
      <c r="A17" s="52" t="s">
        <v>5662</v>
      </c>
      <c r="B17" s="52" t="s">
        <v>187</v>
      </c>
      <c r="C17" s="52" t="s">
        <v>5663</v>
      </c>
    </row>
    <row r="18">
      <c r="A18" s="52" t="s">
        <v>5664</v>
      </c>
      <c r="B18" s="52" t="s">
        <v>187</v>
      </c>
      <c r="C18" s="52" t="s">
        <v>5663</v>
      </c>
    </row>
    <row r="19">
      <c r="A19" s="52" t="s">
        <v>5662</v>
      </c>
      <c r="B19" s="52" t="s">
        <v>187</v>
      </c>
      <c r="C19" s="52" t="s">
        <v>5663</v>
      </c>
    </row>
    <row r="20">
      <c r="A20" s="52" t="s">
        <v>5665</v>
      </c>
      <c r="B20" s="52" t="s">
        <v>5666</v>
      </c>
      <c r="C20" s="52" t="s">
        <v>5663</v>
      </c>
    </row>
    <row r="21">
      <c r="A21" s="52" t="s">
        <v>5662</v>
      </c>
      <c r="B21" s="52" t="s">
        <v>187</v>
      </c>
      <c r="C21" s="52" t="s">
        <v>5663</v>
      </c>
    </row>
    <row r="22">
      <c r="A22" s="52" t="s">
        <v>5386</v>
      </c>
      <c r="B22" s="52" t="s">
        <v>5659</v>
      </c>
      <c r="C22" s="52" t="s">
        <v>5372</v>
      </c>
    </row>
    <row r="23">
      <c r="A23" s="52" t="s">
        <v>5376</v>
      </c>
      <c r="B23" s="52" t="s">
        <v>187</v>
      </c>
      <c r="C23" s="52" t="s">
        <v>5372</v>
      </c>
    </row>
    <row r="24">
      <c r="A24" s="52" t="s">
        <v>5376</v>
      </c>
      <c r="B24" s="52" t="s">
        <v>187</v>
      </c>
      <c r="C24" s="52" t="s">
        <v>5372</v>
      </c>
    </row>
    <row r="25">
      <c r="A25" s="52" t="s">
        <v>5388</v>
      </c>
      <c r="B25" s="52" t="s">
        <v>5658</v>
      </c>
      <c r="C25" s="52" t="s">
        <v>5372</v>
      </c>
    </row>
    <row r="26">
      <c r="A26" s="52" t="s">
        <v>5388</v>
      </c>
      <c r="B26" s="52" t="s">
        <v>5658</v>
      </c>
      <c r="C26" s="52" t="s">
        <v>5372</v>
      </c>
    </row>
    <row r="27">
      <c r="A27" s="52" t="s">
        <v>5662</v>
      </c>
      <c r="B27" s="52" t="s">
        <v>187</v>
      </c>
      <c r="C27" s="52" t="s">
        <v>5663</v>
      </c>
    </row>
    <row r="28">
      <c r="A28" s="52" t="s">
        <v>5664</v>
      </c>
      <c r="B28" s="52" t="s">
        <v>187</v>
      </c>
      <c r="C28" s="52" t="s">
        <v>5663</v>
      </c>
    </row>
    <row r="29">
      <c r="A29" s="52" t="s">
        <v>5380</v>
      </c>
      <c r="B29" s="52" t="s">
        <v>187</v>
      </c>
      <c r="C29" s="52" t="s">
        <v>5372</v>
      </c>
    </row>
    <row r="30">
      <c r="A30" s="52" t="s">
        <v>5667</v>
      </c>
      <c r="B30" s="52" t="s">
        <v>187</v>
      </c>
      <c r="C30" s="52" t="s">
        <v>5663</v>
      </c>
    </row>
    <row r="31">
      <c r="A31" s="52" t="s">
        <v>5387</v>
      </c>
      <c r="B31" s="52" t="s">
        <v>5659</v>
      </c>
      <c r="C31" s="52" t="s">
        <v>5372</v>
      </c>
    </row>
    <row r="32">
      <c r="A32" s="52" t="s">
        <v>5664</v>
      </c>
      <c r="B32" s="52" t="s">
        <v>187</v>
      </c>
      <c r="C32" s="52" t="s">
        <v>5663</v>
      </c>
    </row>
    <row r="33">
      <c r="A33" s="52" t="s">
        <v>5662</v>
      </c>
      <c r="B33" s="52" t="s">
        <v>187</v>
      </c>
      <c r="C33" s="52" t="s">
        <v>5663</v>
      </c>
    </row>
    <row r="34">
      <c r="A34" s="52" t="s">
        <v>5668</v>
      </c>
      <c r="B34" s="52" t="s">
        <v>5658</v>
      </c>
      <c r="C34" s="52" t="s">
        <v>5372</v>
      </c>
    </row>
    <row r="35">
      <c r="A35" s="52" t="s">
        <v>5668</v>
      </c>
      <c r="B35" s="52" t="s">
        <v>5658</v>
      </c>
      <c r="C35" s="52" t="s">
        <v>5372</v>
      </c>
    </row>
    <row r="36">
      <c r="A36" s="52" t="s">
        <v>5668</v>
      </c>
      <c r="B36" s="52" t="s">
        <v>5658</v>
      </c>
      <c r="C36" s="52" t="s">
        <v>5372</v>
      </c>
    </row>
    <row r="37">
      <c r="A37" s="52" t="s">
        <v>5383</v>
      </c>
      <c r="B37" s="52" t="s">
        <v>187</v>
      </c>
      <c r="C37" s="52" t="s">
        <v>5372</v>
      </c>
    </row>
    <row r="38">
      <c r="A38" s="52" t="s">
        <v>5383</v>
      </c>
      <c r="B38" s="52" t="s">
        <v>187</v>
      </c>
      <c r="C38" s="52" t="s">
        <v>5372</v>
      </c>
    </row>
    <row r="39">
      <c r="A39" s="52" t="s">
        <v>5386</v>
      </c>
      <c r="B39" s="52" t="s">
        <v>5659</v>
      </c>
      <c r="C39" s="52" t="s">
        <v>5372</v>
      </c>
    </row>
    <row r="40">
      <c r="A40" s="52" t="s">
        <v>5389</v>
      </c>
      <c r="B40" s="52" t="s">
        <v>187</v>
      </c>
      <c r="C40" s="52" t="s">
        <v>5372</v>
      </c>
    </row>
    <row r="41">
      <c r="A41" s="52" t="s">
        <v>5664</v>
      </c>
      <c r="B41" s="52" t="s">
        <v>187</v>
      </c>
      <c r="C41" s="52" t="s">
        <v>5663</v>
      </c>
    </row>
    <row r="42">
      <c r="A42" s="52" t="s">
        <v>5662</v>
      </c>
      <c r="B42" s="52" t="s">
        <v>187</v>
      </c>
      <c r="C42" s="52" t="s">
        <v>5663</v>
      </c>
    </row>
    <row r="43">
      <c r="A43" s="52" t="s">
        <v>5380</v>
      </c>
      <c r="B43" s="52" t="s">
        <v>187</v>
      </c>
      <c r="C43" s="52" t="s">
        <v>5372</v>
      </c>
    </row>
    <row r="44">
      <c r="A44" s="52" t="s">
        <v>5387</v>
      </c>
      <c r="B44" s="52" t="s">
        <v>5659</v>
      </c>
      <c r="C44" s="52" t="s">
        <v>5372</v>
      </c>
    </row>
    <row r="45">
      <c r="A45" s="52" t="s">
        <v>5662</v>
      </c>
      <c r="B45" s="52" t="s">
        <v>187</v>
      </c>
      <c r="C45" s="52" t="s">
        <v>5663</v>
      </c>
    </row>
    <row r="46">
      <c r="A46" s="52" t="s">
        <v>5380</v>
      </c>
      <c r="B46" s="52" t="s">
        <v>187</v>
      </c>
      <c r="C46" s="52" t="s">
        <v>5372</v>
      </c>
    </row>
    <row r="47">
      <c r="A47" s="52" t="s">
        <v>5388</v>
      </c>
      <c r="B47" s="52" t="s">
        <v>5658</v>
      </c>
      <c r="C47" s="52" t="s">
        <v>5372</v>
      </c>
    </row>
    <row r="48">
      <c r="A48" s="52" t="s">
        <v>5664</v>
      </c>
      <c r="B48" s="52" t="s">
        <v>187</v>
      </c>
      <c r="C48" s="52" t="s">
        <v>5663</v>
      </c>
    </row>
    <row r="49">
      <c r="A49" s="52" t="s">
        <v>5383</v>
      </c>
      <c r="B49" s="52" t="s">
        <v>187</v>
      </c>
      <c r="C49" s="52" t="s">
        <v>5372</v>
      </c>
    </row>
    <row r="50">
      <c r="A50" s="52" t="s">
        <v>5381</v>
      </c>
      <c r="B50" s="52" t="s">
        <v>187</v>
      </c>
      <c r="C50" s="52" t="s">
        <v>5372</v>
      </c>
    </row>
    <row r="51">
      <c r="A51" s="52" t="s">
        <v>5381</v>
      </c>
      <c r="B51" s="52" t="s">
        <v>187</v>
      </c>
      <c r="C51" s="52" t="s">
        <v>5372</v>
      </c>
    </row>
    <row r="52">
      <c r="A52" s="52" t="s">
        <v>5376</v>
      </c>
      <c r="B52" s="52" t="s">
        <v>187</v>
      </c>
      <c r="C52" s="52" t="s">
        <v>5372</v>
      </c>
    </row>
    <row r="53">
      <c r="A53" s="52" t="s">
        <v>5385</v>
      </c>
      <c r="B53" s="52" t="s">
        <v>5659</v>
      </c>
      <c r="C53" s="52" t="s">
        <v>5372</v>
      </c>
    </row>
    <row r="54">
      <c r="A54" s="52" t="s">
        <v>5385</v>
      </c>
      <c r="B54" s="52" t="s">
        <v>5659</v>
      </c>
      <c r="C54" s="52" t="s">
        <v>5372</v>
      </c>
    </row>
    <row r="55">
      <c r="A55" s="52" t="s">
        <v>5388</v>
      </c>
      <c r="B55" s="52" t="s">
        <v>5658</v>
      </c>
      <c r="C55" s="52" t="s">
        <v>5372</v>
      </c>
    </row>
    <row r="56">
      <c r="A56" s="52" t="s">
        <v>5669</v>
      </c>
      <c r="B56" s="52" t="s">
        <v>5659</v>
      </c>
      <c r="C56" s="52" t="s">
        <v>5372</v>
      </c>
    </row>
    <row r="57">
      <c r="A57" s="52" t="s">
        <v>5660</v>
      </c>
      <c r="B57" s="52" t="s">
        <v>5658</v>
      </c>
      <c r="C57" s="52" t="s">
        <v>5372</v>
      </c>
    </row>
    <row r="58">
      <c r="A58" s="52" t="s">
        <v>5662</v>
      </c>
      <c r="B58" s="52" t="s">
        <v>187</v>
      </c>
      <c r="C58" s="52" t="s">
        <v>5663</v>
      </c>
    </row>
    <row r="59">
      <c r="A59" s="52" t="s">
        <v>5660</v>
      </c>
      <c r="B59" s="52" t="s">
        <v>5658</v>
      </c>
      <c r="C59" s="52" t="s">
        <v>5372</v>
      </c>
    </row>
    <row r="60">
      <c r="A60" s="52" t="s">
        <v>5660</v>
      </c>
      <c r="B60" s="52" t="s">
        <v>5658</v>
      </c>
      <c r="C60" s="52" t="s">
        <v>5372</v>
      </c>
    </row>
    <row r="61">
      <c r="A61" s="52" t="s">
        <v>5381</v>
      </c>
      <c r="B61" s="52" t="s">
        <v>187</v>
      </c>
      <c r="C61" s="52" t="s">
        <v>5372</v>
      </c>
    </row>
    <row r="62">
      <c r="A62" s="52" t="s">
        <v>5388</v>
      </c>
      <c r="B62" s="52" t="s">
        <v>5658</v>
      </c>
      <c r="C62" s="52" t="s">
        <v>5372</v>
      </c>
    </row>
    <row r="63">
      <c r="A63" s="52" t="s">
        <v>5388</v>
      </c>
      <c r="B63" s="52" t="s">
        <v>5658</v>
      </c>
      <c r="C63" s="52" t="s">
        <v>5372</v>
      </c>
    </row>
    <row r="64">
      <c r="A64" s="52" t="s">
        <v>5381</v>
      </c>
      <c r="B64" s="52" t="s">
        <v>187</v>
      </c>
      <c r="C64" s="52" t="s">
        <v>5372</v>
      </c>
    </row>
    <row r="65">
      <c r="A65" s="52" t="s">
        <v>5667</v>
      </c>
      <c r="B65" s="52" t="s">
        <v>187</v>
      </c>
      <c r="C65" s="52" t="s">
        <v>5663</v>
      </c>
    </row>
    <row r="66">
      <c r="A66" s="52" t="s">
        <v>5670</v>
      </c>
      <c r="B66" s="52" t="s">
        <v>5658</v>
      </c>
      <c r="C66" s="52" t="s">
        <v>5372</v>
      </c>
    </row>
    <row r="67">
      <c r="A67" s="52" t="s">
        <v>5670</v>
      </c>
      <c r="B67" s="52" t="s">
        <v>5658</v>
      </c>
      <c r="C67" s="52" t="s">
        <v>5372</v>
      </c>
    </row>
    <row r="68">
      <c r="A68" s="52" t="s">
        <v>5670</v>
      </c>
      <c r="B68" s="52" t="s">
        <v>5658</v>
      </c>
      <c r="C68" s="52" t="s">
        <v>5372</v>
      </c>
    </row>
    <row r="69">
      <c r="A69" s="52" t="s">
        <v>5389</v>
      </c>
      <c r="B69" s="52" t="s">
        <v>187</v>
      </c>
      <c r="C69" s="52" t="s">
        <v>5372</v>
      </c>
    </row>
    <row r="70">
      <c r="A70" s="52" t="s">
        <v>5387</v>
      </c>
      <c r="B70" s="52" t="s">
        <v>5659</v>
      </c>
      <c r="C70" s="52" t="s">
        <v>5372</v>
      </c>
    </row>
    <row r="71">
      <c r="A71" s="52" t="s">
        <v>5661</v>
      </c>
      <c r="B71" s="52" t="s">
        <v>5659</v>
      </c>
      <c r="C71" s="52" t="s">
        <v>5372</v>
      </c>
    </row>
    <row r="72">
      <c r="A72" s="52" t="s">
        <v>5671</v>
      </c>
      <c r="B72" s="52" t="s">
        <v>187</v>
      </c>
      <c r="C72" s="52" t="s">
        <v>5663</v>
      </c>
    </row>
    <row r="73">
      <c r="A73" s="52" t="s">
        <v>5672</v>
      </c>
      <c r="B73" s="52" t="s">
        <v>187</v>
      </c>
      <c r="C73" s="52" t="s">
        <v>5663</v>
      </c>
    </row>
    <row r="74">
      <c r="A74" s="52" t="s">
        <v>5664</v>
      </c>
      <c r="B74" s="52" t="s">
        <v>187</v>
      </c>
      <c r="C74" s="52" t="s">
        <v>5663</v>
      </c>
    </row>
    <row r="75">
      <c r="A75" s="52" t="s">
        <v>59</v>
      </c>
      <c r="B75" s="52" t="s">
        <v>60</v>
      </c>
      <c r="C75" s="52" t="s">
        <v>5338</v>
      </c>
    </row>
    <row r="76">
      <c r="A76" s="52" t="s">
        <v>5673</v>
      </c>
      <c r="B76" s="52" t="s">
        <v>60</v>
      </c>
      <c r="C76" s="52" t="s">
        <v>5338</v>
      </c>
    </row>
    <row r="77">
      <c r="A77" s="52" t="s">
        <v>5674</v>
      </c>
      <c r="B77" s="52" t="s">
        <v>60</v>
      </c>
      <c r="C77" s="52" t="s">
        <v>5338</v>
      </c>
    </row>
    <row r="78">
      <c r="A78" s="52" t="s">
        <v>5394</v>
      </c>
      <c r="B78" s="52" t="s">
        <v>60</v>
      </c>
      <c r="C78" s="52" t="s">
        <v>5338</v>
      </c>
    </row>
    <row r="79">
      <c r="A79" s="52" t="s">
        <v>59</v>
      </c>
      <c r="B79" s="52" t="s">
        <v>60</v>
      </c>
      <c r="C79" s="52" t="s">
        <v>5338</v>
      </c>
    </row>
    <row r="80">
      <c r="A80" s="52" t="s">
        <v>59</v>
      </c>
      <c r="B80" s="52" t="s">
        <v>60</v>
      </c>
      <c r="C80" s="52" t="s">
        <v>5338</v>
      </c>
    </row>
    <row r="81">
      <c r="A81" s="52" t="s">
        <v>5675</v>
      </c>
      <c r="B81" s="52" t="s">
        <v>60</v>
      </c>
      <c r="C81" s="52" t="s">
        <v>5338</v>
      </c>
    </row>
    <row r="82">
      <c r="A82" s="52" t="s">
        <v>5676</v>
      </c>
      <c r="B82" s="52" t="s">
        <v>5677</v>
      </c>
      <c r="C82" s="52" t="s">
        <v>5373</v>
      </c>
    </row>
    <row r="83">
      <c r="A83" s="52" t="s">
        <v>5678</v>
      </c>
      <c r="B83" s="52" t="s">
        <v>60</v>
      </c>
      <c r="C83" s="52" t="s">
        <v>5338</v>
      </c>
    </row>
    <row r="84">
      <c r="A84" s="52" t="s">
        <v>5679</v>
      </c>
      <c r="B84" s="52" t="s">
        <v>5680</v>
      </c>
      <c r="C84" s="52" t="s">
        <v>5373</v>
      </c>
    </row>
    <row r="85">
      <c r="A85" s="52" t="s">
        <v>5681</v>
      </c>
      <c r="B85" s="52" t="s">
        <v>60</v>
      </c>
      <c r="C85" s="52" t="s">
        <v>5338</v>
      </c>
    </row>
    <row r="86">
      <c r="A86" s="52" t="s">
        <v>5678</v>
      </c>
      <c r="B86" s="52" t="s">
        <v>60</v>
      </c>
      <c r="C86" s="52" t="s">
        <v>5338</v>
      </c>
    </row>
    <row r="87">
      <c r="A87" s="52" t="s">
        <v>5678</v>
      </c>
      <c r="B87" s="52" t="s">
        <v>60</v>
      </c>
      <c r="C87" s="52" t="s">
        <v>5338</v>
      </c>
    </row>
    <row r="88">
      <c r="A88" s="52" t="s">
        <v>59</v>
      </c>
      <c r="B88" s="52" t="s">
        <v>60</v>
      </c>
      <c r="C88" s="52" t="s">
        <v>5338</v>
      </c>
    </row>
    <row r="89">
      <c r="A89" s="52" t="s">
        <v>5678</v>
      </c>
      <c r="B89" s="52" t="s">
        <v>60</v>
      </c>
      <c r="C89" s="52" t="s">
        <v>5338</v>
      </c>
    </row>
    <row r="90">
      <c r="A90" s="52" t="s">
        <v>5681</v>
      </c>
      <c r="B90" s="52" t="s">
        <v>60</v>
      </c>
      <c r="C90" s="52" t="s">
        <v>5338</v>
      </c>
    </row>
    <row r="91">
      <c r="A91" s="52" t="s">
        <v>5682</v>
      </c>
      <c r="B91" s="52" t="s">
        <v>60</v>
      </c>
      <c r="C91" s="52" t="s">
        <v>5338</v>
      </c>
    </row>
    <row r="92">
      <c r="A92" s="52" t="s">
        <v>5683</v>
      </c>
      <c r="B92" s="52" t="s">
        <v>60</v>
      </c>
      <c r="C92" s="52" t="s">
        <v>5338</v>
      </c>
    </row>
    <row r="93">
      <c r="A93" s="52" t="s">
        <v>5673</v>
      </c>
      <c r="B93" s="52" t="s">
        <v>60</v>
      </c>
      <c r="C93" s="52" t="s">
        <v>5338</v>
      </c>
    </row>
    <row r="94">
      <c r="A94" s="52" t="s">
        <v>5684</v>
      </c>
      <c r="B94" s="52" t="s">
        <v>5685</v>
      </c>
      <c r="C94" s="52" t="s">
        <v>5338</v>
      </c>
    </row>
    <row r="95">
      <c r="A95" s="52" t="s">
        <v>5678</v>
      </c>
      <c r="B95" s="52" t="s">
        <v>60</v>
      </c>
      <c r="C95" s="52" t="s">
        <v>5338</v>
      </c>
    </row>
    <row r="96">
      <c r="A96" s="52" t="s">
        <v>5686</v>
      </c>
      <c r="B96" s="52" t="s">
        <v>5685</v>
      </c>
      <c r="C96" s="52" t="s">
        <v>5338</v>
      </c>
    </row>
    <row r="97">
      <c r="A97" s="52" t="s">
        <v>5684</v>
      </c>
      <c r="B97" s="52" t="s">
        <v>5685</v>
      </c>
      <c r="C97" s="52" t="s">
        <v>5338</v>
      </c>
    </row>
    <row r="98">
      <c r="A98" s="52" t="s">
        <v>5687</v>
      </c>
      <c r="B98" s="52" t="s">
        <v>5688</v>
      </c>
      <c r="C98" s="52" t="s">
        <v>5373</v>
      </c>
    </row>
    <row r="99">
      <c r="A99" s="52" t="s">
        <v>5687</v>
      </c>
      <c r="B99" s="52" t="s">
        <v>5688</v>
      </c>
      <c r="C99" s="52" t="s">
        <v>5373</v>
      </c>
    </row>
    <row r="100">
      <c r="A100" s="52" t="s">
        <v>5689</v>
      </c>
      <c r="B100" s="52" t="s">
        <v>60</v>
      </c>
      <c r="C100" s="52" t="s">
        <v>5338</v>
      </c>
    </row>
    <row r="101">
      <c r="A101" s="52" t="s">
        <v>5690</v>
      </c>
      <c r="B101" s="52" t="s">
        <v>60</v>
      </c>
      <c r="C101" s="52" t="s">
        <v>5338</v>
      </c>
    </row>
    <row r="102">
      <c r="A102" s="52" t="s">
        <v>59</v>
      </c>
      <c r="B102" s="52" t="s">
        <v>60</v>
      </c>
      <c r="C102" s="52" t="s">
        <v>5338</v>
      </c>
    </row>
    <row r="103">
      <c r="A103" s="52" t="s">
        <v>5691</v>
      </c>
      <c r="B103" s="52" t="s">
        <v>60</v>
      </c>
      <c r="C103" s="52" t="s">
        <v>5338</v>
      </c>
    </row>
    <row r="104">
      <c r="A104" s="52" t="s">
        <v>5692</v>
      </c>
      <c r="B104" s="52" t="s">
        <v>5677</v>
      </c>
      <c r="C104" s="52" t="s">
        <v>5373</v>
      </c>
    </row>
    <row r="105">
      <c r="A105" s="52" t="s">
        <v>5681</v>
      </c>
      <c r="B105" s="52" t="s">
        <v>60</v>
      </c>
      <c r="C105" s="52" t="s">
        <v>5338</v>
      </c>
    </row>
    <row r="106">
      <c r="A106" s="52" t="s">
        <v>5693</v>
      </c>
      <c r="B106" s="52" t="s">
        <v>5688</v>
      </c>
      <c r="C106" s="52" t="s">
        <v>5373</v>
      </c>
    </row>
    <row r="107">
      <c r="A107" s="52" t="s">
        <v>5694</v>
      </c>
      <c r="B107" s="52" t="s">
        <v>5695</v>
      </c>
      <c r="C107" s="52" t="s">
        <v>5338</v>
      </c>
    </row>
    <row r="108">
      <c r="A108" s="52" t="s">
        <v>5694</v>
      </c>
      <c r="B108" s="52" t="s">
        <v>5695</v>
      </c>
      <c r="C108" s="52" t="s">
        <v>5338</v>
      </c>
    </row>
    <row r="109">
      <c r="A109" s="52" t="s">
        <v>5694</v>
      </c>
      <c r="B109" s="52" t="s">
        <v>5695</v>
      </c>
      <c r="C109" s="52" t="s">
        <v>5338</v>
      </c>
    </row>
    <row r="110">
      <c r="A110" s="52" t="s">
        <v>5696</v>
      </c>
      <c r="B110" s="52" t="s">
        <v>60</v>
      </c>
      <c r="C110" s="52" t="s">
        <v>5338</v>
      </c>
    </row>
    <row r="111">
      <c r="A111" s="52" t="s">
        <v>5697</v>
      </c>
      <c r="B111" s="52" t="s">
        <v>60</v>
      </c>
      <c r="C111" s="52" t="s">
        <v>5338</v>
      </c>
    </row>
    <row r="112">
      <c r="A112" s="52" t="s">
        <v>5698</v>
      </c>
      <c r="B112" s="52" t="s">
        <v>5677</v>
      </c>
      <c r="C112" s="52" t="s">
        <v>5373</v>
      </c>
    </row>
    <row r="113">
      <c r="A113" s="52" t="s">
        <v>5699</v>
      </c>
      <c r="B113" s="52" t="s">
        <v>5695</v>
      </c>
      <c r="C113" s="52" t="s">
        <v>5338</v>
      </c>
    </row>
    <row r="114">
      <c r="A114" s="52" t="s">
        <v>5699</v>
      </c>
      <c r="B114" s="52" t="s">
        <v>5695</v>
      </c>
      <c r="C114" s="52" t="s">
        <v>5338</v>
      </c>
    </row>
    <row r="115">
      <c r="A115" s="52" t="s">
        <v>5380</v>
      </c>
      <c r="B115" s="52" t="s">
        <v>187</v>
      </c>
      <c r="C115" s="52" t="s">
        <v>5372</v>
      </c>
    </row>
    <row r="116">
      <c r="A116" s="52" t="s">
        <v>5383</v>
      </c>
      <c r="B116" s="52" t="s">
        <v>187</v>
      </c>
      <c r="C116" s="52" t="s">
        <v>5372</v>
      </c>
    </row>
    <row r="117">
      <c r="A117" s="52" t="s">
        <v>5383</v>
      </c>
      <c r="B117" s="52" t="s">
        <v>187</v>
      </c>
      <c r="C117" s="52" t="s">
        <v>5372</v>
      </c>
    </row>
    <row r="118">
      <c r="A118" s="52" t="s">
        <v>5383</v>
      </c>
      <c r="B118" s="52" t="s">
        <v>187</v>
      </c>
      <c r="C118" s="52" t="s">
        <v>5372</v>
      </c>
    </row>
    <row r="119">
      <c r="A119" s="52" t="s">
        <v>5383</v>
      </c>
      <c r="B119" s="52" t="s">
        <v>187</v>
      </c>
      <c r="C119" s="52" t="s">
        <v>5372</v>
      </c>
    </row>
    <row r="120">
      <c r="A120" s="52" t="s">
        <v>5383</v>
      </c>
      <c r="B120" s="52" t="s">
        <v>187</v>
      </c>
      <c r="C120" s="52" t="s">
        <v>5372</v>
      </c>
    </row>
    <row r="121">
      <c r="A121" s="52" t="s">
        <v>5700</v>
      </c>
      <c r="B121" s="52" t="s">
        <v>5659</v>
      </c>
      <c r="C121" s="52" t="s">
        <v>5372</v>
      </c>
    </row>
    <row r="122">
      <c r="A122" s="52" t="s">
        <v>5388</v>
      </c>
      <c r="B122" s="52" t="s">
        <v>5658</v>
      </c>
      <c r="C122" s="52" t="s">
        <v>5372</v>
      </c>
    </row>
    <row r="123">
      <c r="A123" s="52" t="s">
        <v>5670</v>
      </c>
      <c r="B123" s="52" t="s">
        <v>5658</v>
      </c>
      <c r="C123" s="52" t="s">
        <v>5372</v>
      </c>
    </row>
    <row r="124">
      <c r="A124" s="52" t="s">
        <v>5388</v>
      </c>
      <c r="B124" s="52" t="s">
        <v>5658</v>
      </c>
      <c r="C124" s="52" t="s">
        <v>5372</v>
      </c>
    </row>
    <row r="125">
      <c r="A125" s="52" t="s">
        <v>5383</v>
      </c>
      <c r="B125" s="52" t="s">
        <v>187</v>
      </c>
      <c r="C125" s="52" t="s">
        <v>5372</v>
      </c>
    </row>
    <row r="126">
      <c r="A126" s="52" t="s">
        <v>5376</v>
      </c>
      <c r="B126" s="52" t="s">
        <v>187</v>
      </c>
      <c r="C126" s="52" t="s">
        <v>5372</v>
      </c>
    </row>
    <row r="127">
      <c r="A127" s="52" t="s">
        <v>5387</v>
      </c>
      <c r="B127" s="52" t="s">
        <v>5659</v>
      </c>
      <c r="C127" s="52" t="s">
        <v>5372</v>
      </c>
    </row>
    <row r="128">
      <c r="A128" s="52" t="s">
        <v>5670</v>
      </c>
      <c r="B128" s="52" t="s">
        <v>5658</v>
      </c>
      <c r="C128" s="52" t="s">
        <v>5372</v>
      </c>
    </row>
    <row r="129">
      <c r="A129" s="52" t="s">
        <v>5701</v>
      </c>
      <c r="B129" s="52" t="s">
        <v>5702</v>
      </c>
      <c r="C129" s="52" t="s">
        <v>5372</v>
      </c>
    </row>
    <row r="130">
      <c r="A130" s="52" t="s">
        <v>5668</v>
      </c>
      <c r="B130" s="52" t="s">
        <v>5658</v>
      </c>
      <c r="C130" s="52" t="s">
        <v>5372</v>
      </c>
    </row>
    <row r="131">
      <c r="A131" s="52" t="s">
        <v>5381</v>
      </c>
      <c r="B131" s="52" t="s">
        <v>187</v>
      </c>
      <c r="C131" s="52" t="s">
        <v>5372</v>
      </c>
    </row>
    <row r="132">
      <c r="A132" s="52" t="s">
        <v>5670</v>
      </c>
      <c r="B132" s="52" t="s">
        <v>5658</v>
      </c>
      <c r="C132" s="52" t="s">
        <v>5372</v>
      </c>
    </row>
    <row r="133">
      <c r="A133" s="52" t="s">
        <v>5387</v>
      </c>
      <c r="B133" s="52" t="s">
        <v>5659</v>
      </c>
      <c r="C133" s="52" t="s">
        <v>5372</v>
      </c>
    </row>
    <row r="134">
      <c r="A134" s="52" t="s">
        <v>5670</v>
      </c>
      <c r="B134" s="52" t="s">
        <v>5658</v>
      </c>
      <c r="C134" s="52" t="s">
        <v>5372</v>
      </c>
    </row>
    <row r="135">
      <c r="A135" s="52" t="s">
        <v>5661</v>
      </c>
      <c r="B135" s="52" t="s">
        <v>5659</v>
      </c>
      <c r="C135" s="52" t="s">
        <v>5372</v>
      </c>
    </row>
    <row r="136">
      <c r="A136" s="52" t="s">
        <v>5385</v>
      </c>
      <c r="B136" s="52" t="s">
        <v>5659</v>
      </c>
      <c r="C136" s="52" t="s">
        <v>5372</v>
      </c>
    </row>
    <row r="137">
      <c r="A137" s="52" t="s">
        <v>5701</v>
      </c>
      <c r="B137" s="52" t="s">
        <v>5702</v>
      </c>
      <c r="C137" s="52" t="s">
        <v>5372</v>
      </c>
    </row>
    <row r="138">
      <c r="A138" s="52" t="s">
        <v>5376</v>
      </c>
      <c r="B138" s="52" t="s">
        <v>187</v>
      </c>
      <c r="C138" s="52" t="s">
        <v>5372</v>
      </c>
    </row>
    <row r="139">
      <c r="A139" s="52" t="s">
        <v>5660</v>
      </c>
      <c r="B139" s="52" t="s">
        <v>5658</v>
      </c>
      <c r="C139" s="52" t="s">
        <v>5372</v>
      </c>
    </row>
    <row r="140">
      <c r="A140" s="52" t="s">
        <v>5380</v>
      </c>
      <c r="B140" s="52" t="s">
        <v>187</v>
      </c>
      <c r="C140" s="52" t="s">
        <v>5372</v>
      </c>
    </row>
    <row r="141">
      <c r="A141" s="52" t="s">
        <v>5668</v>
      </c>
      <c r="B141" s="52" t="s">
        <v>5658</v>
      </c>
      <c r="C141" s="52" t="s">
        <v>5372</v>
      </c>
    </row>
    <row r="142">
      <c r="A142" s="52" t="s">
        <v>5381</v>
      </c>
      <c r="B142" s="52" t="s">
        <v>187</v>
      </c>
      <c r="C142" s="52" t="s">
        <v>5372</v>
      </c>
    </row>
    <row r="143">
      <c r="A143" s="52" t="s">
        <v>5383</v>
      </c>
      <c r="B143" s="52" t="s">
        <v>187</v>
      </c>
      <c r="C143" s="52" t="s">
        <v>5372</v>
      </c>
    </row>
    <row r="144">
      <c r="A144" s="52" t="s">
        <v>5376</v>
      </c>
      <c r="B144" s="52" t="s">
        <v>187</v>
      </c>
      <c r="C144" s="52" t="s">
        <v>5372</v>
      </c>
    </row>
    <row r="145">
      <c r="A145" s="52" t="s">
        <v>5703</v>
      </c>
      <c r="B145" s="52" t="s">
        <v>5666</v>
      </c>
      <c r="C145" s="52" t="s">
        <v>5663</v>
      </c>
    </row>
    <row r="146">
      <c r="A146" s="52" t="s">
        <v>5385</v>
      </c>
      <c r="B146" s="52" t="s">
        <v>5659</v>
      </c>
      <c r="C146" s="52" t="s">
        <v>5372</v>
      </c>
    </row>
    <row r="147">
      <c r="A147" s="52" t="s">
        <v>5383</v>
      </c>
      <c r="B147" s="52" t="s">
        <v>187</v>
      </c>
      <c r="C147" s="52" t="s">
        <v>5372</v>
      </c>
    </row>
    <row r="148">
      <c r="A148" s="52" t="s">
        <v>5387</v>
      </c>
      <c r="B148" s="52" t="s">
        <v>5659</v>
      </c>
      <c r="C148" s="52" t="s">
        <v>5372</v>
      </c>
    </row>
    <row r="149">
      <c r="A149" s="52" t="s">
        <v>5381</v>
      </c>
      <c r="B149" s="52" t="s">
        <v>187</v>
      </c>
      <c r="C149" s="52" t="s">
        <v>5372</v>
      </c>
    </row>
    <row r="150">
      <c r="A150" s="52" t="s">
        <v>5387</v>
      </c>
      <c r="B150" s="52" t="s">
        <v>5659</v>
      </c>
      <c r="C150" s="52" t="s">
        <v>5372</v>
      </c>
    </row>
    <row r="151">
      <c r="A151" s="52" t="s">
        <v>5380</v>
      </c>
      <c r="B151" s="52" t="s">
        <v>187</v>
      </c>
      <c r="C151" s="52" t="s">
        <v>5372</v>
      </c>
    </row>
    <row r="152">
      <c r="A152" s="52" t="s">
        <v>5704</v>
      </c>
      <c r="B152" s="52" t="s">
        <v>5666</v>
      </c>
      <c r="C152" s="52" t="s">
        <v>5372</v>
      </c>
    </row>
    <row r="153">
      <c r="A153" s="52" t="s">
        <v>5380</v>
      </c>
      <c r="B153" s="52" t="s">
        <v>187</v>
      </c>
      <c r="C153" s="52" t="s">
        <v>5372</v>
      </c>
    </row>
    <row r="154">
      <c r="A154" s="52" t="s">
        <v>5670</v>
      </c>
      <c r="B154" s="52" t="s">
        <v>5658</v>
      </c>
      <c r="C154" s="52" t="s">
        <v>5372</v>
      </c>
    </row>
    <row r="155">
      <c r="A155" s="52" t="s">
        <v>5705</v>
      </c>
      <c r="B155" s="52" t="s">
        <v>5666</v>
      </c>
      <c r="C155" s="52" t="s">
        <v>5372</v>
      </c>
    </row>
    <row r="156">
      <c r="A156" s="52" t="s">
        <v>5380</v>
      </c>
      <c r="B156" s="52" t="s">
        <v>187</v>
      </c>
      <c r="C156" s="52" t="s">
        <v>5372</v>
      </c>
    </row>
    <row r="157">
      <c r="A157" s="52" t="s">
        <v>5383</v>
      </c>
      <c r="B157" s="52" t="s">
        <v>187</v>
      </c>
      <c r="C157" s="52" t="s">
        <v>5372</v>
      </c>
    </row>
    <row r="158">
      <c r="A158" s="52" t="s">
        <v>5383</v>
      </c>
      <c r="B158" s="52" t="s">
        <v>187</v>
      </c>
      <c r="C158" s="52" t="s">
        <v>5372</v>
      </c>
    </row>
    <row r="159">
      <c r="A159" s="52" t="s">
        <v>5383</v>
      </c>
      <c r="B159" s="52" t="s">
        <v>187</v>
      </c>
      <c r="C159" s="52" t="s">
        <v>5372</v>
      </c>
    </row>
    <row r="160">
      <c r="A160" s="52" t="s">
        <v>5387</v>
      </c>
      <c r="B160" s="52" t="s">
        <v>5659</v>
      </c>
      <c r="C160" s="52" t="s">
        <v>5372</v>
      </c>
    </row>
    <row r="161">
      <c r="A161" s="52" t="s">
        <v>5387</v>
      </c>
      <c r="B161" s="52" t="s">
        <v>5659</v>
      </c>
      <c r="C161" s="52" t="s">
        <v>5372</v>
      </c>
    </row>
    <row r="162">
      <c r="A162" s="52" t="s">
        <v>5668</v>
      </c>
      <c r="B162" s="52" t="s">
        <v>5658</v>
      </c>
      <c r="C162" s="52" t="s">
        <v>5372</v>
      </c>
    </row>
    <row r="163">
      <c r="A163" s="52" t="s">
        <v>5668</v>
      </c>
      <c r="B163" s="52" t="s">
        <v>5658</v>
      </c>
      <c r="C163" s="52" t="s">
        <v>5372</v>
      </c>
    </row>
    <row r="164">
      <c r="A164" s="52" t="s">
        <v>5660</v>
      </c>
      <c r="B164" s="52" t="s">
        <v>5658</v>
      </c>
      <c r="C164" s="52" t="s">
        <v>5372</v>
      </c>
    </row>
    <row r="165">
      <c r="A165" s="52" t="s">
        <v>5387</v>
      </c>
      <c r="B165" s="52" t="s">
        <v>5659</v>
      </c>
      <c r="C165" s="52" t="s">
        <v>5372</v>
      </c>
    </row>
    <row r="166">
      <c r="A166" s="52" t="s">
        <v>5387</v>
      </c>
      <c r="B166" s="52" t="s">
        <v>5659</v>
      </c>
      <c r="C166" s="52" t="s">
        <v>5372</v>
      </c>
    </row>
    <row r="167">
      <c r="A167" s="52" t="s">
        <v>5387</v>
      </c>
      <c r="B167" s="52" t="s">
        <v>5659</v>
      </c>
      <c r="C167" s="52" t="s">
        <v>5372</v>
      </c>
    </row>
    <row r="168">
      <c r="A168" s="52" t="s">
        <v>5388</v>
      </c>
      <c r="B168" s="52" t="s">
        <v>5658</v>
      </c>
      <c r="C168" s="52" t="s">
        <v>5372</v>
      </c>
    </row>
    <row r="169">
      <c r="A169" s="52" t="s">
        <v>5383</v>
      </c>
      <c r="B169" s="52" t="s">
        <v>187</v>
      </c>
      <c r="C169" s="52" t="s">
        <v>5372</v>
      </c>
    </row>
    <row r="170">
      <c r="A170" s="52" t="s">
        <v>5388</v>
      </c>
      <c r="B170" s="52" t="s">
        <v>5658</v>
      </c>
      <c r="C170" s="52" t="s">
        <v>5372</v>
      </c>
    </row>
    <row r="171">
      <c r="A171" s="52" t="s">
        <v>5385</v>
      </c>
      <c r="B171" s="52" t="s">
        <v>5659</v>
      </c>
      <c r="C171" s="52" t="s">
        <v>5372</v>
      </c>
    </row>
    <row r="172">
      <c r="A172" s="52" t="s">
        <v>5381</v>
      </c>
      <c r="B172" s="52" t="s">
        <v>187</v>
      </c>
      <c r="C172" s="52" t="s">
        <v>5372</v>
      </c>
    </row>
    <row r="173">
      <c r="A173" s="52" t="s">
        <v>5380</v>
      </c>
      <c r="B173" s="52" t="s">
        <v>187</v>
      </c>
      <c r="C173" s="52" t="s">
        <v>5372</v>
      </c>
    </row>
    <row r="174">
      <c r="A174" s="52" t="s">
        <v>5380</v>
      </c>
      <c r="B174" s="52" t="s">
        <v>187</v>
      </c>
      <c r="C174" s="52" t="s">
        <v>5372</v>
      </c>
    </row>
    <row r="175">
      <c r="A175" s="52" t="s">
        <v>5381</v>
      </c>
      <c r="B175" s="52" t="s">
        <v>187</v>
      </c>
      <c r="C175" s="52" t="s">
        <v>5372</v>
      </c>
    </row>
    <row r="176">
      <c r="A176" s="52" t="s">
        <v>5387</v>
      </c>
      <c r="B176" s="52" t="s">
        <v>5659</v>
      </c>
      <c r="C176" s="52" t="s">
        <v>5372</v>
      </c>
    </row>
    <row r="177">
      <c r="A177" s="52" t="s">
        <v>5380</v>
      </c>
      <c r="B177" s="52" t="s">
        <v>187</v>
      </c>
      <c r="C177" s="52" t="s">
        <v>5372</v>
      </c>
    </row>
    <row r="178">
      <c r="A178" s="52" t="s">
        <v>5670</v>
      </c>
      <c r="B178" s="52" t="s">
        <v>5658</v>
      </c>
      <c r="C178" s="52" t="s">
        <v>5372</v>
      </c>
    </row>
    <row r="179">
      <c r="A179" s="52" t="s">
        <v>5706</v>
      </c>
      <c r="B179" s="52" t="s">
        <v>187</v>
      </c>
      <c r="C179" s="52" t="s">
        <v>5663</v>
      </c>
    </row>
    <row r="180">
      <c r="A180" s="52" t="s">
        <v>5380</v>
      </c>
      <c r="B180" s="52" t="s">
        <v>187</v>
      </c>
      <c r="C180" s="52" t="s">
        <v>5372</v>
      </c>
    </row>
    <row r="181">
      <c r="A181" s="52" t="s">
        <v>5388</v>
      </c>
      <c r="B181" s="52" t="s">
        <v>5658</v>
      </c>
      <c r="C181" s="52" t="s">
        <v>5372</v>
      </c>
    </row>
    <row r="182">
      <c r="A182" s="52" t="s">
        <v>5387</v>
      </c>
      <c r="B182" s="52" t="s">
        <v>5659</v>
      </c>
      <c r="C182" s="52" t="s">
        <v>5372</v>
      </c>
    </row>
    <row r="183">
      <c r="A183" s="52" t="s">
        <v>5707</v>
      </c>
      <c r="B183" s="52" t="s">
        <v>187</v>
      </c>
      <c r="C183" s="52" t="s">
        <v>5663</v>
      </c>
    </row>
    <row r="184">
      <c r="A184" s="52" t="s">
        <v>5388</v>
      </c>
      <c r="B184" s="52" t="s">
        <v>5658</v>
      </c>
      <c r="C184" s="52" t="s">
        <v>5372</v>
      </c>
    </row>
    <row r="185">
      <c r="A185" s="52" t="s">
        <v>5381</v>
      </c>
      <c r="B185" s="52" t="s">
        <v>187</v>
      </c>
      <c r="C185" s="52" t="s">
        <v>5372</v>
      </c>
    </row>
    <row r="186">
      <c r="A186" s="52" t="s">
        <v>5380</v>
      </c>
      <c r="B186" s="52" t="s">
        <v>187</v>
      </c>
      <c r="C186" s="52" t="s">
        <v>5372</v>
      </c>
    </row>
    <row r="187">
      <c r="A187" s="52" t="s">
        <v>5380</v>
      </c>
      <c r="B187" s="52" t="s">
        <v>187</v>
      </c>
      <c r="C187" s="52" t="s">
        <v>5372</v>
      </c>
    </row>
    <row r="188">
      <c r="A188" s="52" t="s">
        <v>5380</v>
      </c>
      <c r="B188" s="52" t="s">
        <v>187</v>
      </c>
      <c r="C188" s="52" t="s">
        <v>5372</v>
      </c>
    </row>
    <row r="189">
      <c r="A189" s="52" t="s">
        <v>5388</v>
      </c>
      <c r="B189" s="52" t="s">
        <v>5658</v>
      </c>
      <c r="C189" s="52" t="s">
        <v>5372</v>
      </c>
    </row>
    <row r="190">
      <c r="A190" s="52" t="s">
        <v>5380</v>
      </c>
      <c r="B190" s="52" t="s">
        <v>187</v>
      </c>
      <c r="C190" s="52" t="s">
        <v>5372</v>
      </c>
    </row>
    <row r="191">
      <c r="A191" s="52" t="s">
        <v>5391</v>
      </c>
      <c r="B191" s="52" t="s">
        <v>187</v>
      </c>
      <c r="C191" s="52" t="s">
        <v>5663</v>
      </c>
    </row>
    <row r="192">
      <c r="A192" s="52" t="s">
        <v>5388</v>
      </c>
      <c r="B192" s="52" t="s">
        <v>5658</v>
      </c>
      <c r="C192" s="52" t="s">
        <v>5372</v>
      </c>
    </row>
    <row r="193">
      <c r="A193" s="52" t="s">
        <v>5670</v>
      </c>
      <c r="B193" s="52" t="s">
        <v>5658</v>
      </c>
      <c r="C193" s="52" t="s">
        <v>5372</v>
      </c>
    </row>
    <row r="194">
      <c r="A194" s="52" t="s">
        <v>5708</v>
      </c>
      <c r="B194" s="52" t="s">
        <v>5659</v>
      </c>
      <c r="C194" s="52" t="s">
        <v>5372</v>
      </c>
    </row>
    <row r="195">
      <c r="A195" s="52" t="s">
        <v>5387</v>
      </c>
      <c r="B195" s="52" t="s">
        <v>5659</v>
      </c>
      <c r="C195" s="52" t="s">
        <v>5372</v>
      </c>
    </row>
    <row r="196">
      <c r="A196" s="52" t="s">
        <v>5385</v>
      </c>
      <c r="B196" s="52" t="s">
        <v>5659</v>
      </c>
      <c r="C196" s="52" t="s">
        <v>5372</v>
      </c>
    </row>
    <row r="197">
      <c r="A197" s="52" t="s">
        <v>5383</v>
      </c>
      <c r="B197" s="52" t="s">
        <v>187</v>
      </c>
      <c r="C197" s="52" t="s">
        <v>5372</v>
      </c>
    </row>
    <row r="198">
      <c r="A198" s="52" t="s">
        <v>5383</v>
      </c>
      <c r="B198" s="52" t="s">
        <v>187</v>
      </c>
      <c r="C198" s="52" t="s">
        <v>5372</v>
      </c>
    </row>
    <row r="199">
      <c r="A199" s="52" t="s">
        <v>5709</v>
      </c>
      <c r="B199" s="52" t="s">
        <v>5666</v>
      </c>
      <c r="C199" s="52" t="s">
        <v>5663</v>
      </c>
    </row>
    <row r="200">
      <c r="A200" s="52" t="s">
        <v>5670</v>
      </c>
      <c r="B200" s="52" t="s">
        <v>5658</v>
      </c>
      <c r="C200" s="52" t="s">
        <v>5372</v>
      </c>
    </row>
    <row r="201">
      <c r="A201" s="52" t="s">
        <v>5376</v>
      </c>
      <c r="B201" s="52" t="s">
        <v>187</v>
      </c>
      <c r="C201" s="52" t="s">
        <v>5372</v>
      </c>
    </row>
    <row r="202">
      <c r="A202" s="52" t="s">
        <v>5376</v>
      </c>
      <c r="B202" s="52" t="s">
        <v>187</v>
      </c>
      <c r="C202" s="52" t="s">
        <v>5372</v>
      </c>
    </row>
    <row r="203">
      <c r="A203" s="52" t="s">
        <v>5710</v>
      </c>
      <c r="B203" s="52" t="s">
        <v>5658</v>
      </c>
      <c r="C203" s="52" t="s">
        <v>5372</v>
      </c>
    </row>
    <row r="204">
      <c r="A204" s="52" t="s">
        <v>5376</v>
      </c>
      <c r="B204" s="52" t="s">
        <v>187</v>
      </c>
      <c r="C204" s="52" t="s">
        <v>5372</v>
      </c>
    </row>
    <row r="205">
      <c r="A205" s="52" t="s">
        <v>5376</v>
      </c>
      <c r="B205" s="52" t="s">
        <v>187</v>
      </c>
      <c r="C205" s="52" t="s">
        <v>5372</v>
      </c>
    </row>
    <row r="206">
      <c r="A206" s="52" t="s">
        <v>5376</v>
      </c>
      <c r="B206" s="52" t="s">
        <v>187</v>
      </c>
      <c r="C206" s="52" t="s">
        <v>5372</v>
      </c>
    </row>
    <row r="207">
      <c r="A207" s="52" t="s">
        <v>5387</v>
      </c>
      <c r="B207" s="52" t="s">
        <v>5659</v>
      </c>
      <c r="C207" s="52" t="s">
        <v>5372</v>
      </c>
    </row>
    <row r="208">
      <c r="A208" s="52" t="s">
        <v>5383</v>
      </c>
      <c r="B208" s="52" t="s">
        <v>187</v>
      </c>
      <c r="C208" s="52" t="s">
        <v>5372</v>
      </c>
    </row>
    <row r="209">
      <c r="A209" s="52" t="s">
        <v>5385</v>
      </c>
      <c r="B209" s="52" t="s">
        <v>5659</v>
      </c>
      <c r="C209" s="52" t="s">
        <v>5372</v>
      </c>
    </row>
    <row r="210">
      <c r="A210" s="52" t="s">
        <v>5389</v>
      </c>
      <c r="B210" s="52" t="s">
        <v>187</v>
      </c>
      <c r="C210" s="52" t="s">
        <v>5372</v>
      </c>
    </row>
    <row r="211">
      <c r="A211" s="52" t="s">
        <v>5381</v>
      </c>
      <c r="B211" s="52" t="s">
        <v>187</v>
      </c>
      <c r="C211" s="52" t="s">
        <v>5372</v>
      </c>
    </row>
    <row r="212">
      <c r="A212" s="52" t="s">
        <v>5710</v>
      </c>
      <c r="B212" s="52" t="s">
        <v>5658</v>
      </c>
      <c r="C212" s="52" t="s">
        <v>5372</v>
      </c>
    </row>
    <row r="213">
      <c r="A213" s="52" t="s">
        <v>5670</v>
      </c>
      <c r="B213" s="52" t="s">
        <v>5658</v>
      </c>
      <c r="C213" s="52" t="s">
        <v>5372</v>
      </c>
    </row>
    <row r="214">
      <c r="A214" s="52" t="s">
        <v>5376</v>
      </c>
      <c r="B214" s="52" t="s">
        <v>187</v>
      </c>
      <c r="C214" s="52" t="s">
        <v>5372</v>
      </c>
    </row>
    <row r="215">
      <c r="A215" s="52" t="s">
        <v>5661</v>
      </c>
      <c r="B215" s="52" t="s">
        <v>5659</v>
      </c>
      <c r="C215" s="52" t="s">
        <v>5372</v>
      </c>
    </row>
    <row r="216">
      <c r="A216" s="52" t="s">
        <v>5710</v>
      </c>
      <c r="B216" s="52" t="s">
        <v>5658</v>
      </c>
      <c r="C216" s="52" t="s">
        <v>5372</v>
      </c>
    </row>
    <row r="217">
      <c r="A217" s="52" t="s">
        <v>5386</v>
      </c>
      <c r="B217" s="52" t="s">
        <v>5659</v>
      </c>
      <c r="C217" s="52" t="s">
        <v>5372</v>
      </c>
    </row>
    <row r="218">
      <c r="A218" s="52" t="s">
        <v>5386</v>
      </c>
      <c r="B218" s="52" t="s">
        <v>5659</v>
      </c>
      <c r="C218" s="52" t="s">
        <v>5372</v>
      </c>
    </row>
    <row r="219">
      <c r="A219" s="52" t="s">
        <v>5386</v>
      </c>
      <c r="B219" s="52" t="s">
        <v>5659</v>
      </c>
      <c r="C219" s="52" t="s">
        <v>5372</v>
      </c>
    </row>
    <row r="220">
      <c r="A220" s="52" t="s">
        <v>5388</v>
      </c>
      <c r="B220" s="52" t="s">
        <v>5658</v>
      </c>
      <c r="C220" s="52" t="s">
        <v>5372</v>
      </c>
    </row>
    <row r="221">
      <c r="A221" s="52" t="s">
        <v>5660</v>
      </c>
      <c r="B221" s="52" t="s">
        <v>5658</v>
      </c>
      <c r="C221" s="52" t="s">
        <v>5372</v>
      </c>
    </row>
    <row r="222">
      <c r="A222" s="52" t="s">
        <v>5380</v>
      </c>
      <c r="B222" s="52" t="s">
        <v>187</v>
      </c>
      <c r="C222" s="52" t="s">
        <v>5372</v>
      </c>
    </row>
    <row r="223">
      <c r="A223" s="52" t="s">
        <v>5380</v>
      </c>
      <c r="B223" s="52" t="s">
        <v>187</v>
      </c>
      <c r="C223" s="52" t="s">
        <v>5372</v>
      </c>
    </row>
    <row r="224">
      <c r="A224" s="52" t="s">
        <v>5711</v>
      </c>
      <c r="B224" s="52" t="s">
        <v>187</v>
      </c>
      <c r="C224" s="52" t="s">
        <v>5663</v>
      </c>
    </row>
    <row r="225">
      <c r="A225" s="52" t="s">
        <v>5387</v>
      </c>
      <c r="B225" s="52" t="s">
        <v>5659</v>
      </c>
      <c r="C225" s="52" t="s">
        <v>5372</v>
      </c>
    </row>
    <row r="226">
      <c r="A226" s="52" t="s">
        <v>5387</v>
      </c>
      <c r="B226" s="52" t="s">
        <v>5659</v>
      </c>
      <c r="C226" s="52" t="s">
        <v>5372</v>
      </c>
    </row>
    <row r="227">
      <c r="A227" s="52" t="s">
        <v>5387</v>
      </c>
      <c r="B227" s="52" t="s">
        <v>5659</v>
      </c>
      <c r="C227" s="52" t="s">
        <v>5372</v>
      </c>
    </row>
    <row r="228">
      <c r="A228" s="52" t="s">
        <v>5383</v>
      </c>
      <c r="B228" s="52" t="s">
        <v>187</v>
      </c>
      <c r="C228" s="52" t="s">
        <v>5372</v>
      </c>
    </row>
    <row r="229">
      <c r="A229" s="52" t="s">
        <v>5376</v>
      </c>
      <c r="B229" s="52" t="s">
        <v>187</v>
      </c>
      <c r="C229" s="52" t="s">
        <v>5372</v>
      </c>
    </row>
    <row r="230">
      <c r="A230" s="52" t="s">
        <v>5387</v>
      </c>
      <c r="B230" s="52" t="s">
        <v>5659</v>
      </c>
      <c r="C230" s="52" t="s">
        <v>5372</v>
      </c>
    </row>
    <row r="231">
      <c r="A231" s="52" t="s">
        <v>5380</v>
      </c>
      <c r="B231" s="52" t="s">
        <v>187</v>
      </c>
      <c r="C231" s="52" t="s">
        <v>5372</v>
      </c>
    </row>
    <row r="232">
      <c r="A232" s="52" t="s">
        <v>5387</v>
      </c>
      <c r="B232" s="52" t="s">
        <v>5659</v>
      </c>
      <c r="C232" s="52" t="s">
        <v>5372</v>
      </c>
    </row>
    <row r="233">
      <c r="A233" s="52" t="s">
        <v>5380</v>
      </c>
      <c r="B233" s="52" t="s">
        <v>187</v>
      </c>
      <c r="C233" s="52" t="s">
        <v>5372</v>
      </c>
    </row>
    <row r="234">
      <c r="A234" s="52" t="s">
        <v>5376</v>
      </c>
      <c r="B234" s="52" t="s">
        <v>187</v>
      </c>
      <c r="C234" s="52" t="s">
        <v>5372</v>
      </c>
    </row>
    <row r="235">
      <c r="A235" s="52" t="s">
        <v>5668</v>
      </c>
      <c r="B235" s="52" t="s">
        <v>5658</v>
      </c>
      <c r="C235" s="52" t="s">
        <v>5372</v>
      </c>
    </row>
    <row r="236">
      <c r="A236" s="52" t="s">
        <v>5668</v>
      </c>
      <c r="B236" s="52" t="s">
        <v>5658</v>
      </c>
      <c r="C236" s="52" t="s">
        <v>5372</v>
      </c>
    </row>
    <row r="237">
      <c r="A237" s="52" t="s">
        <v>5668</v>
      </c>
      <c r="B237" s="52" t="s">
        <v>5658</v>
      </c>
      <c r="C237" s="52" t="s">
        <v>5372</v>
      </c>
    </row>
    <row r="238">
      <c r="A238" s="52" t="s">
        <v>5668</v>
      </c>
      <c r="B238" s="52" t="s">
        <v>5658</v>
      </c>
      <c r="C238" s="52" t="s">
        <v>5372</v>
      </c>
    </row>
    <row r="239">
      <c r="A239" s="52" t="s">
        <v>5387</v>
      </c>
      <c r="B239" s="52" t="s">
        <v>5659</v>
      </c>
      <c r="C239" s="52" t="s">
        <v>5372</v>
      </c>
    </row>
    <row r="240">
      <c r="A240" s="52" t="s">
        <v>5376</v>
      </c>
      <c r="B240" s="52" t="s">
        <v>187</v>
      </c>
      <c r="C240" s="52" t="s">
        <v>5372</v>
      </c>
    </row>
    <row r="241">
      <c r="A241" s="52" t="s">
        <v>5376</v>
      </c>
      <c r="B241" s="52" t="s">
        <v>187</v>
      </c>
      <c r="C241" s="52" t="s">
        <v>5372</v>
      </c>
    </row>
    <row r="242">
      <c r="A242" s="52" t="s">
        <v>5381</v>
      </c>
      <c r="B242" s="52" t="s">
        <v>187</v>
      </c>
      <c r="C242" s="52" t="s">
        <v>5372</v>
      </c>
    </row>
    <row r="243">
      <c r="A243" s="52" t="s">
        <v>5393</v>
      </c>
      <c r="B243" s="51" t="s">
        <v>60</v>
      </c>
      <c r="C243" s="51" t="s">
        <v>5338</v>
      </c>
    </row>
    <row r="244">
      <c r="A244" s="52" t="s">
        <v>5712</v>
      </c>
      <c r="B244" s="51" t="s">
        <v>5666</v>
      </c>
      <c r="C244" s="51" t="s">
        <v>5663</v>
      </c>
    </row>
    <row r="245">
      <c r="A245" s="52" t="s">
        <v>5713</v>
      </c>
      <c r="B245" s="52" t="s">
        <v>187</v>
      </c>
      <c r="C245" s="51" t="s">
        <v>5663</v>
      </c>
    </row>
    <row r="246">
      <c r="A246" s="52" t="s">
        <v>5714</v>
      </c>
      <c r="B246" s="52" t="s">
        <v>5658</v>
      </c>
      <c r="C246" s="52" t="s">
        <v>5372</v>
      </c>
    </row>
    <row r="247">
      <c r="A247" s="52" t="s">
        <v>5715</v>
      </c>
      <c r="B247" s="52" t="s">
        <v>5666</v>
      </c>
      <c r="C247" s="51" t="s">
        <v>5372</v>
      </c>
    </row>
    <row r="248">
      <c r="A248" s="52" t="s">
        <v>5716</v>
      </c>
      <c r="B248" s="52" t="s">
        <v>5659</v>
      </c>
      <c r="C248" s="51" t="s">
        <v>5372</v>
      </c>
    </row>
    <row r="249">
      <c r="A249" s="52" t="s">
        <v>5717</v>
      </c>
      <c r="B249" s="52" t="s">
        <v>5702</v>
      </c>
      <c r="C249" s="51" t="s">
        <v>5372</v>
      </c>
    </row>
    <row r="250">
      <c r="A250" s="52" t="s">
        <v>5718</v>
      </c>
      <c r="B250" s="52" t="s">
        <v>187</v>
      </c>
      <c r="C250" s="51" t="s">
        <v>5663</v>
      </c>
    </row>
    <row r="251">
      <c r="A251" s="52" t="s">
        <v>5719</v>
      </c>
      <c r="B251" s="52" t="s">
        <v>5702</v>
      </c>
      <c r="C251" s="51" t="s">
        <v>5372</v>
      </c>
    </row>
    <row r="252">
      <c r="A252" s="52" t="s">
        <v>5720</v>
      </c>
      <c r="B252" s="52" t="s">
        <v>5680</v>
      </c>
      <c r="C252" s="51" t="s">
        <v>5373</v>
      </c>
    </row>
    <row r="253">
      <c r="A253" s="52" t="s">
        <v>5378</v>
      </c>
      <c r="B253" s="52" t="s">
        <v>60</v>
      </c>
      <c r="C253" s="51" t="s">
        <v>5338</v>
      </c>
    </row>
    <row r="254">
      <c r="A254" s="52" t="s">
        <v>5721</v>
      </c>
      <c r="B254" s="52" t="s">
        <v>5658</v>
      </c>
      <c r="C254" s="51" t="s">
        <v>5372</v>
      </c>
    </row>
    <row r="255">
      <c r="A255" s="52" t="s">
        <v>5722</v>
      </c>
      <c r="B255" s="52" t="s">
        <v>187</v>
      </c>
      <c r="C255" s="51" t="s">
        <v>5663</v>
      </c>
    </row>
  </sheetData>
  <drawing r:id="rId1"/>
</worksheet>
</file>