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otal Rider" sheetId="2" r:id="rId5"/>
  </sheets>
  <definedNames/>
  <calcPr/>
  <extLst>
    <ext uri="GoogleSheetsCustomDataVersion2">
      <go:sheetsCustomData xmlns:go="http://customooxmlschemas.google.com/" r:id="rId6" roundtripDataChecksum="YMbhrW/S5d6yMwzHpWWC2bpbjQLC+XF+j+xc70Nj2Fo="/>
    </ext>
  </extLst>
</workbook>
</file>

<file path=xl/sharedStrings.xml><?xml version="1.0" encoding="utf-8"?>
<sst xmlns="http://schemas.openxmlformats.org/spreadsheetml/2006/main" count="1068" uniqueCount="643">
  <si>
    <t>Column in SWIPE UPLOAD</t>
  </si>
  <si>
    <t>To Name (Receiver Name)</t>
  </si>
  <si>
    <t>reference.merchant_order_number</t>
  </si>
  <si>
    <t>parcel_job.dimensions.weight</t>
  </si>
  <si>
    <t>-</t>
  </si>
  <si>
    <t>requested_tracking_number</t>
  </si>
  <si>
    <t>to.address.address1</t>
  </si>
  <si>
    <t>to.address.postcode</t>
  </si>
  <si>
    <t>to.address.city</t>
  </si>
  <si>
    <t>to.phone_number</t>
  </si>
  <si>
    <t>b2b.documents_required</t>
  </si>
  <si>
    <t>not used</t>
  </si>
  <si>
    <t>bundle_information.total_quantity</t>
  </si>
  <si>
    <t>Functions/explanation</t>
  </si>
  <si>
    <t>Shipper Reference Number (shipper will refer this during billing)</t>
  </si>
  <si>
    <t>Shipper submitted weight, but currently everything is submitted as 1, not sure why</t>
  </si>
  <si>
    <t>as the MPS TRID while the TRID child will be "-01", "-02"and so on + the "-DO" as every PO have RDO sebagai TRID</t>
  </si>
  <si>
    <t>Shipper submitted weight per PO, but currently everything is submitted as 1, not sure why</t>
  </si>
  <si>
    <t>combine with pharmacy's address</t>
  </si>
  <si>
    <t>address pharmacy</t>
  </si>
  <si>
    <t>zipcode</t>
  </si>
  <si>
    <t>dest L2</t>
  </si>
  <si>
    <t>pharmacy phone number</t>
  </si>
  <si>
    <t>RDO</t>
  </si>
  <si>
    <t>RDO address</t>
  </si>
  <si>
    <t>number of collies, that affect how many TIDs are going to be made for 1 MPS TID</t>
  </si>
  <si>
    <t>Original</t>
  </si>
  <si>
    <t>Pharmacy Name</t>
  </si>
  <si>
    <t>SwipeAWB</t>
  </si>
  <si>
    <t>Total Weight per AWB (kg)</t>
  </si>
  <si>
    <t>Total Volume per AWB (m3)</t>
  </si>
  <si>
    <t>PO Number</t>
  </si>
  <si>
    <t>Weight</t>
  </si>
  <si>
    <t>Volume</t>
  </si>
  <si>
    <t>Pharmacy's Id</t>
  </si>
  <si>
    <t>Note's</t>
  </si>
  <si>
    <t>Picking Priority</t>
  </si>
  <si>
    <t>Address</t>
  </si>
  <si>
    <t>Zip Code</t>
  </si>
  <si>
    <t>City</t>
  </si>
  <si>
    <t>Phone</t>
  </si>
  <si>
    <t>Email</t>
  </si>
  <si>
    <t>3PL Service</t>
  </si>
  <si>
    <t>PickUp</t>
  </si>
  <si>
    <t>POD Return</t>
  </si>
  <si>
    <t>Destination</t>
  </si>
  <si>
    <t>Koli</t>
  </si>
  <si>
    <t>Apotek 23 Plus</t>
  </si>
  <si>
    <t>AWB02U24V</t>
  </si>
  <si>
    <t>260630054137433DSXWMpd</t>
  </si>
  <si>
    <t>260630054137433DSXWMpd-26070102001839ezpAD07IG-26070102001839MzOIv6dbd</t>
  </si>
  <si>
    <t>P4N</t>
  </si>
  <si>
    <t>Jalan Kampung Sawah No.93 RT 03/02 Kelurahan Jatimurni Kecamatan Pondok Melati Kota Bekasi 17431</t>
  </si>
  <si>
    <t>Kota Bekasi</t>
  </si>
  <si>
    <t>apotek23kampungsawah@yacoo.com</t>
  </si>
  <si>
    <t>Ninja Depok</t>
  </si>
  <si>
    <t>WH TMP Depok</t>
  </si>
  <si>
    <t>Jl. Tugu Raya, Tugu, Kec. Cimanggis, Kota Depok, Jawa Barat 16451,KUBIK LOGISTICS - Kompleks Pergudangan,Gudang E1</t>
  </si>
  <si>
    <t>Success - Data diperbarui</t>
  </si>
  <si>
    <t>26070102001839ezpAD07IG</t>
  </si>
  <si>
    <t>26070102001839MzOIv6dbd</t>
  </si>
  <si>
    <t>Apotek Adzra</t>
  </si>
  <si>
    <t>AWB02U51N</t>
  </si>
  <si>
    <t>26070103390201VtagsQI7</t>
  </si>
  <si>
    <t>Jalan Boulevard Raya Ruko Milan Avenue Blok CE No. 25 RT 004 RW 008 Kelurahan Sawangan Kecamatan Sawangan Depok 16511</t>
  </si>
  <si>
    <t>Kota Depok</t>
  </si>
  <si>
    <t>yusi.yustikarini@gmail.com</t>
  </si>
  <si>
    <t>Apotek Aisyah</t>
  </si>
  <si>
    <t>AWB02U2U4</t>
  </si>
  <si>
    <t>260630105657234lUUIFVtD</t>
  </si>
  <si>
    <t>260630105657234lUUIFVtD-26063010565723VyYLJoeiYL-26063010565723XNb4HWYPJ</t>
  </si>
  <si>
    <t>Jalan Bantar Jati No.42 Kelurahan Setu Kecamatan Cipayung Kota Jakarta Timur Daerah Khusus Ibukota Jakarta 13880</t>
  </si>
  <si>
    <t>Kota Jakarta Timur</t>
  </si>
  <si>
    <t>aisyahapotek123@gmail.com</t>
  </si>
  <si>
    <t>26063010565723VyYLJoeiYL</t>
  </si>
  <si>
    <t>26063010565723XNb4HWYPJ</t>
  </si>
  <si>
    <t>Apotek Al Barokah Raden Saleh</t>
  </si>
  <si>
    <t>AWB02U4H7</t>
  </si>
  <si>
    <t>2607010238033655UtHWCaA</t>
  </si>
  <si>
    <t>2607010238033655UtHWCaA-26070102380336zRwOgoub2d</t>
  </si>
  <si>
    <t>Jalan Raden Saleh Kp. Cikumpa RT 001 RW 007 Kelurahan Sukmajaya Kecamatan Sukmajaya Depok Jawa Barat 16412</t>
  </si>
  <si>
    <t>Elvrina.hutapea@gmail.com</t>
  </si>
  <si>
    <t>26070102380336zRwOgoub2d</t>
  </si>
  <si>
    <t>Apotek Al Kahfi Tanah Baru Beji</t>
  </si>
  <si>
    <t>AWB02U3DR</t>
  </si>
  <si>
    <t>260630160316880d80fsDIcS</t>
  </si>
  <si>
    <t>260630160316880d80fsDIcS-26063016031688p7VBM5cW9p-26063016031688VdoWC8eE-26063016031688xyAJjSoG2-26063016090049jNaUKbg3R-26063016135323iiBBtXVx-26063016135323pFYrQ8UYDN</t>
  </si>
  <si>
    <t>Jl. Moh. Kahfi 1 Ruko Ario Bimo No.3, Desa/Kel. Tanah Baru, Kec. Beji, Kota Depok 12646</t>
  </si>
  <si>
    <t>apotekalkahfiindonesia@gmail.com</t>
  </si>
  <si>
    <t>26063016031688p7VBM5cW9p</t>
  </si>
  <si>
    <t>26063016031688VdoWC8eE</t>
  </si>
  <si>
    <t>26063016031688xyAJjSoG2</t>
  </si>
  <si>
    <t>26063016090049jNaUKbg3R</t>
  </si>
  <si>
    <t>26063016135323iiBBtXVx</t>
  </si>
  <si>
    <t>26063016135323pFYrQ8UYDN</t>
  </si>
  <si>
    <t>Apotek Alam Sehat Farma</t>
  </si>
  <si>
    <t>AWB02U24S</t>
  </si>
  <si>
    <t>26063005395079lgxuD4q</t>
  </si>
  <si>
    <t>Jalan Anggrek Raya No. 27-28 RT 002/004 Kelurahan Depok Jaya Kecamatan Pancoran Mas 16432</t>
  </si>
  <si>
    <t>alamsehat818@gmail.com</t>
  </si>
  <si>
    <t>Apotek Amanah</t>
  </si>
  <si>
    <t>AWB02U4M9</t>
  </si>
  <si>
    <t>26070102504648dGjPj4Lkq</t>
  </si>
  <si>
    <t>Jalan Raya Kampung  Sawah RT 001/002 Kelurahan Jatimulya Kecamatan Cilodong Kota Depok 16413</t>
  </si>
  <si>
    <t>klinikapotekamanah2@gmail.com</t>
  </si>
  <si>
    <t>Apotek An Nur 8412</t>
  </si>
  <si>
    <t>AWB02U500</t>
  </si>
  <si>
    <t>26070103325140pjE1h6Yet</t>
  </si>
  <si>
    <t>26070103325140pjE1h6Yet-26070103391342fipk7a6mZ-26070103391342Zd1C3NmY6-26070103424616o0XRRhlGZ</t>
  </si>
  <si>
    <t>Jalan Raya pengasinan RT. 002 RW. 006, Kelurahan Pengasinan, Kecamatan Sawangan, Kota Depok, Jawa Barat 16518</t>
  </si>
  <si>
    <t>apotekannur23@gmail.com</t>
  </si>
  <si>
    <t>26070103391342fipk7a6mZ</t>
  </si>
  <si>
    <t>26070103391342Zd1C3NmY6</t>
  </si>
  <si>
    <t>26070103424616o0XRRhlGZ</t>
  </si>
  <si>
    <t>Apotek Aruba Farma</t>
  </si>
  <si>
    <t>AWB02U51B</t>
  </si>
  <si>
    <t>26070103382612C1yW9Xt9L</t>
  </si>
  <si>
    <t>Jalan Pengasinan Raya No.3 RT 001 RW 002 Kelurahan Sawangan Kecamatan Sawangan Depok 16517</t>
  </si>
  <si>
    <t>apotekaruba@gmail.com</t>
  </si>
  <si>
    <t>Apotek Arya Medika Sukatani Tapos</t>
  </si>
  <si>
    <t>AWB02U38A</t>
  </si>
  <si>
    <t>26063014460293cHD78nh95</t>
  </si>
  <si>
    <t>26063014460293cHD78nh95-26063014460293ep03x4FHE</t>
  </si>
  <si>
    <t>Ruko Permata Arcadia Blok A-18, Desa/Kelurahan Sukatani, Kec. Tapos, Kota Depok</t>
  </si>
  <si>
    <t>aryamedika25@gmail.com</t>
  </si>
  <si>
    <t>26063014460293ep03x4FHE</t>
  </si>
  <si>
    <t>Apotek Berkah 9</t>
  </si>
  <si>
    <t>AWB02U4BF</t>
  </si>
  <si>
    <t>26070102205268JcRxvZoC</t>
  </si>
  <si>
    <t>26070102205268JcRxvZoC-26070102344694XH3TVOQWG</t>
  </si>
  <si>
    <t>Jalan Raya Pasir Putih Ruko Cahaya Garuda No. 6 RT 005 RW 009 Sawangan Permai Kelurahan Pasir Putih Kecamatan Sawangan Kota Depok 16519</t>
  </si>
  <si>
    <t>onoarif@gmail.com</t>
  </si>
  <si>
    <t>26070102344694XH3TVOQWG</t>
  </si>
  <si>
    <t>Apotek Berlian Farma</t>
  </si>
  <si>
    <t>AWB02U3N8</t>
  </si>
  <si>
    <t>2607010003341360paxJ9gf</t>
  </si>
  <si>
    <t>2607010003341360paxJ9gf-26070100033413dEE8eKNRfe-26070100193374unDXvggVR-26070100390696YRphJTQ07-26070100390697h7RBBiYzHm-26070100554862S2BwE1LfF-26070100554863jMb0HAban-26070102442451hNuWB8cg</t>
  </si>
  <si>
    <t>Komplek Permata Jasindo Lestari Blok A6/14 RT.007 RW.004 Kelurahan Mekarsari, Kecamatan Cimanggis, Kota Depok 16452</t>
  </si>
  <si>
    <t>muh.wibowo.mw@gmail.com</t>
  </si>
  <si>
    <t>26070100033413dEE8eKNRfe</t>
  </si>
  <si>
    <t>26070100193374unDXvggVR</t>
  </si>
  <si>
    <t>26070100390696YRphJTQ07</t>
  </si>
  <si>
    <t>26070100390697h7RBBiYzHm</t>
  </si>
  <si>
    <t>26070100554862S2BwE1LfF</t>
  </si>
  <si>
    <t>26070100554863jMb0HAban</t>
  </si>
  <si>
    <t>26070102442451hNuWB8cg</t>
  </si>
  <si>
    <t>Apotek Bersama Pondok Ranggon Cipayung</t>
  </si>
  <si>
    <t>AWB02U4E8</t>
  </si>
  <si>
    <t>26070102280798wbEwftMnK</t>
  </si>
  <si>
    <t>26070102280798wbEwftMnK-26070103370597d4hX6p0sx</t>
  </si>
  <si>
    <t>Jl Raya Pondok Ranggon RT 006 RW 004 Kel. Pondok Ranggon Kec. Cipayung, Jakarta Timur</t>
  </si>
  <si>
    <t>apotekbersamajaktim@gmail.com</t>
  </si>
  <si>
    <t>26070103370597d4hX6p0sx</t>
  </si>
  <si>
    <t>Apotek Caringin Rangkapan Jaya Pancoran Mas</t>
  </si>
  <si>
    <t>AWB02U3WK</t>
  </si>
  <si>
    <t>26070101221348b2nTrAPMd</t>
  </si>
  <si>
    <t>26070101221348b2nTrAPMd-26070101221348BAfcfEdgB0-26070101221348hDDUGIKDFP</t>
  </si>
  <si>
    <t>Jalan Caringin RT. 007 RW. 004 , Desa/Kelurahan Rangkapan Jaya,Kecamatan Pancoran Mas, Kota Depok,Jawa Barat,16435</t>
  </si>
  <si>
    <t>calo33910@gmail.com</t>
  </si>
  <si>
    <t>26070101221348BAfcfEdgB0</t>
  </si>
  <si>
    <t>26070101221348hDDUGIKDFP</t>
  </si>
  <si>
    <t>Apotek Cipayung 1</t>
  </si>
  <si>
    <t>AWB02U3T0</t>
  </si>
  <si>
    <t>26070101002697c2U2iYck</t>
  </si>
  <si>
    <t>26070101002697c2U2iYck-26070101002697HNJHv1NczE-26070101002697WVn4mSS</t>
  </si>
  <si>
    <t>Jl. Raya Jembatan Serong Blok Sawo No. 115 RT. 002 RW. 003 Kel. Cipayung Kec. Cipayung Kota Depok</t>
  </si>
  <si>
    <t>isharfortuna@gmail.com</t>
  </si>
  <si>
    <t>26070101002697HNJHv1NczE</t>
  </si>
  <si>
    <t>26070101002697WVn4mSS</t>
  </si>
  <si>
    <t>Apotek Citayam Farma Bojong Pondok Terong Cipayung</t>
  </si>
  <si>
    <t>AWB02U2PL</t>
  </si>
  <si>
    <t>2606300931547997BiOsigU</t>
  </si>
  <si>
    <t>2606300931547997BiOsigU-26063009315479BySkeLaC</t>
  </si>
  <si>
    <t>Jl. Raya Cipayung No.1, RT.03/RW10, Desa/Kel. Bojong Pondok Terong, Kec. Cipayung, Kota Depok 16436</t>
  </si>
  <si>
    <t>citayamfarma@gmail.com</t>
  </si>
  <si>
    <t>26063009315479BySkeLaC</t>
  </si>
  <si>
    <t>Apotek Danez Farma Jatibening</t>
  </si>
  <si>
    <t>AWB02U39X</t>
  </si>
  <si>
    <t>26063015035892EmoGZAhsA</t>
  </si>
  <si>
    <t>26063015035892EmoGZAhsA-26063015035892p8EP4VjbM</t>
  </si>
  <si>
    <t>Jalan Jatibening Estate Kav.2 Kelurahan Jatibening Kecamatan Pondok Gede Kota Bekasi 17412</t>
  </si>
  <si>
    <t>danezfarma@gmail.com</t>
  </si>
  <si>
    <t>26063015035892p8EP4VjbM</t>
  </si>
  <si>
    <t>Apotek Dewi Farma</t>
  </si>
  <si>
    <t>AWB02U2MR</t>
  </si>
  <si>
    <t>26063009020477U8w36YpOw</t>
  </si>
  <si>
    <t>26063009020477U8w36YpOw-260701032004930O71Kbl7W-260701032004948Bwh87hO</t>
  </si>
  <si>
    <t>Jalan Mess AL Kranggan Wetan RT.001/RW.012, Kelurahan Jatirangga, Kecamatan Jatisampurna, Kota Bekasi 17434</t>
  </si>
  <si>
    <t>apotik.dewifarma@gmail.com</t>
  </si>
  <si>
    <t>260701032004930O71Kbl7W</t>
  </si>
  <si>
    <t>260701032004948Bwh87hO</t>
  </si>
  <si>
    <t>Apotek El Rapha</t>
  </si>
  <si>
    <t>AWB02U505</t>
  </si>
  <si>
    <t>260701033312869XMpXl6O</t>
  </si>
  <si>
    <t>Jalan Raya Bogor KM 31 No.5 Kelurahan Cisalak Pasar Kecamatan Cimanggis  Kota Depok 16452</t>
  </si>
  <si>
    <t>rosysuwanti7979@gmail.com</t>
  </si>
  <si>
    <t>Apotek Elvano Sawangan Baru Sawangan</t>
  </si>
  <si>
    <t>AWB02U4YF</t>
  </si>
  <si>
    <t>26070103274667i56oq9P8A2</t>
  </si>
  <si>
    <t>26070103274667i56oq9P8A2-26070103274667iTIsCLkck-26070103322558CXMzGV1Lg</t>
  </si>
  <si>
    <t>Jalan Abdul Wahab No.94 , Desa/Kel. Sawangan Baru, Kec. Sawangan, Kota Depok</t>
  </si>
  <si>
    <t>apotekelvano1@gmail.com</t>
  </si>
  <si>
    <t>26070103274667iTIsCLkck</t>
  </si>
  <si>
    <t>26070103322558CXMzGV1Lg</t>
  </si>
  <si>
    <t>Apotek Enggal Sehat Bedahan Sawangan</t>
  </si>
  <si>
    <t>AWB02U407</t>
  </si>
  <si>
    <t>26070101414173aPZ4PKxHN</t>
  </si>
  <si>
    <t>26070101414173aPZ4PKxHN-26070101414173IxdpHBYXdi-26070101463480r1rfhNoYg</t>
  </si>
  <si>
    <t>Jalan H. Sulaiman RT 04, RW 02, Desa/Kelurahan Bedahan, Kec. Sawangan, Kota Depok 16519</t>
  </si>
  <si>
    <t>bundagandis7@gmail.com</t>
  </si>
  <si>
    <t>26070101414173IxdpHBYXdi</t>
  </si>
  <si>
    <t>26070101463480r1rfhNoYg</t>
  </si>
  <si>
    <t>Apotek Erni Jatiraden Jatisampurna</t>
  </si>
  <si>
    <t>AWB02U2H4</t>
  </si>
  <si>
    <t>26063008020657RYccYWUw</t>
  </si>
  <si>
    <t>26063008020657RYccYWUw-26063012463606pvq8xdd0m</t>
  </si>
  <si>
    <t>Apotek Erni Jatiraden Jl. Raya Kranggan No.4 RT.005 RW.009 Desa/Kelurahan Jatiraden,Kecamatan Jatisampurna, Kota Bekasi</t>
  </si>
  <si>
    <t>apotekerni@gmail.com</t>
  </si>
  <si>
    <t>26063012463606pvq8xdd0m</t>
  </si>
  <si>
    <t>Apotek Faisal</t>
  </si>
  <si>
    <t>AWB02U3TL</t>
  </si>
  <si>
    <t>26070101060110B3D0ZLFdm</t>
  </si>
  <si>
    <t>26070101060110B3D0ZLFdm-26070101060110wWUXT65tHH</t>
  </si>
  <si>
    <t>Jalan Tawangmangu Raya Blok C2 No. 4 RT 19 RW 07 Kelurahan Jati Cempaka Kecamatan Pondok Gede Kota Bekasi 17411</t>
  </si>
  <si>
    <t>retno.sri@gmail.com</t>
  </si>
  <si>
    <t>26070101060110wWUXT65tHH</t>
  </si>
  <si>
    <t>Apotek FarmaDok Jatiranggon Jatisampurna</t>
  </si>
  <si>
    <t>AWB02U24N</t>
  </si>
  <si>
    <t>26063005383679DbIDneN7</t>
  </si>
  <si>
    <t>26063005383679DbIDneN7-260701031407708y2hL2pKW-26070103140770see8vNBmV-26070103140770XvsIOQyYv</t>
  </si>
  <si>
    <t>Jl. Raya Kranggan No. 93 RT.006/RW.005, Desa/Kelurahan Jatiranggon, Kec. Jatisampurna, Kota Bekasi</t>
  </si>
  <si>
    <t>260701031407708y2hL2pKW</t>
  </si>
  <si>
    <t>26070103140770see8vNBmV</t>
  </si>
  <si>
    <t>26070103140770XvsIOQyYv</t>
  </si>
  <si>
    <t>Apotek Fatih Jatibening Baru Pondok Gede</t>
  </si>
  <si>
    <t>AWB02U2JF</t>
  </si>
  <si>
    <t>26063008180082xGc6P8sg</t>
  </si>
  <si>
    <t>26063008180082xGc6P8sg-260630082546341HViTlfsQT-26063008254634QS2c4vi-26063008345309pVM4HpcOV-26063008345309tdaZJ4R2gb-26063008451888cqeFlKKU-26063008451888EmHhaR2wt-26063009035466zoRuBIL5e-260630125112070NSGjRlrS-26063012511208nnEWaZ0rWJ-26063013133318iz1zhOMfGJ-26063013133318Q0Lw3Dg8</t>
  </si>
  <si>
    <t>Jl. Lampiri Raya No.108 B Desa/Kelurahan Jatibening Baru,Kecamatan Pondok Gede, Kota Bekasi, Jawa Barat, 17412</t>
  </si>
  <si>
    <t>fatih.apoteklampiri@gmail.com</t>
  </si>
  <si>
    <t>260630082546341HViTlfsQT</t>
  </si>
  <si>
    <t>26063008254634QS2c4vi</t>
  </si>
  <si>
    <t>26063008345309pVM4HpcOV</t>
  </si>
  <si>
    <t>26063008345309tdaZJ4R2gb</t>
  </si>
  <si>
    <t>26063008451888cqeFlKKU</t>
  </si>
  <si>
    <t>26063008451888EmHhaR2wt</t>
  </si>
  <si>
    <t>26063009035466zoRuBIL5e</t>
  </si>
  <si>
    <t>260630125112070NSGjRlrS</t>
  </si>
  <si>
    <t>26063012511208nnEWaZ0rWJ</t>
  </si>
  <si>
    <t>26063013133318iz1zhOMfGJ</t>
  </si>
  <si>
    <t>26063013133318Q0Lw3Dg8</t>
  </si>
  <si>
    <t>Apotek Fattima Farma</t>
  </si>
  <si>
    <t>AWB02U3F0</t>
  </si>
  <si>
    <t>26063016194201CxZrE2pbp1</t>
  </si>
  <si>
    <t>26063016194201CxZrE2pbp1-26063016194201hTXVwwE5gn-26063016194201JNEFc3gZJ2-26063016194201SLP0fbgdS</t>
  </si>
  <si>
    <t>Jalan Raya Curug Ruko No. 2 RT.001 RW.005 Kelurahan Curug, Kecamatan Bojongsari, Kota Depok 16517</t>
  </si>
  <si>
    <t>qq.pharmacy@gmail.com</t>
  </si>
  <si>
    <t>26063016194201hTXVwwE5gn</t>
  </si>
  <si>
    <t>26063016194201JNEFc3gZJ2</t>
  </si>
  <si>
    <t>26063016194201SLP0fbgdS</t>
  </si>
  <si>
    <t>Apotek Fikri Setu Cipayung</t>
  </si>
  <si>
    <t>AWB02U46S</t>
  </si>
  <si>
    <t>260701020540957O83GQw8uA</t>
  </si>
  <si>
    <t>260701020540957O83GQw8uA-26070102054095mT7M9aEc-26070102054095mUhvF2bjh-26070102054095RSvXtFPQ3</t>
  </si>
  <si>
    <t>Jalan Terusan Mabes Hankam RT 007 RW 004, Desa/Kelurahan Setu, Kecamatan Cipayung, Kota Administrasi Jakarta Timur, DKI Jakarta 13880</t>
  </si>
  <si>
    <t>apotekfikri13@gmail.com</t>
  </si>
  <si>
    <t>26070102054095mT7M9aEc</t>
  </si>
  <si>
    <t>26070102054095mUhvF2bjh</t>
  </si>
  <si>
    <t>26070102054095RSvXtFPQ3</t>
  </si>
  <si>
    <t>Apotek G Farma Kranggan</t>
  </si>
  <si>
    <t>AWB02U3QY</t>
  </si>
  <si>
    <t>26070100443570iGHid6FP7</t>
  </si>
  <si>
    <t>Ruko Kranggan Permai Blok RT 2 No. 4, RT 015 RW 015, Kelurahan Jatisampurna, Kecamatan Jatisampurna, Kota Bekasi, Jawa Barat 17433</t>
  </si>
  <si>
    <t>apotek.kranggannda@gmail.com</t>
  </si>
  <si>
    <t>Apotek Ghaniy 2 Grogol Limo</t>
  </si>
  <si>
    <t>AWB02U1SC</t>
  </si>
  <si>
    <t>26063004103258Nt3OKcUxQO</t>
  </si>
  <si>
    <t>26063004103258Nt3OKcUxQO-26063004103258PYqS1Q0Mr-26063004103258tmAuXYaA2</t>
  </si>
  <si>
    <t>Jalan Pramuka Raya RT.003 RW.007, Desa/Kelurahan Grogol, Kec. Limo, Kota Depok</t>
  </si>
  <si>
    <t>titikhakim@yahoo.com</t>
  </si>
  <si>
    <t>26063004103258PYqS1Q0Mr</t>
  </si>
  <si>
    <t>26063004103258tmAuXYaA2</t>
  </si>
  <si>
    <t>Apotek GMF Farma Depok Pancoran Mas</t>
  </si>
  <si>
    <t>AWB02U2QZ</t>
  </si>
  <si>
    <t>26063009544658iZMWck8LD</t>
  </si>
  <si>
    <t>Jl. Siliwangi No. 065 Rt. 001 Rw. 010 Kelurahan Depok Jaya, Kecamatan Pancoran Mas Kota Depok</t>
  </si>
  <si>
    <t>apotekgmffarma@gmail.com</t>
  </si>
  <si>
    <t>Apotek Hazira Farma Jaticempaka Pd Gede</t>
  </si>
  <si>
    <t>AWB02U40P</t>
  </si>
  <si>
    <t>260701014337027J3gW7Mbr9</t>
  </si>
  <si>
    <t>260701014337027J3gW7Mbr9-26070101433702aByC06rru3-26070101433702b0sC6soIc-26070101433702mieL31YPZo-26070101433702zylCtRn7</t>
  </si>
  <si>
    <t>Ruko Blok II No. 12 A Jl. Raya Curug RT 007 RW 002 Kel. Jaticempaka, Kec. Pondok Gede, Kota Bekasi 17411</t>
  </si>
  <si>
    <t>Hazira.Farma@gmail.com</t>
  </si>
  <si>
    <t>26070101433702aByC06rru3</t>
  </si>
  <si>
    <t>26070101433702b0sC6soIc</t>
  </si>
  <si>
    <t>26070101433702mieL31YPZo</t>
  </si>
  <si>
    <t>26070101433702zylCtRn7</t>
  </si>
  <si>
    <t>Apotek Heka Mekarsari Cimanggis</t>
  </si>
  <si>
    <t>AWB02U4L6</t>
  </si>
  <si>
    <t>26070102470421eTcW8K1</t>
  </si>
  <si>
    <t>Jalan Raya Jakarta Bogor no 10, Desa/Kel. Mekarsari, Kec. Cimanggis, Kota Depok</t>
  </si>
  <si>
    <t>apotekhekadepok@gmail.com</t>
  </si>
  <si>
    <t>Apotek Ihsan Farma</t>
  </si>
  <si>
    <t>AWB02U21Y</t>
  </si>
  <si>
    <t>26063005024796QS6t9VS1r</t>
  </si>
  <si>
    <t>26063005024796QS6t9VS1r-26063014225631ei3XZN7R</t>
  </si>
  <si>
    <t>Jalan Cilangkap Kp. Cilangkap RT 006 RW 012 Kelurahan Cilangkap Kecamatan Tapos Kota Depok  16411</t>
  </si>
  <si>
    <t>ihsanerfinsyah@gmail.com</t>
  </si>
  <si>
    <t>26063014225631ei3XZN7R</t>
  </si>
  <si>
    <t>Apotek Imani</t>
  </si>
  <si>
    <t>AWB02U2MT</t>
  </si>
  <si>
    <t>26063009025239HhZFWvasD</t>
  </si>
  <si>
    <t>26063009025239HhZFWvasD-26063009025239lIllKaC17</t>
  </si>
  <si>
    <t>Jalan  KH. M. Usman No. 17 RT 004 RW 002 Kelurahan Kukusan Kecamatan Beji Kota Depok 16425</t>
  </si>
  <si>
    <t>triana.rachmawati@gmail.com</t>
  </si>
  <si>
    <t>26063009025239lIllKaC17</t>
  </si>
  <si>
    <t>Apotek Inofarma Asmawi Beji Beji</t>
  </si>
  <si>
    <t>AWB02U2S6</t>
  </si>
  <si>
    <t>2606301025159188IKkT7n</t>
  </si>
  <si>
    <t>2606301025159188IKkT7n-26063010251591l00Ss5DRgR</t>
  </si>
  <si>
    <t>Jl. Haji Asmawi No.62A RT 004 RW 005 Kel. Beji Kec. Beji Kota Depok</t>
  </si>
  <si>
    <t>apotekinofarmaasmawi@gmail.com</t>
  </si>
  <si>
    <t>26063010251591l00Ss5DRgR</t>
  </si>
  <si>
    <t>Apotek Jalan Baru 1504</t>
  </si>
  <si>
    <t>AWB02U2VU</t>
  </si>
  <si>
    <t>26063011265369rnKSLWaXo</t>
  </si>
  <si>
    <t>26063011265369rnKSLWaXo-26063013560902OtwpjRFUd</t>
  </si>
  <si>
    <t>Jalan Proklamasi Blok D No. 20-21 RT 01 RW 023 Kelurahan Abadijaya Kecamatan Sukmajaya Depok 16417</t>
  </si>
  <si>
    <t>apt.jalanbaru@gmail.com</t>
  </si>
  <si>
    <t>26063013560902OtwpjRFUd</t>
  </si>
  <si>
    <t>Apotek Jatimulya</t>
  </si>
  <si>
    <t>AWB02U4FT</t>
  </si>
  <si>
    <t>26070102334195pt0rr4he</t>
  </si>
  <si>
    <t>Jalan Raya Kalimulya, Kelurahan Jatimulya Kecamatan Cilodong, Kota Depok, Jawa Barat 16413</t>
  </si>
  <si>
    <t>nadilaaa1207@gmail.com</t>
  </si>
  <si>
    <t>Apotek JS 1</t>
  </si>
  <si>
    <t>AWB02U24C</t>
  </si>
  <si>
    <t>26063005334181BQyD5A5m0</t>
  </si>
  <si>
    <t>26063005334181BQyD5A5m0-26070103271009E1mtGla3i-26070103271009mucaBWS3e0</t>
  </si>
  <si>
    <t>Jalan Pertigaan Malaka RT 002 RW 005 Kelurahan Cilangkap Kecamatan Cipayung Jakarta Timur 13870</t>
  </si>
  <si>
    <t>jsapotek@gmail.com</t>
  </si>
  <si>
    <t>26070103271009E1mtGla3i</t>
  </si>
  <si>
    <t>26070103271009mucaBWS3e0</t>
  </si>
  <si>
    <t>Apotek K24 Bintang Farma</t>
  </si>
  <si>
    <t>AWB02U3MG</t>
  </si>
  <si>
    <t>260630235324290Dx2IPxNYi</t>
  </si>
  <si>
    <t>260630235324290Dx2IPxNYi-26063023532429Zi6xT5xcZ</t>
  </si>
  <si>
    <t>Jl. Kincan raya No. 17C RT.001 RW.007 Kelurahan Jatibening,Kecamatan Pondok Gede,Kota Bekasi,Jawa Barat,17412</t>
  </si>
  <si>
    <t>willy_120882@yahoo.com</t>
  </si>
  <si>
    <t>26063023532429Zi6xT5xcZ</t>
  </si>
  <si>
    <t>Apotek K24 Jatirahayu Jatirahayu Pondok Melati</t>
  </si>
  <si>
    <t>AWB02U1ZP</t>
  </si>
  <si>
    <t>26063004412594La0RrT03I</t>
  </si>
  <si>
    <t>Jl Raya Hankam No. 114 Kel. Jatirahayu Kec. Pondok Melati Kota Bekasi</t>
  </si>
  <si>
    <t>k24jatirahayu@gmail.com</t>
  </si>
  <si>
    <t>Apotek Kalilicin Rangkapan Jaya Pancoran Mas</t>
  </si>
  <si>
    <t>AWB02U4MA</t>
  </si>
  <si>
    <t>260701025049739deBpufqD</t>
  </si>
  <si>
    <t>Ruko Rangkapan Jaya No 02-03, Kel. Rangkapan Jaya, Kec. Pancoran Mas, Kota Depok 16435</t>
  </si>
  <si>
    <t>kalilicinapotek@gmail.com</t>
  </si>
  <si>
    <t>Apotek Karunia Sejahtera Jatimurni Pondok Melati</t>
  </si>
  <si>
    <t>AWB02U4B8</t>
  </si>
  <si>
    <t>26070102193650NGaponWa7</t>
  </si>
  <si>
    <t>26070102193650NGaponWa7-26070103144958rQy18OD6</t>
  </si>
  <si>
    <t>Jl. Raya Kampung Sawah No. 2 RT. 007 RW. 001 Desa/Kelurahan Jatimurni, Kec. Pondokmelati, Kota Bekasi</t>
  </si>
  <si>
    <t>nabilafitria11@gmail.com</t>
  </si>
  <si>
    <t>26070103144958rQy18OD6</t>
  </si>
  <si>
    <t>Apotek Kebayunan Leuwinanggung Tapos</t>
  </si>
  <si>
    <t>AWB02U2JH</t>
  </si>
  <si>
    <t>26063008192633kmztvVFX7</t>
  </si>
  <si>
    <t>26063008192633kmztvVFX7-26063008192633MzWRRxi2-26063008192633vh98CqdqxD</t>
  </si>
  <si>
    <t>Ruko Alexandria Cimanggis Jl. Raya Leuwinanggung Tapos, Blok A No.17 , Kel. Leuwinanggung, Kec. Tapos, Kota Depok</t>
  </si>
  <si>
    <t>kebayunanapotek@gmail.com</t>
  </si>
  <si>
    <t>26063008192633MzWRRxi2</t>
  </si>
  <si>
    <t>26063008192633vh98CqdqxD</t>
  </si>
  <si>
    <t>Apotek Kiray Farma Cimpaeun Tapos</t>
  </si>
  <si>
    <t>AWB02U5B8</t>
  </si>
  <si>
    <t>260701035857456W8nxz1LY</t>
  </si>
  <si>
    <t>Jalan Raya Tapos RT 003 RW 02, Desa/Kelurahan Cimpaeun, Kec.Tapos, Kota Depok</t>
  </si>
  <si>
    <t>kireiapotek@gmail.com</t>
  </si>
  <si>
    <t>Apotek Kita</t>
  </si>
  <si>
    <t>AWB02U3EB</t>
  </si>
  <si>
    <t>26063016132231KQ232SsTM</t>
  </si>
  <si>
    <t>26063016132231KQ232SsTM-26063016132231leLuWwhbiX-26063016132231O1OzqRWJA-26063016132231qpN4H6bkhQ-26070102151556q0vp1d1c1</t>
  </si>
  <si>
    <t>Jalan Poin Mas Raya No.31 RT.003 RW.010 Kelurahan Mampang, Kecamatan Pancoranmas, Kota Depok 16433</t>
  </si>
  <si>
    <t>ernawati2580@gmail.com</t>
  </si>
  <si>
    <t>26063016132231leLuWwhbiX</t>
  </si>
  <si>
    <t>26063016132231O1OzqRWJA</t>
  </si>
  <si>
    <t>26063016132231qpN4H6bkhQ</t>
  </si>
  <si>
    <t>26070102151556q0vp1d1c1</t>
  </si>
  <si>
    <t>Apotek Kita 2</t>
  </si>
  <si>
    <t>AWB02U5E3</t>
  </si>
  <si>
    <t>26070104005637j5cA3af2jZ</t>
  </si>
  <si>
    <t>26070104005637j5cA3af2jZ-26070104005637zcNGJixkZ2</t>
  </si>
  <si>
    <t>Jalan Cipayung Jaya RT 04 RW 05 Kelurahan Cipayung Jaya Kecamatan Cipayung Kota Depok 16437</t>
  </si>
  <si>
    <t>apotekkita2cipayung@gmail.com</t>
  </si>
  <si>
    <t>26070104005637zcNGJixkZ2</t>
  </si>
  <si>
    <t>Apotek Kita Utama Pancoran Mas Pancoran Mas</t>
  </si>
  <si>
    <t>AWB02U35N</t>
  </si>
  <si>
    <t>260630140853481dweG5rM</t>
  </si>
  <si>
    <t>260630140853481dweG5rM-26063014085349078jgdwCMM-26063014085349MsZH5dQ6hP</t>
  </si>
  <si>
    <t>Jl. Cagar Alam RT 001 RW 006 Kel. Pancoran Mas Kec. Pancoran Mas Kota Depok</t>
  </si>
  <si>
    <t>apotek.kitautama@gmail.com</t>
  </si>
  <si>
    <t>26063014085349078jgdwCMM</t>
  </si>
  <si>
    <t>26063014085349MsZH5dQ6hP</t>
  </si>
  <si>
    <t>Apotek Malaka Yani Cilangkap Cipayung</t>
  </si>
  <si>
    <t>AWB02U53S</t>
  </si>
  <si>
    <t>260701034528864oBjWfAIC</t>
  </si>
  <si>
    <t>260701034528864oBjWfAIC-26070103452886KSwOgOJ8eI</t>
  </si>
  <si>
    <t>Jalan Malaka No 13 RT 002/ RW 005, Kel. Cilangkap, Kec. Cipayung, Kota Jakarta Timur</t>
  </si>
  <si>
    <t>ekah85981@gmail.com</t>
  </si>
  <si>
    <t>26070103452886KSwOgOJ8eI</t>
  </si>
  <si>
    <t>Apotek Mande Sawangan Baru Sawangan</t>
  </si>
  <si>
    <t>AWB02U2BK</t>
  </si>
  <si>
    <t>2606300643246331PqvxtR00</t>
  </si>
  <si>
    <t>2606300643246331PqvxtR00-26063006432463bZokFh55</t>
  </si>
  <si>
    <t>Perumahan Sawangan Permai, Ruko Royal Blok B No. 5A, RT.001, RW.007, Desa/Kelurahan Sawangan Baru, Kec. Sawangan, Kota Depok</t>
  </si>
  <si>
    <t>dr.fardib@gmail.com</t>
  </si>
  <si>
    <t>26063006432463bZokFh55</t>
  </si>
  <si>
    <t>Apotek Marlasria 2 Jatirangga Jatisampurna</t>
  </si>
  <si>
    <t>AWB02U38M</t>
  </si>
  <si>
    <t>26063014504244EfuO12rrv</t>
  </si>
  <si>
    <t>Jl. Kranggan Permai Raya S6 No.13, RT.011/RW.015, Desa/Kel. Jatirangga, Kec. Jatisampurna, Kota Bekasi, 17433</t>
  </si>
  <si>
    <t>apotekmarlasriakranggan@gmail.com</t>
  </si>
  <si>
    <t>Apotek Medpharm GDC Tirtajaya Sukmajaya</t>
  </si>
  <si>
    <t>AWB02U3YR</t>
  </si>
  <si>
    <t>26070101331093ASFbKWKM</t>
  </si>
  <si>
    <t>26070101331093ASFbKWKM-26070101331093oOcDZZZ6H-26070101331093owjqpTGe0</t>
  </si>
  <si>
    <t>Ruko Gardenia, Grand Depok City, Grand Depok City, Jalan KSU Parung Serab, Kelurahan Tirtajaya, Kecamatan Sukmajaya, Kota Depok, Jawa Barat 16412</t>
  </si>
  <si>
    <t>aripratita01@gmail.com</t>
  </si>
  <si>
    <t>26070101331093oOcDZZZ6H</t>
  </si>
  <si>
    <t>26070101331093owjqpTGe0</t>
  </si>
  <si>
    <t>Apotek Merapi</t>
  </si>
  <si>
    <t>AWB02U2BT</t>
  </si>
  <si>
    <t>26063006481505jugiGz3CR</t>
  </si>
  <si>
    <t>26063006481505jugiGz3CR-26063006481505Mv3tfFYDlC</t>
  </si>
  <si>
    <t>Jalan Kejayaan Blok X No. 9 RT 006/ RW 012 Kelurahan Abadijaya, Kecamatan Sukmajaya Kota Depok 16417</t>
  </si>
  <si>
    <t>Novinitrie@gmail.com</t>
  </si>
  <si>
    <t>26063006481505Mv3tfFYDlC</t>
  </si>
  <si>
    <t>Apotek MMK24 Abadi Jaya Sukmajaya</t>
  </si>
  <si>
    <t>AWB02U1X9</t>
  </si>
  <si>
    <t>26063004244130JFBGknAW</t>
  </si>
  <si>
    <t>26063004244130JFBGknAW-26063004244130oaOlSMTZtW-26063004244130xeFiYmHSNk-260630232428125HnMHXhSL-26063023242812sDY8bJedYI-26063023334538G7MPFfIpO-26070100014212hp9n9Tjup-26070100014212oZB72KiWFO</t>
  </si>
  <si>
    <t>Jl. Kejayaan Blok 10 No. 10, Desa/Kelurahan Abadi Jaya, Kec.Sukmajaya, Kota Depok,</t>
  </si>
  <si>
    <t>mmk24apotek@gmail.com</t>
  </si>
  <si>
    <t>26063004244130oaOlSMTZtW</t>
  </si>
  <si>
    <t>26063004244130xeFiYmHSNk</t>
  </si>
  <si>
    <t>260630232428125HnMHXhSL</t>
  </si>
  <si>
    <t>26063023242812sDY8bJedYI</t>
  </si>
  <si>
    <t>26063023334538G7MPFfIpO</t>
  </si>
  <si>
    <t>26070100014212hp9n9Tjup</t>
  </si>
  <si>
    <t>26070100014212oZB72KiWFO</t>
  </si>
  <si>
    <t>Apotek Mustika Waras Jatirasa Jatiasih</t>
  </si>
  <si>
    <t>AWB02U4VY</t>
  </si>
  <si>
    <t>26070103165241A9mdluA8c</t>
  </si>
  <si>
    <t>26070103165241A9mdluA8c-26070103165241ZQacdxAmx</t>
  </si>
  <si>
    <t>Jl. Swatantra V No. 66 B RT 07 RW 03 Kel. Jatirasa, Kec. Jatiasih, Kota Bekasi 17424</t>
  </si>
  <si>
    <t>mustikamatohutomo@gmail.com</t>
  </si>
  <si>
    <t>26070103165241ZQacdxAmx</t>
  </si>
  <si>
    <t>Apotek Nakita Madalle</t>
  </si>
  <si>
    <t>AWB02U26E</t>
  </si>
  <si>
    <t>26063005575562h7zy4GhdH</t>
  </si>
  <si>
    <t>26063005575562h7zy4GhdH-26063005575562HmEeWoOQqj-26063005575562pX89wlOwz-26063006142042AQImNB8rbz-26063006142042gmX5C9xzA-26063006275561bmHqcAQl-26063006275561nuzF3ga61-26063006344176n9CnShnig-26063006344176SWZ1D81jSr-26063006344176x2gUQ3jbB9-26063006391746p18VMK0oL-26063006405407peqmU85m</t>
  </si>
  <si>
    <t>Perumahan Permata Cimanggis Blok CC No.15 RT005/RW021 Kel.Cimpaeun Kec.Tapos Depok Jawa Barat 16459</t>
  </si>
  <si>
    <t>apnakita@gmail.com</t>
  </si>
  <si>
    <t>26063005575562HmEeWoOQqj</t>
  </si>
  <si>
    <t>26063005575562pX89wlOwz</t>
  </si>
  <si>
    <t>26063006142042AQImNB8rbz</t>
  </si>
  <si>
    <t>26063006142042gmX5C9xzA</t>
  </si>
  <si>
    <t>26063006275561bmHqcAQl</t>
  </si>
  <si>
    <t>26063006275561nuzF3ga61</t>
  </si>
  <si>
    <t>26063006344176n9CnShnig</t>
  </si>
  <si>
    <t>26063006344176SWZ1D81jSr</t>
  </si>
  <si>
    <t>26063006344176x2gUQ3jbB9</t>
  </si>
  <si>
    <t>26063006391746p18VMK0oL</t>
  </si>
  <si>
    <t>26063006405407peqmU85m</t>
  </si>
  <si>
    <t>Apotek Omega Pengasinan Sawangan</t>
  </si>
  <si>
    <t>AWB02U3LL</t>
  </si>
  <si>
    <t>26063023331880JWSywN48Hf</t>
  </si>
  <si>
    <t>26063023331880JWSywN48Hf-26063023331880xxhT9nEG-26063023331880ZhoPmuq34s-26063023345926vAiplf3je</t>
  </si>
  <si>
    <t>Ruko Citra Garden 5 Blok A1 Jalan Panggulan RT. 003 RW. 004 Kel. Pengasinan Kec. Sawangan Kota Depok</t>
  </si>
  <si>
    <t>wizzy.ask@gmail.com</t>
  </si>
  <si>
    <t>26063023331880xxhT9nEG</t>
  </si>
  <si>
    <t>26063023331880ZhoPmuq34s</t>
  </si>
  <si>
    <t>26063023345926vAiplf3je</t>
  </si>
  <si>
    <t>Apotek Pekapuran</t>
  </si>
  <si>
    <t>AWB02U4DH</t>
  </si>
  <si>
    <t>26070102253587ElEfeBWw7C</t>
  </si>
  <si>
    <t>26070102253587ElEfeBWw7C-26070102253587sCnvskxCu-26070102434569iEyoVWBrc</t>
  </si>
  <si>
    <t>Jalan Raya Pekapuran No. 106 RT 001 RW 022, Kelurahan Sukatani, Kecamatan Tapos Kota Depok 16454</t>
  </si>
  <si>
    <t>Dianarie99@gmail.com</t>
  </si>
  <si>
    <t>26070102253587sCnvskxCu</t>
  </si>
  <si>
    <t>26070102434569iEyoVWBrc</t>
  </si>
  <si>
    <t>Apotek Pharmasena Cinere Cinere</t>
  </si>
  <si>
    <t>AWB02U4SH</t>
  </si>
  <si>
    <t>260701030658160z5qBblV2y</t>
  </si>
  <si>
    <t>260701030658160z5qBblV2y-26070103065816VDdPqf6TK</t>
  </si>
  <si>
    <t>Jl. Bukit Cinere No.5E RT/RW.001/008, Desa/Kel. Cinere, Kec. Cinere, Kota Depok</t>
  </si>
  <si>
    <t>pharmasenateam@gmail.com</t>
  </si>
  <si>
    <t>26070103065816VDdPqf6TK</t>
  </si>
  <si>
    <t>Apotek Pondok Gede Farma</t>
  </si>
  <si>
    <t>AWB02U3XL</t>
  </si>
  <si>
    <t>2607010127019024WQOjAgy</t>
  </si>
  <si>
    <t>Jalan Raya Jatiwaringin 232 B Kelurahan Jaticempaka Kecamatan Pondokgede Kota Bekasi Jawa Barat 17411</t>
  </si>
  <si>
    <t>ferdinand_psrb@yahoo.com</t>
  </si>
  <si>
    <t>Apotek Puri Seruni Estetika Jatiwarna</t>
  </si>
  <si>
    <t>AWB02U2VN</t>
  </si>
  <si>
    <t>260630112541051Agp2Y39cR</t>
  </si>
  <si>
    <t>260630112541051Agp2Y39cR-26063011254105lBPm7ppvD</t>
  </si>
  <si>
    <t>Jalan Raya Hankam No.54 RT 006 RW 009 Kelurahan Jatiwarna Kecamatan Pondok Melati Kota Bekasi Jawa Barat 17415</t>
  </si>
  <si>
    <t>apotekstevia54@gmail.com</t>
  </si>
  <si>
    <t>26063011254105lBPm7ppvD</t>
  </si>
  <si>
    <t>Apotek Pusena Pratama Duren Seribu Bojongsari</t>
  </si>
  <si>
    <t>AWB02U34Q</t>
  </si>
  <si>
    <t>26063013522694bGGHAnCrVz</t>
  </si>
  <si>
    <t>26063013522694bGGHAnCrVz-26063013522694JFxZjx0CW6-26063013522694JJB11KBw</t>
  </si>
  <si>
    <t>Jl. Sawangan Elok No. 72 Rt 03/08 Kel. Duren Seribu Kec. Bojongsari Kota Depok</t>
  </si>
  <si>
    <t>denillaputrii@gmail.com</t>
  </si>
  <si>
    <t>26063013522694JFxZjx0CW6</t>
  </si>
  <si>
    <t>26063013522694JJB11KBw</t>
  </si>
  <si>
    <t>Apotek Raudha Farma</t>
  </si>
  <si>
    <t>AWB02U3MR</t>
  </si>
  <si>
    <t>2606302356399465YRqmPq</t>
  </si>
  <si>
    <t>2606302356399465YRqmPq-26063023563994rXPc9dJcL-26063023563994wpJSDNwPoD</t>
  </si>
  <si>
    <t>Jl. Raya Ceger No. 99, Ceger, Cipayung</t>
  </si>
  <si>
    <t>lita_arf@yahoo.com</t>
  </si>
  <si>
    <t>26063023563994rXPc9dJcL</t>
  </si>
  <si>
    <t>26063023563994wpJSDNwPoD</t>
  </si>
  <si>
    <t>Apotek Reni Jaya Pondok Petir Bojongsari</t>
  </si>
  <si>
    <t>AWB02U40K</t>
  </si>
  <si>
    <t>26070101432075o4ujlGZlNa</t>
  </si>
  <si>
    <t>26070101432075o4ujlGZlNa-26070101432075WCfSHml9J</t>
  </si>
  <si>
    <t>Jl. Reni Jaya Blok C12 No. 13 RT. 06 RW. 06 Kel. Pondok Petir Kec. Bojongsari Kota Depok</t>
  </si>
  <si>
    <t>ajengrahajeng6@gmail.com</t>
  </si>
  <si>
    <t>26070101432075WCfSHml9J</t>
  </si>
  <si>
    <t>Apotek Rosa Farma</t>
  </si>
  <si>
    <t>AWB02U547</t>
  </si>
  <si>
    <t>260701034616433mu7xgKPq</t>
  </si>
  <si>
    <t>260701034616433mu7xgKPq-26070103461643UWQYFCtzr-260701035808242HB3hCmdf</t>
  </si>
  <si>
    <t>Jalan Klamono No. 17 RT 001 RW 001, Kelurahan Jatimakmur, Kecamatan Pondok Gede, Kota Bekasi 17413</t>
  </si>
  <si>
    <t>rirmadh@gmail.com</t>
  </si>
  <si>
    <t>26070103461643UWQYFCtzr</t>
  </si>
  <si>
    <t>260701035808242HB3hCmdf</t>
  </si>
  <si>
    <t>Apotek Sabi Pharma Cilangkap Cipayung</t>
  </si>
  <si>
    <t>AWB02U4C3</t>
  </si>
  <si>
    <t>26070102223353m4blAvVadI</t>
  </si>
  <si>
    <t>26070102223353m4blAvVadI-26070102223353t4p9f7tNp-26070102223353tulFDVYhs</t>
  </si>
  <si>
    <t>Jl. Cilangkap Baru Blok R No. 3 RT 001 RW 001 Kel. Cilangkap Kec. Cipayung Kota Jakarta Timur</t>
  </si>
  <si>
    <t>sabipharmaapotek@gmail.com</t>
  </si>
  <si>
    <t>26070102223353t4p9f7tNp</t>
  </si>
  <si>
    <t>26070102223353tulFDVYhs</t>
  </si>
  <si>
    <t>Apotek Sahabat Galenika 2 Jatiranggon Jatisampurna</t>
  </si>
  <si>
    <t>AWB02U54V</t>
  </si>
  <si>
    <t>26070103472924e77VovtPr</t>
  </si>
  <si>
    <t>26070103472924e77VovtPr-26070103472924euKUvyNq-26070103472924mafNwBvPyy</t>
  </si>
  <si>
    <t>Jl Mess AL No 1 RT 001 RW 001 Kel. Jatiranggon Kec. Jatisampurna Kota Bekasi</t>
  </si>
  <si>
    <t>galenika02@gmail.com</t>
  </si>
  <si>
    <t>26070103472924euKUvyNq</t>
  </si>
  <si>
    <t>26070103472924mafNwBvPyy</t>
  </si>
  <si>
    <t>Apotek Sahabat Sehat 1455</t>
  </si>
  <si>
    <t>AWB02U405</t>
  </si>
  <si>
    <t>26070101413945Rv8AdMo4X</t>
  </si>
  <si>
    <t>26070101413945Rv8AdMo4X-26070101413945ZGtbTvj4Q</t>
  </si>
  <si>
    <t>Jl. Masjid Raya No. 30 RT 001 RW 012 Kelurahan - Jaticempaka Kecamatan - Pondok Gede Kota Bekasi</t>
  </si>
  <si>
    <t>ernayuanita@gmail.com</t>
  </si>
  <si>
    <t>26070101413945ZGtbTvj4Q</t>
  </si>
  <si>
    <t>Apotek Salam Sehat Tanah Baru Beji</t>
  </si>
  <si>
    <t>AWB02U2V9</t>
  </si>
  <si>
    <t>26063011173570vvgUFNTZd</t>
  </si>
  <si>
    <t>Jl. Curug Agung No. 14 RT 002 RW. 006 , Kel. Tanah Baru, Kec. Beji, Kota Depok</t>
  </si>
  <si>
    <t>dwii.rahmawatii14@gmail.com</t>
  </si>
  <si>
    <t>Apotek Sentosa 3142</t>
  </si>
  <si>
    <t>AWB02U26H</t>
  </si>
  <si>
    <t>26063005575635SJvAOuozKc</t>
  </si>
  <si>
    <t>26063005575635SJvAOuozKc-26063005575635wZ9yXcwGo</t>
  </si>
  <si>
    <t>Jl. Sukamaju Baru Gg Nangka No 6 RT 01/ RW 02 Kel.Sukamaju Baru Kec.Tapos Depok Jawa Barat 16455</t>
  </si>
  <si>
    <t>prisil.gareth21@gmail.com</t>
  </si>
  <si>
    <t>26063005575635wZ9yXcwGo</t>
  </si>
  <si>
    <t>Apotek Via</t>
  </si>
  <si>
    <t>AWB02U4DK</t>
  </si>
  <si>
    <t>26070102253731sVO9ZaQwR</t>
  </si>
  <si>
    <t>26070102253731sVO9ZaQwR-26070102253731yT1SlW5Ox</t>
  </si>
  <si>
    <t>Jalan Krukut Raya RT 006 RW 001 Kelurahan Krukut Kecamatan Limo Kota Depok 16512</t>
  </si>
  <si>
    <t>Viapotek@gmail.com</t>
  </si>
  <si>
    <t>26070102253731yT1SlW5Ox</t>
  </si>
  <si>
    <t>Apotek Wijaya Cinangka Sawangan</t>
  </si>
  <si>
    <t>AWB02U501</t>
  </si>
  <si>
    <t>26070103330351GISyO5Fz</t>
  </si>
  <si>
    <t>Perumahan Amara Residence No A-11 Desa/Kelurahan Cinangka, Kec. Sawangan, Kota Depok</t>
  </si>
  <si>
    <t>Apotekwijaya57@gmail.com</t>
  </si>
  <si>
    <t>Apotek Wirya Prima Medika Tanah Baru Beji</t>
  </si>
  <si>
    <t>AWB02U2V3</t>
  </si>
  <si>
    <t>26063011143860PtLiFTcmT</t>
  </si>
  <si>
    <t>Jl. Tanah Baru Raya No. 12 Rt. 003 Rw. 005, Desa/Kelurahan Tanah Baru, Kec. Beji, Kota Depok</t>
  </si>
  <si>
    <t>tasya.wijayanti00@gmail.com</t>
  </si>
  <si>
    <t>Apotek Zam Zam Mulia</t>
  </si>
  <si>
    <t>AWB02U327</t>
  </si>
  <si>
    <t>260630131746855BHBPyUi4l</t>
  </si>
  <si>
    <t>260630131746855BHBPyUi4l-26063013174685DblbGSsy9z-26063013174685TsqXEb4Ff-26063013174685VvwRTJjzc7</t>
  </si>
  <si>
    <t>Jl Raya Jatiwaringin no 306 Kel. jatiwaringin Kec. Pondok Gede Bekasi</t>
  </si>
  <si>
    <t>rafaelhalif@gmail.com</t>
  </si>
  <si>
    <t>26063013174685DblbGSsy9z</t>
  </si>
  <si>
    <t>26063013174685TsqXEb4Ff</t>
  </si>
  <si>
    <t>26063013174685VvwRTJjzc7</t>
  </si>
  <si>
    <t>Apotek Zee33</t>
  </si>
  <si>
    <t>AWB02U46J</t>
  </si>
  <si>
    <t>260701020408864EF3gBsyl</t>
  </si>
  <si>
    <t>260701020408864EF3gBsyl-26070102040886BBANkk7ydB-26070102191369EkGVpu2D0</t>
  </si>
  <si>
    <t>Jl. Damai PBSI No. 3D RT.011 RW 01, Desa/Kelurahan Cipayung, Kec.  Cipayung, Kota Adm. Jakarta Timur,13840</t>
  </si>
  <si>
    <t>apotekzee@gmail.com</t>
  </si>
  <si>
    <t>26070102040886BBANkk7ydB</t>
  </si>
  <si>
    <t>26070102191369EkGVpu2D0</t>
  </si>
  <si>
    <t>Klinik Pratama Indria Medicare Jatimelati Pd Melati</t>
  </si>
  <si>
    <t>AWB02U4UR</t>
  </si>
  <si>
    <t>260701031326901HsqRXKKm</t>
  </si>
  <si>
    <t>JI. Kp Sawah No.30 RT 005 RW 004 Kel. Jatimelati Kec. Pondok Melati Kota Bekasi</t>
  </si>
  <si>
    <t>klinikindria@gmail.com</t>
  </si>
  <si>
    <t>Klinik Pratama Rawat Inap Tugu Sawangan Cinangka</t>
  </si>
  <si>
    <t>AWB02U4V7</t>
  </si>
  <si>
    <t>260701031423610h4AszSNV</t>
  </si>
  <si>
    <t>Jl. Abdul Wahab No. 50 RT.004/008 Kel. Cinangka Kec. Sawangan Kota Depok</t>
  </si>
  <si>
    <t>Wardanabiela@gmail.com</t>
  </si>
  <si>
    <t>Klinik Siti Aksar Beji Tim Beji</t>
  </si>
  <si>
    <t>AWB02U471</t>
  </si>
  <si>
    <t>26070102062582L99qIQ7nO</t>
  </si>
  <si>
    <t>Jl Karet Hijau No. 1 RT 003 RW 005 Kel. Beji Timur Kec. Beji Kota Depok</t>
  </si>
  <si>
    <t>kasriandifitr4@gmail.com</t>
  </si>
  <si>
    <t>Klinik Utama Rawat Inap Prima Husada</t>
  </si>
  <si>
    <t>AWB02U23U</t>
  </si>
  <si>
    <t>26063005241486e5FkNvhDc</t>
  </si>
  <si>
    <t>Jalan Cinere Raya Blok F1 No. 1 RT 01 RW 15, Kelurahan Cinere, Kecamatan Cinere, Kota Depok 16514</t>
  </si>
  <si>
    <t>Idaysf74@gmail.com</t>
  </si>
  <si>
    <t>PBF PT MUTIARA MAJU MANDIRI</t>
  </si>
  <si>
    <t>AWB02U2ZT</t>
  </si>
  <si>
    <t>26063012340530iz98d0dJT</t>
  </si>
  <si>
    <t>Jl. Wijaya Kusuma IX No. 34 RT. 10 RW. 06 Kel. Depok Jaya Kec.Pancoran Mas Kota Depok 16436</t>
  </si>
  <si>
    <t>mutiaramajumandiri@gmail.com</t>
  </si>
  <si>
    <t>Total Destination</t>
  </si>
  <si>
    <t>:</t>
  </si>
  <si>
    <t>Estimated Bike Total by Weight</t>
  </si>
  <si>
    <t>Estimated Bike Total by Volume</t>
  </si>
  <si>
    <t>Estimated Bike Total by Destination</t>
  </si>
  <si>
    <t>Estimated Total Rider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</si>
</sst>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000000"/>
    <numFmt numFmtId="166" formatCode="0.00000000"/>
    <numFmt numFmtId="167" formatCode="m/d/yyyy h:mm:ss"/>
  </numFmts>
  <fonts count="9">
    <font>
      <sz val="10.0"/>
      <color rgb="FF000000"/>
      <name val="Arial"/>
      <scheme val="minor"/>
    </font>
    <font>
      <b/>
      <color theme="1"/>
      <name val="Arial"/>
    </font>
    <font>
      <b/>
      <i/>
      <color theme="1"/>
      <name val="Arial"/>
    </font>
    <font>
      <b/>
      <i/>
      <sz val="10.0"/>
      <color theme="1"/>
      <name val="Arial"/>
    </font>
    <font>
      <b/>
      <color rgb="FF000000"/>
      <name val="Arial"/>
    </font>
    <font>
      <color theme="1"/>
      <name val="Arial"/>
    </font>
    <font>
      <sz val="10.0"/>
      <color theme="1"/>
      <name val="Arial"/>
    </font>
    <font>
      <b/>
      <sz val="2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8">
    <border/>
    <border>
      <bottom style="thick">
        <color rgb="FF8093B3"/>
      </bottom>
    </border>
    <border>
      <right style="thin">
        <color rgb="FFFFFFFF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2" fontId="2" numFmtId="165" xfId="0" applyAlignment="1" applyFont="1" applyNumberFormat="1">
      <alignment horizontal="center" shrinkToFit="0" vertical="center" wrapText="1"/>
    </xf>
    <xf borderId="0" fillId="2" fontId="2" numFmtId="1" xfId="0" applyAlignment="1" applyFont="1" applyNumberFormat="1">
      <alignment horizontal="left" shrinkToFit="0" vertical="center" wrapText="1"/>
    </xf>
    <xf borderId="0" fillId="2" fontId="2" numFmtId="1" xfId="0" applyAlignment="1" applyFont="1" applyNumberFormat="1">
      <alignment horizontal="center" shrinkToFit="0" vertical="center" wrapText="1"/>
    </xf>
    <xf borderId="0" fillId="2" fontId="2" numFmtId="166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2" fontId="2" numFmtId="165" xfId="0" applyAlignment="1" applyFont="1" applyNumberFormat="1">
      <alignment horizontal="left" shrinkToFit="0" vertical="center" wrapText="1"/>
    </xf>
    <xf borderId="0" fillId="2" fontId="1" numFmtId="0" xfId="0" applyAlignment="1" applyFont="1">
      <alignment horizontal="left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1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4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" xfId="0" applyAlignment="1" applyFont="1" applyNumberFormat="1">
      <alignment horizontal="center" vertical="bottom"/>
    </xf>
    <xf borderId="0" fillId="2" fontId="1" numFmtId="166" xfId="0" applyAlignment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vertical="bottom"/>
    </xf>
    <xf borderId="0" fillId="2" fontId="3" numFmtId="0" xfId="0" applyAlignment="1" applyFon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2" numFmtId="165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left" shrinkToFit="0" vertical="center" wrapText="1"/>
    </xf>
    <xf borderId="1" fillId="3" fontId="2" numFmtId="1" xfId="0" applyAlignment="1" applyBorder="1" applyFont="1" applyNumberFormat="1">
      <alignment horizontal="center" shrinkToFit="0" vertical="center" wrapText="1"/>
    </xf>
    <xf borderId="1" fillId="3" fontId="2" numFmtId="166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2" numFmtId="165" xfId="0" applyAlignment="1" applyBorder="1" applyFont="1" applyNumberFormat="1">
      <alignment horizontal="left" shrinkToFit="0" vertical="center" wrapText="1"/>
    </xf>
    <xf borderId="1" fillId="3" fontId="1" numFmtId="0" xfId="0" applyAlignment="1" applyBorder="1" applyFont="1">
      <alignment horizontal="left" vertical="center"/>
    </xf>
    <xf borderId="0" fillId="3" fontId="1" numFmtId="0" xfId="0" applyAlignment="1" applyFont="1">
      <alignment horizontal="center" shrinkToFit="0" vertical="center" wrapText="1"/>
    </xf>
    <xf borderId="0" fillId="3" fontId="1" numFmtId="1" xfId="0" applyAlignment="1" applyFont="1" applyNumberFormat="1">
      <alignment horizontal="center" shrinkToFit="0" vertical="center" wrapText="1"/>
    </xf>
    <xf borderId="0" fillId="3" fontId="1" numFmtId="0" xfId="0" applyAlignment="1" applyFont="1">
      <alignment horizontal="center" vertical="center"/>
    </xf>
    <xf borderId="0" fillId="0" fontId="5" numFmtId="0" xfId="0" applyAlignment="1" applyFont="1">
      <alignment horizontal="left" vertical="bottom"/>
    </xf>
    <xf borderId="2" fillId="0" fontId="5" numFmtId="0" xfId="0" applyAlignment="1" applyBorder="1" applyFont="1">
      <alignment horizontal="left" vertical="bottom"/>
    </xf>
    <xf borderId="2" fillId="0" fontId="5" numFmtId="164" xfId="0" applyAlignment="1" applyBorder="1" applyFont="1" applyNumberFormat="1">
      <alignment horizontal="center" vertical="bottom"/>
    </xf>
    <xf borderId="2" fillId="0" fontId="5" numFmtId="165" xfId="0" applyAlignment="1" applyBorder="1" applyFont="1" applyNumberForma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166" xfId="0" applyAlignment="1" applyBorder="1" applyFont="1" applyNumberFormat="1">
      <alignment vertical="bottom"/>
    </xf>
    <xf borderId="2" fillId="0" fontId="6" numFmtId="0" xfId="0" applyAlignment="1" applyBorder="1" applyFont="1">
      <alignment horizontal="right" vertical="bottom"/>
    </xf>
    <xf borderId="2" fillId="0" fontId="5" numFmtId="165" xfId="0" applyAlignment="1" applyBorder="1" applyFont="1" applyNumberFormat="1">
      <alignment horizontal="left" vertical="bottom"/>
    </xf>
    <xf borderId="2" fillId="0" fontId="5" numFmtId="1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167" xfId="0" applyAlignment="1" applyFont="1" applyNumberFormat="1">
      <alignment vertical="bottom"/>
    </xf>
    <xf borderId="0" fillId="0" fontId="5" numFmtId="11" xfId="0" applyAlignment="1" applyFont="1" applyNumberFormat="1">
      <alignment vertical="bottom"/>
    </xf>
    <xf borderId="0" fillId="0" fontId="6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center"/>
    </xf>
    <xf borderId="0" fillId="0" fontId="5" numFmtId="165" xfId="0" applyAlignment="1" applyFont="1" applyNumberFormat="1">
      <alignment horizontal="left"/>
    </xf>
    <xf borderId="2" fillId="0" fontId="5" numFmtId="49" xfId="0" applyAlignment="1" applyBorder="1" applyFont="1" applyNumberFormat="1">
      <alignment horizontal="left" vertical="bottom"/>
    </xf>
    <xf borderId="0" fillId="0" fontId="5" numFmtId="0" xfId="0" applyAlignment="1" applyFont="1">
      <alignment horizontal="left"/>
    </xf>
    <xf borderId="0" fillId="0" fontId="5" numFmtId="1" xfId="0" applyFont="1" applyNumberFormat="1"/>
    <xf borderId="0" fillId="0" fontId="5" numFmtId="165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6" xfId="0" applyFont="1" applyNumberFormat="1"/>
    <xf borderId="0" fillId="0" fontId="5" numFmtId="3" xfId="0" applyFont="1" applyNumberFormat="1"/>
    <xf borderId="0" fillId="0" fontId="7" numFmtId="0" xfId="0" applyAlignment="1" applyFont="1">
      <alignment horizontal="center"/>
    </xf>
    <xf borderId="3" fillId="0" fontId="8" numFmtId="0" xfId="0" applyBorder="1" applyFont="1"/>
    <xf borderId="4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5" fillId="0" fontId="1" numFmtId="0" xfId="0" applyAlignment="1" applyBorder="1" applyFont="1">
      <alignment horizontal="right" vertical="top"/>
    </xf>
    <xf borderId="5" fillId="0" fontId="1" numFmtId="1" xfId="0" applyAlignment="1" applyBorder="1" applyFont="1" applyNumberFormat="1">
      <alignment horizontal="right" vertical="top"/>
    </xf>
    <xf borderId="6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top"/>
    </xf>
    <xf borderId="7" fillId="0" fontId="1" numFmtId="1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 outlineLevelCol="1"/>
  <cols>
    <col customWidth="1" min="1" max="2" width="41.88"/>
    <col customWidth="1" min="3" max="3" width="51.88" outlineLevel="1"/>
    <col customWidth="1" min="4" max="4" width="66.5" outlineLevel="1"/>
    <col customWidth="1" min="5" max="5" width="12.63" outlineLevel="1"/>
    <col customWidth="1" min="6" max="6" width="92.25" outlineLevel="1"/>
    <col customWidth="1" min="7" max="7" width="72.5" outlineLevel="1"/>
    <col customWidth="1" min="8" max="8" width="9.75"/>
    <col customWidth="1" min="9" max="9" width="22.38"/>
    <col customWidth="1" min="10" max="10" width="11.5" outlineLevel="1"/>
    <col customWidth="1" min="11" max="11" width="31.88" outlineLevel="1"/>
    <col customWidth="1" min="12" max="12" width="8.13"/>
    <col customWidth="1" min="13" max="13" width="117.25"/>
    <col customWidth="1" min="14" max="14" width="17.25"/>
    <col customWidth="1" min="15" max="15" width="15.0"/>
    <col customWidth="1" min="16" max="16" width="20.88"/>
    <col customWidth="1" min="19" max="19" width="10.0"/>
    <col customWidth="1" min="20" max="20" width="26.25"/>
    <col customWidth="1" min="21" max="21" width="95.5"/>
    <col customWidth="1" min="23" max="23" width="64.88"/>
  </cols>
  <sheetData>
    <row r="1" ht="33.0" customHeight="1">
      <c r="A1" s="1"/>
      <c r="B1" s="2"/>
      <c r="C1" s="3"/>
      <c r="D1" s="4"/>
      <c r="E1" s="5"/>
      <c r="F1" s="6"/>
      <c r="G1" s="7"/>
      <c r="H1" s="8"/>
      <c r="I1" s="9"/>
      <c r="J1" s="4"/>
      <c r="K1" s="10"/>
      <c r="L1" s="6"/>
      <c r="M1" s="3"/>
      <c r="N1" s="11"/>
      <c r="O1" s="12"/>
      <c r="P1" s="12"/>
      <c r="Q1" s="13"/>
      <c r="R1" s="12"/>
      <c r="S1" s="13"/>
      <c r="T1" s="12"/>
      <c r="U1" s="12"/>
      <c r="V1" s="12"/>
      <c r="W1" s="12"/>
      <c r="X1" s="12"/>
      <c r="Y1" s="14"/>
      <c r="Z1" s="14"/>
      <c r="AA1" s="14"/>
    </row>
    <row r="2" ht="33.0" customHeight="1">
      <c r="A2" s="1" t="s">
        <v>0</v>
      </c>
      <c r="B2" s="15" t="s">
        <v>1</v>
      </c>
      <c r="C2" s="15" t="s">
        <v>2</v>
      </c>
      <c r="D2" s="16" t="s">
        <v>3</v>
      </c>
      <c r="E2" s="17" t="s">
        <v>4</v>
      </c>
      <c r="F2" s="18" t="s">
        <v>5</v>
      </c>
      <c r="G2" s="16" t="s">
        <v>3</v>
      </c>
      <c r="H2" s="19" t="s">
        <v>4</v>
      </c>
      <c r="I2" s="15" t="s">
        <v>6</v>
      </c>
      <c r="J2" s="4"/>
      <c r="K2" s="10"/>
      <c r="L2" s="6"/>
      <c r="M2" s="15" t="s">
        <v>6</v>
      </c>
      <c r="N2" s="20" t="s">
        <v>7</v>
      </c>
      <c r="O2" s="20" t="s">
        <v>8</v>
      </c>
      <c r="P2" s="20" t="s">
        <v>9</v>
      </c>
      <c r="Q2" s="13"/>
      <c r="R2" s="12"/>
      <c r="S2" s="13"/>
      <c r="T2" s="21" t="s">
        <v>10</v>
      </c>
      <c r="U2" s="21" t="s">
        <v>11</v>
      </c>
      <c r="V2" s="12"/>
      <c r="W2" s="20" t="s">
        <v>12</v>
      </c>
      <c r="X2" s="12"/>
      <c r="Y2" s="14"/>
      <c r="Z2" s="14"/>
      <c r="AA2" s="14"/>
    </row>
    <row r="3" ht="33.0" customHeight="1">
      <c r="A3" s="1" t="s">
        <v>13</v>
      </c>
      <c r="B3" s="2"/>
      <c r="C3" s="15" t="s">
        <v>14</v>
      </c>
      <c r="D3" s="16" t="s">
        <v>15</v>
      </c>
      <c r="E3" s="17" t="s">
        <v>11</v>
      </c>
      <c r="F3" s="18" t="s">
        <v>16</v>
      </c>
      <c r="G3" s="22" t="s">
        <v>17</v>
      </c>
      <c r="H3" s="19" t="s">
        <v>11</v>
      </c>
      <c r="I3" s="23" t="s">
        <v>18</v>
      </c>
      <c r="J3" s="4"/>
      <c r="K3" s="15" t="s">
        <v>11</v>
      </c>
      <c r="L3" s="15" t="s">
        <v>11</v>
      </c>
      <c r="M3" s="15" t="s">
        <v>19</v>
      </c>
      <c r="N3" s="20" t="s">
        <v>20</v>
      </c>
      <c r="O3" s="20" t="s">
        <v>21</v>
      </c>
      <c r="P3" s="20" t="s">
        <v>22</v>
      </c>
      <c r="Q3" s="15" t="s">
        <v>11</v>
      </c>
      <c r="R3" s="15" t="s">
        <v>11</v>
      </c>
      <c r="S3" s="15" t="s">
        <v>11</v>
      </c>
      <c r="T3" s="15" t="s">
        <v>23</v>
      </c>
      <c r="U3" s="21" t="s">
        <v>24</v>
      </c>
      <c r="V3" s="12"/>
      <c r="W3" s="20" t="s">
        <v>25</v>
      </c>
      <c r="X3" s="12"/>
      <c r="Y3" s="14"/>
      <c r="Z3" s="14"/>
      <c r="AA3" s="14"/>
    </row>
    <row r="4" ht="33.0" customHeight="1">
      <c r="A4" s="24" t="s">
        <v>26</v>
      </c>
      <c r="B4" s="25" t="s">
        <v>27</v>
      </c>
      <c r="C4" s="26" t="s">
        <v>28</v>
      </c>
      <c r="D4" s="27" t="s">
        <v>29</v>
      </c>
      <c r="E4" s="28" t="s">
        <v>30</v>
      </c>
      <c r="F4" s="29" t="s">
        <v>31</v>
      </c>
      <c r="G4" s="30" t="s">
        <v>32</v>
      </c>
      <c r="H4" s="31" t="s">
        <v>33</v>
      </c>
      <c r="I4" s="32" t="s">
        <v>34</v>
      </c>
      <c r="J4" s="27"/>
      <c r="K4" s="33" t="s">
        <v>35</v>
      </c>
      <c r="L4" s="29" t="s">
        <v>36</v>
      </c>
      <c r="M4" s="26" t="s">
        <v>37</v>
      </c>
      <c r="N4" s="34" t="s">
        <v>38</v>
      </c>
      <c r="O4" s="35" t="s">
        <v>39</v>
      </c>
      <c r="P4" s="35" t="s">
        <v>40</v>
      </c>
      <c r="Q4" s="36" t="s">
        <v>41</v>
      </c>
      <c r="R4" s="35" t="s">
        <v>42</v>
      </c>
      <c r="S4" s="36" t="s">
        <v>43</v>
      </c>
      <c r="T4" s="35" t="s">
        <v>44</v>
      </c>
      <c r="U4" s="35" t="s">
        <v>45</v>
      </c>
      <c r="V4" s="35"/>
      <c r="W4" s="35" t="s">
        <v>46</v>
      </c>
      <c r="X4" s="35"/>
      <c r="Y4" s="37"/>
      <c r="Z4" s="37"/>
      <c r="AA4" s="37"/>
    </row>
    <row r="5" ht="15.75" customHeight="1">
      <c r="A5" s="38"/>
      <c r="B5" s="39" t="s">
        <v>47</v>
      </c>
      <c r="C5" s="39" t="s">
        <v>48</v>
      </c>
      <c r="D5" s="40">
        <v>2.92</v>
      </c>
      <c r="E5" s="41">
        <v>0.006682</v>
      </c>
      <c r="F5" s="39" t="s">
        <v>49</v>
      </c>
      <c r="G5" s="42">
        <v>0.7</v>
      </c>
      <c r="H5" s="43">
        <v>0.002123</v>
      </c>
      <c r="I5" s="44">
        <v>1267.0</v>
      </c>
      <c r="J5" s="40"/>
      <c r="K5" s="45" t="s">
        <v>50</v>
      </c>
      <c r="L5" s="39" t="s">
        <v>51</v>
      </c>
      <c r="M5" s="46" t="s">
        <v>52</v>
      </c>
      <c r="N5" s="38">
        <v>17431.0</v>
      </c>
      <c r="O5" s="47" t="s">
        <v>53</v>
      </c>
      <c r="P5" s="47">
        <v>8.5722700017E10</v>
      </c>
      <c r="Q5" s="48" t="s">
        <v>54</v>
      </c>
      <c r="R5" s="47" t="s">
        <v>55</v>
      </c>
      <c r="S5" s="49"/>
      <c r="T5" s="47" t="s">
        <v>56</v>
      </c>
      <c r="U5" s="50" t="s">
        <v>57</v>
      </c>
      <c r="V5" s="47"/>
      <c r="W5" s="47">
        <v>1.0</v>
      </c>
      <c r="X5" s="50"/>
      <c r="Y5" s="47" t="s">
        <v>58</v>
      </c>
      <c r="Z5" s="47"/>
    </row>
    <row r="6" ht="15.75" customHeight="1">
      <c r="A6" s="38"/>
      <c r="B6" s="39"/>
      <c r="C6" s="39"/>
      <c r="D6" s="40"/>
      <c r="E6" s="41"/>
      <c r="F6" s="39" t="s">
        <v>59</v>
      </c>
      <c r="G6" s="42">
        <v>0.61</v>
      </c>
      <c r="H6" s="43">
        <v>0.001468</v>
      </c>
      <c r="I6" s="44">
        <v>1267.0</v>
      </c>
      <c r="J6" s="40"/>
      <c r="K6" s="45"/>
      <c r="L6" s="39"/>
      <c r="M6" s="46"/>
      <c r="N6" s="38"/>
      <c r="O6" s="47"/>
      <c r="P6" s="47"/>
      <c r="Q6" s="48"/>
      <c r="R6" s="47"/>
      <c r="S6" s="49"/>
      <c r="T6" s="47"/>
      <c r="U6" s="50"/>
      <c r="V6" s="47"/>
      <c r="W6" s="47">
        <v>1.0</v>
      </c>
      <c r="X6" s="50"/>
      <c r="Y6" s="51">
        <v>46175.676724537036</v>
      </c>
      <c r="Z6" s="47"/>
    </row>
    <row r="7" ht="15.75" customHeight="1">
      <c r="A7" s="38"/>
      <c r="B7" s="39"/>
      <c r="C7" s="39"/>
      <c r="D7" s="40"/>
      <c r="E7" s="41"/>
      <c r="F7" s="39" t="s">
        <v>60</v>
      </c>
      <c r="G7" s="42">
        <v>1.61</v>
      </c>
      <c r="H7" s="43">
        <v>0.003091</v>
      </c>
      <c r="I7" s="44">
        <v>1267.0</v>
      </c>
      <c r="J7" s="40"/>
      <c r="K7" s="45"/>
      <c r="L7" s="39"/>
      <c r="M7" s="46"/>
      <c r="N7" s="38"/>
      <c r="O7" s="47"/>
      <c r="P7" s="47"/>
      <c r="Q7" s="48"/>
      <c r="R7" s="47"/>
      <c r="S7" s="49"/>
      <c r="T7" s="47"/>
      <c r="U7" s="50"/>
      <c r="V7" s="47"/>
      <c r="W7" s="47">
        <v>1.0</v>
      </c>
      <c r="X7" s="50"/>
      <c r="Y7" s="47"/>
      <c r="Z7" s="47"/>
    </row>
    <row r="8" ht="15.75" customHeight="1">
      <c r="A8" s="38"/>
      <c r="B8" s="39" t="s">
        <v>61</v>
      </c>
      <c r="C8" s="39" t="s">
        <v>62</v>
      </c>
      <c r="D8" s="40">
        <v>0.68</v>
      </c>
      <c r="E8" s="41">
        <v>9.94E-4</v>
      </c>
      <c r="F8" s="39" t="s">
        <v>63</v>
      </c>
      <c r="G8" s="42">
        <v>0.68</v>
      </c>
      <c r="H8" s="43">
        <v>9.94E-4</v>
      </c>
      <c r="I8" s="44">
        <v>2043.0</v>
      </c>
      <c r="J8" s="40"/>
      <c r="K8" s="45" t="s">
        <v>63</v>
      </c>
      <c r="L8" s="39" t="s">
        <v>51</v>
      </c>
      <c r="M8" s="46" t="s">
        <v>64</v>
      </c>
      <c r="N8" s="38">
        <v>16511.0</v>
      </c>
      <c r="O8" s="47" t="s">
        <v>65</v>
      </c>
      <c r="P8" s="47">
        <v>6.281286536306E12</v>
      </c>
      <c r="Q8" s="48" t="s">
        <v>66</v>
      </c>
      <c r="R8" s="47" t="s">
        <v>55</v>
      </c>
      <c r="S8" s="49"/>
      <c r="T8" s="47" t="s">
        <v>56</v>
      </c>
      <c r="U8" s="50" t="s">
        <v>57</v>
      </c>
      <c r="V8" s="47"/>
      <c r="W8" s="47">
        <v>1.0</v>
      </c>
      <c r="X8" s="50"/>
      <c r="Y8" s="47"/>
      <c r="Z8" s="47"/>
    </row>
    <row r="9" ht="15.75" customHeight="1">
      <c r="A9" s="38"/>
      <c r="B9" s="39" t="s">
        <v>67</v>
      </c>
      <c r="C9" s="39" t="s">
        <v>68</v>
      </c>
      <c r="D9" s="40">
        <v>1.54</v>
      </c>
      <c r="E9" s="41">
        <v>0.005312</v>
      </c>
      <c r="F9" s="39" t="s">
        <v>69</v>
      </c>
      <c r="G9" s="42">
        <v>0.95</v>
      </c>
      <c r="H9" s="43">
        <v>0.003612</v>
      </c>
      <c r="I9" s="44">
        <v>4107.0</v>
      </c>
      <c r="J9" s="40"/>
      <c r="K9" s="45" t="s">
        <v>70</v>
      </c>
      <c r="L9" s="39" t="s">
        <v>51</v>
      </c>
      <c r="M9" s="46" t="s">
        <v>71</v>
      </c>
      <c r="N9" s="38">
        <v>13880.0</v>
      </c>
      <c r="O9" s="47" t="s">
        <v>72</v>
      </c>
      <c r="P9" s="52">
        <v>8.128116754E10</v>
      </c>
      <c r="Q9" s="48" t="s">
        <v>73</v>
      </c>
      <c r="R9" s="47" t="s">
        <v>55</v>
      </c>
      <c r="S9" s="49"/>
      <c r="T9" s="47" t="s">
        <v>56</v>
      </c>
      <c r="U9" s="50" t="s">
        <v>57</v>
      </c>
      <c r="V9" s="47"/>
      <c r="W9" s="47">
        <v>1.0</v>
      </c>
      <c r="X9" s="50"/>
      <c r="Y9" s="47"/>
      <c r="Z9" s="47"/>
    </row>
    <row r="10" ht="15.75" customHeight="1">
      <c r="A10" s="38"/>
      <c r="B10" s="39"/>
      <c r="C10" s="39"/>
      <c r="D10" s="40"/>
      <c r="E10" s="41"/>
      <c r="F10" s="39" t="s">
        <v>74</v>
      </c>
      <c r="G10" s="42">
        <v>0.21</v>
      </c>
      <c r="H10" s="43">
        <v>9.96E-4</v>
      </c>
      <c r="I10" s="44">
        <v>4107.0</v>
      </c>
      <c r="J10" s="40"/>
      <c r="K10" s="45"/>
      <c r="L10" s="39"/>
      <c r="M10" s="46"/>
      <c r="N10" s="38"/>
      <c r="O10" s="47"/>
      <c r="P10" s="47"/>
      <c r="Q10" s="48"/>
      <c r="R10" s="47"/>
      <c r="S10" s="49"/>
      <c r="T10" s="47"/>
      <c r="U10" s="50"/>
      <c r="V10" s="47"/>
      <c r="W10" s="47">
        <v>1.0</v>
      </c>
      <c r="X10" s="50"/>
      <c r="Y10" s="47"/>
      <c r="Z10" s="47"/>
    </row>
    <row r="11" ht="15.75" customHeight="1">
      <c r="A11" s="38"/>
      <c r="B11" s="39"/>
      <c r="C11" s="39"/>
      <c r="D11" s="40"/>
      <c r="E11" s="41"/>
      <c r="F11" s="39" t="s">
        <v>75</v>
      </c>
      <c r="G11" s="42">
        <v>0.38</v>
      </c>
      <c r="H11" s="43">
        <v>7.04E-4</v>
      </c>
      <c r="I11" s="44">
        <v>4107.0</v>
      </c>
      <c r="J11" s="40"/>
      <c r="K11" s="45"/>
      <c r="L11" s="39"/>
      <c r="M11" s="46"/>
      <c r="N11" s="38"/>
      <c r="O11" s="47"/>
      <c r="P11" s="47"/>
      <c r="Q11" s="48"/>
      <c r="R11" s="47"/>
      <c r="S11" s="49"/>
      <c r="T11" s="47"/>
      <c r="U11" s="50"/>
      <c r="V11" s="47"/>
      <c r="W11" s="47">
        <v>1.0</v>
      </c>
      <c r="X11" s="50"/>
      <c r="Y11" s="47"/>
      <c r="Z11" s="47"/>
    </row>
    <row r="12" ht="15.75" customHeight="1">
      <c r="A12" s="38"/>
      <c r="B12" s="39" t="s">
        <v>76</v>
      </c>
      <c r="C12" s="39" t="s">
        <v>77</v>
      </c>
      <c r="D12" s="40">
        <v>1.08</v>
      </c>
      <c r="E12" s="41">
        <v>0.005106</v>
      </c>
      <c r="F12" s="39" t="s">
        <v>78</v>
      </c>
      <c r="G12" s="42">
        <v>0.11</v>
      </c>
      <c r="H12" s="43">
        <v>8.19E-4</v>
      </c>
      <c r="I12" s="44">
        <v>945.0</v>
      </c>
      <c r="J12" s="40"/>
      <c r="K12" s="45" t="s">
        <v>79</v>
      </c>
      <c r="L12" s="39" t="s">
        <v>51</v>
      </c>
      <c r="M12" s="46" t="s">
        <v>80</v>
      </c>
      <c r="N12" s="38">
        <v>16412.0</v>
      </c>
      <c r="O12" s="47" t="s">
        <v>65</v>
      </c>
      <c r="P12" s="47">
        <v>8.1905258334E10</v>
      </c>
      <c r="Q12" s="48" t="s">
        <v>81</v>
      </c>
      <c r="R12" s="47" t="s">
        <v>55</v>
      </c>
      <c r="S12" s="49"/>
      <c r="T12" s="47" t="s">
        <v>56</v>
      </c>
      <c r="U12" s="50" t="s">
        <v>57</v>
      </c>
      <c r="V12" s="47"/>
      <c r="W12" s="47">
        <v>1.0</v>
      </c>
      <c r="X12" s="50"/>
      <c r="Y12" s="47"/>
      <c r="Z12" s="47"/>
    </row>
    <row r="13" ht="15.75" customHeight="1">
      <c r="A13" s="38"/>
      <c r="B13" s="39"/>
      <c r="C13" s="39"/>
      <c r="D13" s="40"/>
      <c r="E13" s="41"/>
      <c r="F13" s="39" t="s">
        <v>82</v>
      </c>
      <c r="G13" s="42">
        <v>0.97</v>
      </c>
      <c r="H13" s="43">
        <v>0.004287</v>
      </c>
      <c r="I13" s="44">
        <v>945.0</v>
      </c>
      <c r="J13" s="40"/>
      <c r="K13" s="45"/>
      <c r="L13" s="39"/>
      <c r="M13" s="46"/>
      <c r="N13" s="38"/>
      <c r="O13" s="47"/>
      <c r="P13" s="47"/>
      <c r="Q13" s="48"/>
      <c r="R13" s="47"/>
      <c r="S13" s="49"/>
      <c r="T13" s="47"/>
      <c r="U13" s="50"/>
      <c r="V13" s="47"/>
      <c r="W13" s="47">
        <v>1.0</v>
      </c>
      <c r="X13" s="50"/>
      <c r="Y13" s="47"/>
      <c r="Z13" s="47"/>
    </row>
    <row r="14" ht="15.75" customHeight="1">
      <c r="A14" s="38"/>
      <c r="B14" s="39" t="s">
        <v>83</v>
      </c>
      <c r="C14" s="39" t="s">
        <v>84</v>
      </c>
      <c r="D14" s="40">
        <v>21.39</v>
      </c>
      <c r="E14" s="41">
        <v>0.067226</v>
      </c>
      <c r="F14" s="39" t="s">
        <v>85</v>
      </c>
      <c r="G14" s="42">
        <v>5.89</v>
      </c>
      <c r="H14" s="43">
        <v>0.023606</v>
      </c>
      <c r="I14" s="44">
        <v>10793.0</v>
      </c>
      <c r="J14" s="40"/>
      <c r="K14" s="45" t="s">
        <v>86</v>
      </c>
      <c r="L14" s="39" t="s">
        <v>51</v>
      </c>
      <c r="M14" s="46" t="s">
        <v>87</v>
      </c>
      <c r="N14" s="38">
        <v>12646.0</v>
      </c>
      <c r="O14" s="47" t="s">
        <v>65</v>
      </c>
      <c r="P14" s="52">
        <v>6.281292284964E12</v>
      </c>
      <c r="Q14" s="48" t="s">
        <v>88</v>
      </c>
      <c r="R14" s="47" t="s">
        <v>55</v>
      </c>
      <c r="S14" s="49"/>
      <c r="T14" s="47" t="s">
        <v>56</v>
      </c>
      <c r="U14" s="50" t="s">
        <v>57</v>
      </c>
      <c r="V14" s="47"/>
      <c r="W14" s="47">
        <v>1.0</v>
      </c>
      <c r="X14" s="50"/>
      <c r="Y14" s="47"/>
      <c r="Z14" s="47"/>
    </row>
    <row r="15" ht="15.75" customHeight="1">
      <c r="A15" s="38"/>
      <c r="B15" s="39"/>
      <c r="C15" s="39"/>
      <c r="D15" s="40"/>
      <c r="E15" s="41"/>
      <c r="F15" s="39" t="s">
        <v>89</v>
      </c>
      <c r="G15" s="42">
        <v>2.89</v>
      </c>
      <c r="H15" s="43">
        <v>0.01313</v>
      </c>
      <c r="I15" s="44">
        <v>10793.0</v>
      </c>
      <c r="J15" s="40"/>
      <c r="K15" s="45"/>
      <c r="L15" s="39"/>
      <c r="M15" s="46"/>
      <c r="N15" s="38"/>
      <c r="O15" s="47"/>
      <c r="P15" s="47"/>
      <c r="Q15" s="48"/>
      <c r="R15" s="47"/>
      <c r="S15" s="49"/>
      <c r="T15" s="47"/>
      <c r="U15" s="50"/>
      <c r="V15" s="47"/>
      <c r="W15" s="47">
        <v>1.0</v>
      </c>
      <c r="X15" s="50"/>
      <c r="Y15" s="47"/>
      <c r="Z15" s="47"/>
    </row>
    <row r="16" ht="15.75" customHeight="1">
      <c r="A16" s="38"/>
      <c r="B16" s="39"/>
      <c r="C16" s="39"/>
      <c r="D16" s="40"/>
      <c r="E16" s="41"/>
      <c r="F16" s="39" t="s">
        <v>90</v>
      </c>
      <c r="G16" s="42">
        <v>8.57</v>
      </c>
      <c r="H16" s="43">
        <v>0.012111</v>
      </c>
      <c r="I16" s="44">
        <v>10793.0</v>
      </c>
      <c r="J16" s="40"/>
      <c r="K16" s="45"/>
      <c r="L16" s="39"/>
      <c r="M16" s="46"/>
      <c r="N16" s="38"/>
      <c r="O16" s="47"/>
      <c r="P16" s="47"/>
      <c r="Q16" s="48"/>
      <c r="R16" s="47"/>
      <c r="S16" s="49"/>
      <c r="T16" s="47"/>
      <c r="U16" s="50"/>
      <c r="V16" s="47"/>
      <c r="W16" s="47">
        <v>1.0</v>
      </c>
      <c r="X16" s="50"/>
      <c r="Y16" s="47"/>
      <c r="Z16" s="47"/>
    </row>
    <row r="17" ht="15.75" customHeight="1">
      <c r="A17" s="38"/>
      <c r="B17" s="39"/>
      <c r="C17" s="39"/>
      <c r="D17" s="40"/>
      <c r="E17" s="41"/>
      <c r="F17" s="39" t="s">
        <v>91</v>
      </c>
      <c r="G17" s="42">
        <v>0.61</v>
      </c>
      <c r="H17" s="43">
        <v>0.0015</v>
      </c>
      <c r="I17" s="53">
        <v>10793.0</v>
      </c>
      <c r="J17" s="40"/>
      <c r="K17" s="45"/>
      <c r="L17" s="39"/>
      <c r="M17" s="46"/>
      <c r="N17" s="38"/>
      <c r="O17" s="47"/>
      <c r="P17" s="47"/>
      <c r="Q17" s="48"/>
      <c r="R17" s="47"/>
      <c r="S17" s="49"/>
      <c r="T17" s="47"/>
      <c r="U17" s="50"/>
      <c r="V17" s="47"/>
      <c r="W17" s="47">
        <v>1.0</v>
      </c>
      <c r="X17" s="50"/>
      <c r="Y17" s="47"/>
      <c r="Z17" s="47"/>
    </row>
    <row r="18" ht="15.75" customHeight="1">
      <c r="A18" s="38"/>
      <c r="B18" s="39"/>
      <c r="C18" s="39"/>
      <c r="D18" s="40"/>
      <c r="E18" s="41"/>
      <c r="F18" s="39" t="s">
        <v>92</v>
      </c>
      <c r="G18" s="42">
        <v>2.23</v>
      </c>
      <c r="H18" s="43">
        <v>0.010347</v>
      </c>
      <c r="I18" s="44">
        <v>10793.0</v>
      </c>
      <c r="J18" s="40"/>
      <c r="K18" s="45"/>
      <c r="L18" s="39"/>
      <c r="M18" s="46"/>
      <c r="N18" s="38"/>
      <c r="O18" s="47"/>
      <c r="P18" s="47"/>
      <c r="Q18" s="48"/>
      <c r="R18" s="47"/>
      <c r="S18" s="49"/>
      <c r="T18" s="47"/>
      <c r="U18" s="50"/>
      <c r="V18" s="47"/>
      <c r="W18" s="47">
        <v>1.0</v>
      </c>
      <c r="X18" s="50"/>
      <c r="Y18" s="47"/>
      <c r="Z18" s="47"/>
    </row>
    <row r="19" ht="15.75" customHeight="1">
      <c r="A19" s="38"/>
      <c r="B19" s="39"/>
      <c r="C19" s="39"/>
      <c r="D19" s="40"/>
      <c r="E19" s="41"/>
      <c r="F19" s="39" t="s">
        <v>93</v>
      </c>
      <c r="G19" s="42">
        <v>0.33</v>
      </c>
      <c r="H19" s="43">
        <v>0.002156</v>
      </c>
      <c r="I19" s="44">
        <v>10793.0</v>
      </c>
      <c r="J19" s="40"/>
      <c r="K19" s="45"/>
      <c r="L19" s="39"/>
      <c r="M19" s="46"/>
      <c r="N19" s="38"/>
      <c r="O19" s="47"/>
      <c r="P19" s="47"/>
      <c r="Q19" s="48"/>
      <c r="R19" s="47"/>
      <c r="S19" s="49"/>
      <c r="T19" s="47"/>
      <c r="U19" s="50"/>
      <c r="V19" s="47"/>
      <c r="W19" s="47">
        <v>1.0</v>
      </c>
      <c r="X19" s="50"/>
      <c r="Y19" s="47"/>
      <c r="Z19" s="47"/>
    </row>
    <row r="20" ht="15.75" customHeight="1">
      <c r="A20" s="38"/>
      <c r="B20" s="39"/>
      <c r="C20" s="39"/>
      <c r="D20" s="40"/>
      <c r="E20" s="41"/>
      <c r="F20" s="39" t="s">
        <v>94</v>
      </c>
      <c r="G20" s="42">
        <v>0.87</v>
      </c>
      <c r="H20" s="43">
        <v>0.004376</v>
      </c>
      <c r="I20" s="44">
        <v>10793.0</v>
      </c>
      <c r="J20" s="40"/>
      <c r="K20" s="45"/>
      <c r="L20" s="39"/>
      <c r="M20" s="46"/>
      <c r="N20" s="38"/>
      <c r="O20" s="47"/>
      <c r="P20" s="47"/>
      <c r="Q20" s="48"/>
      <c r="R20" s="47"/>
      <c r="S20" s="49"/>
      <c r="T20" s="47"/>
      <c r="U20" s="50"/>
      <c r="V20" s="47"/>
      <c r="W20" s="47">
        <v>1.0</v>
      </c>
      <c r="X20" s="50"/>
      <c r="Y20" s="47"/>
      <c r="Z20" s="47"/>
    </row>
    <row r="21" ht="15.75" customHeight="1">
      <c r="A21" s="38"/>
      <c r="B21" s="39" t="s">
        <v>95</v>
      </c>
      <c r="C21" s="39" t="s">
        <v>96</v>
      </c>
      <c r="D21" s="40">
        <v>0.75</v>
      </c>
      <c r="E21" s="41">
        <v>0.00169</v>
      </c>
      <c r="F21" s="39" t="s">
        <v>97</v>
      </c>
      <c r="G21" s="42">
        <v>0.75</v>
      </c>
      <c r="H21" s="43">
        <v>0.00169</v>
      </c>
      <c r="I21" s="44">
        <v>836.0</v>
      </c>
      <c r="J21" s="40"/>
      <c r="K21" s="45" t="s">
        <v>97</v>
      </c>
      <c r="L21" s="39" t="s">
        <v>51</v>
      </c>
      <c r="M21" s="46" t="s">
        <v>98</v>
      </c>
      <c r="N21" s="38">
        <v>16432.0</v>
      </c>
      <c r="O21" s="47" t="s">
        <v>65</v>
      </c>
      <c r="P21" s="47">
        <v>8.1382701345E10</v>
      </c>
      <c r="Q21" s="48" t="s">
        <v>99</v>
      </c>
      <c r="R21" s="47" t="s">
        <v>55</v>
      </c>
      <c r="S21" s="49"/>
      <c r="T21" s="47" t="s">
        <v>56</v>
      </c>
      <c r="U21" s="50" t="s">
        <v>57</v>
      </c>
      <c r="V21" s="47"/>
      <c r="W21" s="47">
        <v>1.0</v>
      </c>
      <c r="X21" s="50"/>
      <c r="Y21" s="47"/>
      <c r="Z21" s="47"/>
    </row>
    <row r="22" ht="15.75" customHeight="1">
      <c r="A22" s="38"/>
      <c r="B22" s="39" t="s">
        <v>100</v>
      </c>
      <c r="C22" s="39" t="s">
        <v>101</v>
      </c>
      <c r="D22" s="40">
        <v>1.15</v>
      </c>
      <c r="E22" s="41">
        <v>0.003877</v>
      </c>
      <c r="F22" s="39" t="s">
        <v>102</v>
      </c>
      <c r="G22" s="42">
        <v>1.15</v>
      </c>
      <c r="H22" s="43">
        <v>0.003877</v>
      </c>
      <c r="I22" s="44">
        <v>1120.0</v>
      </c>
      <c r="J22" s="40"/>
      <c r="K22" s="45" t="s">
        <v>102</v>
      </c>
      <c r="L22" s="39" t="s">
        <v>51</v>
      </c>
      <c r="M22" s="46" t="s">
        <v>103</v>
      </c>
      <c r="N22" s="38">
        <v>16413.0</v>
      </c>
      <c r="O22" s="47" t="s">
        <v>65</v>
      </c>
      <c r="P22" s="47">
        <v>8.2112381899E10</v>
      </c>
      <c r="Q22" s="48" t="s">
        <v>104</v>
      </c>
      <c r="R22" s="47" t="s">
        <v>55</v>
      </c>
      <c r="S22" s="49"/>
      <c r="T22" s="47" t="s">
        <v>56</v>
      </c>
      <c r="U22" s="50" t="s">
        <v>57</v>
      </c>
      <c r="V22" s="47"/>
      <c r="W22" s="47">
        <v>1.0</v>
      </c>
      <c r="X22" s="50"/>
      <c r="Y22" s="47"/>
      <c r="Z22" s="47"/>
    </row>
    <row r="23" ht="15.75" customHeight="1">
      <c r="A23" s="38"/>
      <c r="B23" s="39" t="s">
        <v>105</v>
      </c>
      <c r="C23" s="39" t="s">
        <v>106</v>
      </c>
      <c r="D23" s="40">
        <v>3.26</v>
      </c>
      <c r="E23" s="41">
        <v>0.00864</v>
      </c>
      <c r="F23" s="39" t="s">
        <v>107</v>
      </c>
      <c r="G23" s="42">
        <v>0.24</v>
      </c>
      <c r="H23" s="43">
        <v>0.001098</v>
      </c>
      <c r="I23" s="44">
        <v>8412.0</v>
      </c>
      <c r="J23" s="40"/>
      <c r="K23" s="45" t="s">
        <v>108</v>
      </c>
      <c r="L23" s="39" t="s">
        <v>51</v>
      </c>
      <c r="M23" s="46" t="s">
        <v>109</v>
      </c>
      <c r="N23" s="38">
        <v>16518.0</v>
      </c>
      <c r="O23" s="47" t="s">
        <v>65</v>
      </c>
      <c r="P23" s="47">
        <v>6.28131081774E12</v>
      </c>
      <c r="Q23" s="48" t="s">
        <v>110</v>
      </c>
      <c r="R23" s="47" t="s">
        <v>55</v>
      </c>
      <c r="S23" s="49"/>
      <c r="T23" s="47" t="s">
        <v>56</v>
      </c>
      <c r="U23" s="50" t="s">
        <v>57</v>
      </c>
      <c r="V23" s="47"/>
      <c r="W23" s="47">
        <v>1.0</v>
      </c>
      <c r="X23" s="50"/>
      <c r="Y23" s="47"/>
      <c r="Z23" s="47"/>
    </row>
    <row r="24" ht="15.75" customHeight="1">
      <c r="A24" s="38"/>
      <c r="B24" s="39"/>
      <c r="C24" s="39"/>
      <c r="D24" s="40"/>
      <c r="E24" s="41"/>
      <c r="F24" s="39" t="s">
        <v>111</v>
      </c>
      <c r="G24" s="42">
        <v>1.76</v>
      </c>
      <c r="H24" s="43">
        <v>0.004419</v>
      </c>
      <c r="I24" s="44">
        <v>8412.0</v>
      </c>
      <c r="J24" s="40"/>
      <c r="K24" s="45"/>
      <c r="L24" s="39"/>
      <c r="M24" s="46"/>
      <c r="N24" s="38"/>
      <c r="O24" s="47"/>
      <c r="P24" s="47"/>
      <c r="Q24" s="48"/>
      <c r="R24" s="47"/>
      <c r="S24" s="49"/>
      <c r="T24" s="47"/>
      <c r="U24" s="50"/>
      <c r="V24" s="47"/>
      <c r="W24" s="47">
        <v>1.0</v>
      </c>
      <c r="X24" s="50"/>
      <c r="Y24" s="47"/>
      <c r="Z24" s="47"/>
    </row>
    <row r="25" ht="15.75" customHeight="1">
      <c r="A25" s="38"/>
      <c r="B25" s="39"/>
      <c r="C25" s="39"/>
      <c r="D25" s="40"/>
      <c r="E25" s="41"/>
      <c r="F25" s="39" t="s">
        <v>112</v>
      </c>
      <c r="G25" s="42">
        <v>0.72</v>
      </c>
      <c r="H25" s="43">
        <v>0.001401</v>
      </c>
      <c r="I25" s="44">
        <v>8412.0</v>
      </c>
      <c r="J25" s="40"/>
      <c r="K25" s="45"/>
      <c r="L25" s="39"/>
      <c r="M25" s="46"/>
      <c r="N25" s="38"/>
      <c r="O25" s="47"/>
      <c r="P25" s="47"/>
      <c r="Q25" s="48"/>
      <c r="R25" s="47"/>
      <c r="S25" s="49"/>
      <c r="T25" s="47"/>
      <c r="U25" s="47"/>
      <c r="V25" s="47"/>
      <c r="W25" s="47">
        <v>1.0</v>
      </c>
      <c r="X25" s="50"/>
      <c r="Y25" s="47"/>
      <c r="Z25" s="47"/>
    </row>
    <row r="26" ht="15.75" customHeight="1">
      <c r="A26" s="38"/>
      <c r="B26" s="39"/>
      <c r="C26" s="39"/>
      <c r="D26" s="40"/>
      <c r="E26" s="41"/>
      <c r="F26" s="39" t="s">
        <v>113</v>
      </c>
      <c r="G26" s="42">
        <v>0.54</v>
      </c>
      <c r="H26" s="43">
        <v>0.001722</v>
      </c>
      <c r="I26" s="44">
        <v>8412.0</v>
      </c>
      <c r="J26" s="40"/>
      <c r="K26" s="45"/>
      <c r="L26" s="39"/>
      <c r="M26" s="46"/>
      <c r="N26" s="38"/>
      <c r="O26" s="47"/>
      <c r="P26" s="47"/>
      <c r="Q26" s="48"/>
      <c r="R26" s="47"/>
      <c r="S26" s="49"/>
      <c r="T26" s="47"/>
      <c r="U26" s="47"/>
      <c r="V26" s="47"/>
      <c r="W26" s="47">
        <v>1.0</v>
      </c>
      <c r="X26" s="50"/>
      <c r="Y26" s="47"/>
      <c r="Z26" s="47"/>
    </row>
    <row r="27" ht="15.75" customHeight="1">
      <c r="A27" s="38"/>
      <c r="B27" s="39" t="s">
        <v>114</v>
      </c>
      <c r="C27" s="39" t="s">
        <v>115</v>
      </c>
      <c r="D27" s="40">
        <v>1.71</v>
      </c>
      <c r="E27" s="41">
        <v>0.00995</v>
      </c>
      <c r="F27" s="39" t="s">
        <v>116</v>
      </c>
      <c r="G27" s="42">
        <v>1.71</v>
      </c>
      <c r="H27" s="43">
        <v>0.00995</v>
      </c>
      <c r="I27" s="44">
        <v>901.0</v>
      </c>
      <c r="J27" s="40"/>
      <c r="K27" s="45" t="s">
        <v>116</v>
      </c>
      <c r="L27" s="39" t="s">
        <v>51</v>
      </c>
      <c r="M27" s="46" t="s">
        <v>117</v>
      </c>
      <c r="N27" s="38">
        <v>16517.0</v>
      </c>
      <c r="O27" s="47" t="s">
        <v>65</v>
      </c>
      <c r="P27" s="47">
        <v>2.518413546E9</v>
      </c>
      <c r="Q27" s="48" t="s">
        <v>118</v>
      </c>
      <c r="R27" s="47" t="s">
        <v>55</v>
      </c>
      <c r="S27" s="49"/>
      <c r="T27" s="47" t="s">
        <v>56</v>
      </c>
      <c r="U27" s="47" t="s">
        <v>57</v>
      </c>
      <c r="V27" s="47"/>
      <c r="W27" s="47">
        <v>1.0</v>
      </c>
      <c r="X27" s="50"/>
      <c r="Y27" s="47"/>
      <c r="Z27" s="47"/>
    </row>
    <row r="28" ht="15.75" customHeight="1">
      <c r="A28" s="38"/>
      <c r="B28" s="39" t="s">
        <v>119</v>
      </c>
      <c r="C28" s="39" t="s">
        <v>120</v>
      </c>
      <c r="D28" s="40">
        <v>3.07</v>
      </c>
      <c r="E28" s="41">
        <v>0.007446</v>
      </c>
      <c r="F28" s="39" t="s">
        <v>121</v>
      </c>
      <c r="G28" s="42">
        <v>0.05</v>
      </c>
      <c r="H28" s="43">
        <v>2.4E-4</v>
      </c>
      <c r="I28" s="44">
        <v>16498.0</v>
      </c>
      <c r="J28" s="40"/>
      <c r="K28" s="45" t="s">
        <v>122</v>
      </c>
      <c r="L28" s="39" t="s">
        <v>51</v>
      </c>
      <c r="M28" s="46" t="s">
        <v>123</v>
      </c>
      <c r="N28" s="38">
        <v>16454.0</v>
      </c>
      <c r="O28" s="47" t="s">
        <v>65</v>
      </c>
      <c r="P28" s="47">
        <v>6.281251217896E12</v>
      </c>
      <c r="Q28" s="48" t="s">
        <v>124</v>
      </c>
      <c r="R28" s="47" t="s">
        <v>55</v>
      </c>
      <c r="S28" s="49"/>
      <c r="T28" s="47" t="s">
        <v>56</v>
      </c>
      <c r="U28" s="47" t="s">
        <v>57</v>
      </c>
      <c r="V28" s="47"/>
      <c r="W28" s="47">
        <v>1.0</v>
      </c>
      <c r="X28" s="50"/>
      <c r="Y28" s="47"/>
      <c r="Z28" s="47"/>
    </row>
    <row r="29" ht="15.75" customHeight="1">
      <c r="A29" s="38"/>
      <c r="B29" s="39"/>
      <c r="C29" s="39"/>
      <c r="D29" s="40"/>
      <c r="E29" s="41"/>
      <c r="F29" s="39" t="s">
        <v>125</v>
      </c>
      <c r="G29" s="42">
        <v>3.02</v>
      </c>
      <c r="H29" s="43">
        <v>0.007206</v>
      </c>
      <c r="I29" s="44">
        <v>16498.0</v>
      </c>
      <c r="J29" s="40"/>
      <c r="K29" s="45"/>
      <c r="L29" s="39"/>
      <c r="M29" s="46"/>
      <c r="N29" s="38"/>
      <c r="O29" s="47"/>
      <c r="P29" s="47"/>
      <c r="Q29" s="48"/>
      <c r="R29" s="47"/>
      <c r="S29" s="49"/>
      <c r="T29" s="47"/>
      <c r="U29" s="47"/>
      <c r="V29" s="47"/>
      <c r="W29" s="47">
        <v>1.0</v>
      </c>
      <c r="X29" s="50"/>
      <c r="Y29" s="47"/>
      <c r="Z29" s="47"/>
    </row>
    <row r="30" ht="15.75" customHeight="1">
      <c r="A30" s="38"/>
      <c r="B30" s="39" t="s">
        <v>126</v>
      </c>
      <c r="C30" s="39" t="s">
        <v>127</v>
      </c>
      <c r="D30" s="40">
        <v>2.15</v>
      </c>
      <c r="E30" s="41">
        <v>0.008065</v>
      </c>
      <c r="F30" s="39" t="s">
        <v>128</v>
      </c>
      <c r="G30" s="42">
        <v>1.52</v>
      </c>
      <c r="H30" s="43">
        <v>0.005535</v>
      </c>
      <c r="I30" s="44">
        <v>3479.0</v>
      </c>
      <c r="J30" s="40"/>
      <c r="K30" s="45" t="s">
        <v>129</v>
      </c>
      <c r="L30" s="39" t="s">
        <v>51</v>
      </c>
      <c r="M30" s="46" t="s">
        <v>130</v>
      </c>
      <c r="N30" s="38">
        <v>16519.0</v>
      </c>
      <c r="O30" s="47" t="s">
        <v>65</v>
      </c>
      <c r="P30" s="52">
        <v>8.979743443E9</v>
      </c>
      <c r="Q30" s="48" t="s">
        <v>131</v>
      </c>
      <c r="R30" s="47" t="s">
        <v>55</v>
      </c>
      <c r="S30" s="49"/>
      <c r="T30" s="47" t="s">
        <v>56</v>
      </c>
      <c r="U30" s="47" t="s">
        <v>57</v>
      </c>
      <c r="V30" s="47"/>
      <c r="W30" s="47">
        <v>1.0</v>
      </c>
      <c r="X30" s="50"/>
      <c r="Y30" s="47"/>
      <c r="Z30" s="47"/>
    </row>
    <row r="31" ht="15.75" customHeight="1">
      <c r="A31" s="38"/>
      <c r="B31" s="39"/>
      <c r="C31" s="39"/>
      <c r="D31" s="40"/>
      <c r="E31" s="41"/>
      <c r="F31" s="39" t="s">
        <v>132</v>
      </c>
      <c r="G31" s="42">
        <v>0.63</v>
      </c>
      <c r="H31" s="43">
        <v>0.00253</v>
      </c>
      <c r="I31" s="44">
        <v>3479.0</v>
      </c>
      <c r="J31" s="40"/>
      <c r="K31" s="45"/>
      <c r="L31" s="39"/>
      <c r="M31" s="46"/>
      <c r="N31" s="38"/>
      <c r="O31" s="47"/>
      <c r="P31" s="52"/>
      <c r="Q31" s="48"/>
      <c r="R31" s="47"/>
      <c r="S31" s="49"/>
      <c r="T31" s="47"/>
      <c r="U31" s="47"/>
      <c r="V31" s="47"/>
      <c r="W31" s="47">
        <v>1.0</v>
      </c>
      <c r="X31" s="50"/>
      <c r="Y31" s="47"/>
      <c r="Z31" s="47"/>
    </row>
    <row r="32" ht="15.75" customHeight="1">
      <c r="A32" s="38"/>
      <c r="B32" s="39" t="s">
        <v>133</v>
      </c>
      <c r="C32" s="39" t="s">
        <v>134</v>
      </c>
      <c r="D32" s="40">
        <v>10.82</v>
      </c>
      <c r="E32" s="41">
        <v>0.047629</v>
      </c>
      <c r="F32" s="39" t="s">
        <v>135</v>
      </c>
      <c r="G32" s="42">
        <v>0.42</v>
      </c>
      <c r="H32" s="43">
        <v>0.00108</v>
      </c>
      <c r="I32" s="44">
        <v>667.0</v>
      </c>
      <c r="J32" s="40"/>
      <c r="K32" s="45" t="s">
        <v>136</v>
      </c>
      <c r="L32" s="39" t="s">
        <v>51</v>
      </c>
      <c r="M32" s="46" t="s">
        <v>137</v>
      </c>
      <c r="N32" s="38">
        <v>16452.0</v>
      </c>
      <c r="O32" s="47" t="s">
        <v>65</v>
      </c>
      <c r="P32" s="47">
        <v>8.5374101944E10</v>
      </c>
      <c r="Q32" s="48" t="s">
        <v>138</v>
      </c>
      <c r="R32" s="47" t="s">
        <v>55</v>
      </c>
      <c r="S32" s="49"/>
      <c r="T32" s="47" t="s">
        <v>56</v>
      </c>
      <c r="U32" s="47" t="s">
        <v>57</v>
      </c>
      <c r="V32" s="47"/>
      <c r="W32" s="47">
        <v>1.0</v>
      </c>
      <c r="X32" s="50"/>
      <c r="Y32" s="47"/>
      <c r="Z32" s="47"/>
    </row>
    <row r="33" ht="15.75" customHeight="1">
      <c r="A33" s="38"/>
      <c r="B33" s="39"/>
      <c r="C33" s="39"/>
      <c r="D33" s="40"/>
      <c r="E33" s="41"/>
      <c r="F33" s="39" t="s">
        <v>139</v>
      </c>
      <c r="G33" s="42">
        <v>2.58</v>
      </c>
      <c r="H33" s="43">
        <v>0.006316</v>
      </c>
      <c r="I33" s="44">
        <v>667.0</v>
      </c>
      <c r="J33" s="40"/>
      <c r="K33" s="45"/>
      <c r="L33" s="39"/>
      <c r="M33" s="46"/>
      <c r="N33" s="38"/>
      <c r="O33" s="47"/>
      <c r="P33" s="47"/>
      <c r="Q33" s="48"/>
      <c r="R33" s="47"/>
      <c r="S33" s="49"/>
      <c r="T33" s="47"/>
      <c r="U33" s="47"/>
      <c r="V33" s="47"/>
      <c r="W33" s="47">
        <v>1.0</v>
      </c>
      <c r="X33" s="50"/>
      <c r="Y33" s="47"/>
      <c r="Z33" s="47"/>
    </row>
    <row r="34" ht="15.75" customHeight="1">
      <c r="A34" s="38"/>
      <c r="B34" s="39"/>
      <c r="C34" s="39"/>
      <c r="D34" s="40"/>
      <c r="E34" s="41"/>
      <c r="F34" s="39" t="s">
        <v>140</v>
      </c>
      <c r="G34" s="42">
        <v>2.23</v>
      </c>
      <c r="H34" s="43">
        <v>0.017637</v>
      </c>
      <c r="I34" s="44">
        <v>667.0</v>
      </c>
      <c r="J34" s="40"/>
      <c r="K34" s="45"/>
      <c r="L34" s="39"/>
      <c r="M34" s="46"/>
      <c r="N34" s="38"/>
      <c r="O34" s="47"/>
      <c r="P34" s="47"/>
      <c r="Q34" s="48"/>
      <c r="R34" s="47"/>
      <c r="S34" s="49"/>
      <c r="T34" s="47"/>
      <c r="U34" s="47"/>
      <c r="V34" s="47"/>
      <c r="W34" s="47">
        <v>1.0</v>
      </c>
      <c r="X34" s="50"/>
      <c r="Y34" s="47"/>
      <c r="Z34" s="47"/>
    </row>
    <row r="35" ht="15.75" customHeight="1">
      <c r="A35" s="38"/>
      <c r="B35" s="39"/>
      <c r="C35" s="39"/>
      <c r="D35" s="40"/>
      <c r="E35" s="41"/>
      <c r="F35" s="39" t="s">
        <v>141</v>
      </c>
      <c r="G35" s="42">
        <v>0.29</v>
      </c>
      <c r="H35" s="43">
        <v>0.00108</v>
      </c>
      <c r="I35" s="44">
        <v>667.0</v>
      </c>
      <c r="J35" s="40"/>
      <c r="K35" s="45"/>
      <c r="L35" s="39"/>
      <c r="M35" s="46"/>
      <c r="N35" s="38"/>
      <c r="O35" s="47"/>
      <c r="P35" s="47"/>
      <c r="Q35" s="48"/>
      <c r="R35" s="47"/>
      <c r="S35" s="49"/>
      <c r="T35" s="47"/>
      <c r="U35" s="47"/>
      <c r="V35" s="47"/>
      <c r="W35" s="47">
        <v>1.0</v>
      </c>
      <c r="X35" s="50"/>
      <c r="Y35" s="47"/>
      <c r="Z35" s="47"/>
    </row>
    <row r="36" ht="15.75" customHeight="1">
      <c r="A36" s="38"/>
      <c r="B36" s="39"/>
      <c r="C36" s="39"/>
      <c r="D36" s="40"/>
      <c r="E36" s="41"/>
      <c r="F36" s="39" t="s">
        <v>142</v>
      </c>
      <c r="G36" s="42">
        <v>3.22</v>
      </c>
      <c r="H36" s="43">
        <v>0.010312</v>
      </c>
      <c r="I36" s="44">
        <v>667.0</v>
      </c>
      <c r="J36" s="40"/>
      <c r="K36" s="45"/>
      <c r="L36" s="39"/>
      <c r="M36" s="46"/>
      <c r="N36" s="38"/>
      <c r="O36" s="47"/>
      <c r="P36" s="47"/>
      <c r="Q36" s="48"/>
      <c r="R36" s="47"/>
      <c r="S36" s="49"/>
      <c r="T36" s="47"/>
      <c r="U36" s="47"/>
      <c r="V36" s="47"/>
      <c r="W36" s="47">
        <v>1.0</v>
      </c>
      <c r="X36" s="50"/>
      <c r="Y36" s="47"/>
      <c r="Z36" s="47"/>
    </row>
    <row r="37" ht="15.75" customHeight="1">
      <c r="A37" s="38"/>
      <c r="B37" s="39"/>
      <c r="C37" s="39"/>
      <c r="D37" s="40"/>
      <c r="E37" s="41"/>
      <c r="F37" s="39" t="s">
        <v>143</v>
      </c>
      <c r="G37" s="42">
        <v>0.25</v>
      </c>
      <c r="H37" s="43">
        <v>0.003575</v>
      </c>
      <c r="I37" s="44">
        <v>667.0</v>
      </c>
      <c r="J37" s="40"/>
      <c r="K37" s="45"/>
      <c r="L37" s="39"/>
      <c r="M37" s="46"/>
      <c r="N37" s="38"/>
      <c r="O37" s="47"/>
      <c r="P37" s="47"/>
      <c r="Q37" s="48"/>
      <c r="R37" s="47"/>
      <c r="S37" s="49"/>
      <c r="T37" s="47"/>
      <c r="U37" s="47"/>
      <c r="V37" s="47"/>
      <c r="W37" s="47">
        <v>1.0</v>
      </c>
      <c r="X37" s="50"/>
      <c r="Y37" s="47"/>
      <c r="Z37" s="47"/>
    </row>
    <row r="38" ht="15.75" customHeight="1">
      <c r="A38" s="38"/>
      <c r="B38" s="39"/>
      <c r="C38" s="39"/>
      <c r="D38" s="40"/>
      <c r="E38" s="41"/>
      <c r="F38" s="39" t="s">
        <v>144</v>
      </c>
      <c r="G38" s="42">
        <v>1.0</v>
      </c>
      <c r="H38" s="43">
        <v>0.004141</v>
      </c>
      <c r="I38" s="44">
        <v>667.0</v>
      </c>
      <c r="J38" s="40"/>
      <c r="K38" s="45"/>
      <c r="L38" s="39"/>
      <c r="M38" s="46"/>
      <c r="N38" s="38"/>
      <c r="O38" s="47"/>
      <c r="P38" s="47"/>
      <c r="Q38" s="48"/>
      <c r="R38" s="47"/>
      <c r="S38" s="49"/>
      <c r="T38" s="47"/>
      <c r="U38" s="47"/>
      <c r="V38" s="47"/>
      <c r="W38" s="47">
        <v>1.0</v>
      </c>
      <c r="X38" s="50"/>
      <c r="Y38" s="47"/>
      <c r="Z38" s="47"/>
    </row>
    <row r="39" ht="15.75" customHeight="1">
      <c r="A39" s="38"/>
      <c r="B39" s="39"/>
      <c r="C39" s="39"/>
      <c r="D39" s="40"/>
      <c r="E39" s="41"/>
      <c r="F39" s="39" t="s">
        <v>145</v>
      </c>
      <c r="G39" s="42">
        <v>0.83</v>
      </c>
      <c r="H39" s="43">
        <v>0.003488</v>
      </c>
      <c r="I39" s="44">
        <v>667.0</v>
      </c>
      <c r="J39" s="40"/>
      <c r="K39" s="45"/>
      <c r="L39" s="39"/>
      <c r="M39" s="46"/>
      <c r="N39" s="38"/>
      <c r="O39" s="47"/>
      <c r="P39" s="47"/>
      <c r="Q39" s="48"/>
      <c r="R39" s="47"/>
      <c r="S39" s="49"/>
      <c r="T39" s="47"/>
      <c r="U39" s="47"/>
      <c r="V39" s="47"/>
      <c r="W39" s="47">
        <v>1.0</v>
      </c>
      <c r="X39" s="50"/>
      <c r="Y39" s="47"/>
      <c r="Z39" s="47"/>
    </row>
    <row r="40" ht="15.75" customHeight="1">
      <c r="A40" s="38"/>
      <c r="B40" s="39" t="s">
        <v>146</v>
      </c>
      <c r="C40" s="39" t="s">
        <v>147</v>
      </c>
      <c r="D40" s="40">
        <v>1.2</v>
      </c>
      <c r="E40" s="41">
        <v>0.003207</v>
      </c>
      <c r="F40" s="39" t="s">
        <v>148</v>
      </c>
      <c r="G40" s="42">
        <v>0.68</v>
      </c>
      <c r="H40" s="43">
        <v>0.001552</v>
      </c>
      <c r="I40" s="44">
        <v>12430.0</v>
      </c>
      <c r="J40" s="40"/>
      <c r="K40" s="45" t="s">
        <v>149</v>
      </c>
      <c r="L40" s="39" t="s">
        <v>51</v>
      </c>
      <c r="M40" s="46" t="s">
        <v>150</v>
      </c>
      <c r="N40" s="38">
        <v>13860.0</v>
      </c>
      <c r="O40" s="47" t="s">
        <v>72</v>
      </c>
      <c r="P40" s="47">
        <v>6.289529655094E12</v>
      </c>
      <c r="Q40" s="48" t="s">
        <v>151</v>
      </c>
      <c r="R40" s="47" t="s">
        <v>55</v>
      </c>
      <c r="S40" s="49"/>
      <c r="T40" s="47" t="s">
        <v>56</v>
      </c>
      <c r="U40" s="47" t="s">
        <v>57</v>
      </c>
      <c r="V40" s="47"/>
      <c r="W40" s="47">
        <v>1.0</v>
      </c>
      <c r="X40" s="50"/>
      <c r="Y40" s="47"/>
      <c r="Z40" s="47"/>
    </row>
    <row r="41" ht="15.75" customHeight="1">
      <c r="A41" s="38"/>
      <c r="B41" s="39"/>
      <c r="C41" s="39"/>
      <c r="D41" s="40"/>
      <c r="E41" s="41"/>
      <c r="F41" s="39" t="s">
        <v>152</v>
      </c>
      <c r="G41" s="42">
        <v>0.52</v>
      </c>
      <c r="H41" s="43">
        <v>0.001655</v>
      </c>
      <c r="I41" s="44">
        <v>12430.0</v>
      </c>
      <c r="J41" s="40"/>
      <c r="K41" s="45"/>
      <c r="L41" s="39"/>
      <c r="M41" s="46"/>
      <c r="N41" s="38"/>
      <c r="O41" s="47"/>
      <c r="P41" s="47"/>
      <c r="Q41" s="48"/>
      <c r="R41" s="47"/>
      <c r="S41" s="49"/>
      <c r="T41" s="47"/>
      <c r="U41" s="47"/>
      <c r="V41" s="47"/>
      <c r="W41" s="47">
        <v>1.0</v>
      </c>
      <c r="X41" s="50"/>
      <c r="Y41" s="47"/>
      <c r="Z41" s="47"/>
    </row>
    <row r="42" ht="15.75" customHeight="1">
      <c r="A42" s="38"/>
      <c r="B42" s="39" t="s">
        <v>153</v>
      </c>
      <c r="C42" s="39" t="s">
        <v>154</v>
      </c>
      <c r="D42" s="40">
        <v>12.95</v>
      </c>
      <c r="E42" s="41">
        <v>0.041226</v>
      </c>
      <c r="F42" s="39" t="s">
        <v>155</v>
      </c>
      <c r="G42" s="42">
        <v>2.58</v>
      </c>
      <c r="H42" s="43">
        <v>0.005946</v>
      </c>
      <c r="I42" s="44">
        <v>12914.0</v>
      </c>
      <c r="J42" s="40"/>
      <c r="K42" s="45" t="s">
        <v>156</v>
      </c>
      <c r="L42" s="39" t="s">
        <v>51</v>
      </c>
      <c r="M42" s="46" t="s">
        <v>157</v>
      </c>
      <c r="N42" s="38">
        <v>16435.0</v>
      </c>
      <c r="O42" s="47" t="s">
        <v>65</v>
      </c>
      <c r="P42" s="47">
        <v>6.281380649551E12</v>
      </c>
      <c r="Q42" s="48" t="s">
        <v>158</v>
      </c>
      <c r="R42" s="47" t="s">
        <v>55</v>
      </c>
      <c r="S42" s="49"/>
      <c r="T42" s="47" t="s">
        <v>56</v>
      </c>
      <c r="U42" s="47" t="s">
        <v>57</v>
      </c>
      <c r="V42" s="47"/>
      <c r="W42" s="47">
        <v>1.0</v>
      </c>
      <c r="X42" s="50"/>
      <c r="Y42" s="47"/>
      <c r="Z42" s="47"/>
    </row>
    <row r="43" ht="15.75" customHeight="1">
      <c r="A43" s="38"/>
      <c r="B43" s="39"/>
      <c r="C43" s="39"/>
      <c r="D43" s="40"/>
      <c r="E43" s="41"/>
      <c r="F43" s="39" t="s">
        <v>159</v>
      </c>
      <c r="G43" s="42">
        <v>0.1</v>
      </c>
      <c r="H43" s="43">
        <v>8.76E-4</v>
      </c>
      <c r="I43" s="44">
        <v>12914.0</v>
      </c>
      <c r="J43" s="40"/>
      <c r="K43" s="45"/>
      <c r="L43" s="39"/>
      <c r="M43" s="46"/>
      <c r="N43" s="38"/>
      <c r="O43" s="47"/>
      <c r="P43" s="47"/>
      <c r="Q43" s="48"/>
      <c r="R43" s="47"/>
      <c r="S43" s="49"/>
      <c r="T43" s="47"/>
      <c r="U43" s="47"/>
      <c r="V43" s="47"/>
      <c r="W43" s="47">
        <v>1.0</v>
      </c>
      <c r="X43" s="50"/>
      <c r="Y43" s="47"/>
      <c r="Z43" s="47"/>
    </row>
    <row r="44" ht="15.75" customHeight="1">
      <c r="A44" s="38"/>
      <c r="B44" s="39"/>
      <c r="C44" s="39"/>
      <c r="D44" s="40"/>
      <c r="E44" s="41"/>
      <c r="F44" s="39" t="s">
        <v>160</v>
      </c>
      <c r="G44" s="42">
        <v>10.27</v>
      </c>
      <c r="H44" s="43">
        <v>0.034404</v>
      </c>
      <c r="I44" s="44">
        <v>12914.0</v>
      </c>
      <c r="J44" s="40"/>
      <c r="K44" s="45"/>
      <c r="L44" s="39"/>
      <c r="M44" s="46"/>
      <c r="N44" s="38"/>
      <c r="O44" s="47"/>
      <c r="P44" s="47"/>
      <c r="Q44" s="48"/>
      <c r="R44" s="47"/>
      <c r="S44" s="49"/>
      <c r="T44" s="47"/>
      <c r="U44" s="47"/>
      <c r="V44" s="47"/>
      <c r="W44" s="47">
        <v>1.0</v>
      </c>
      <c r="X44" s="50"/>
      <c r="Y44" s="47"/>
      <c r="Z44" s="47"/>
    </row>
    <row r="45" ht="15.75" customHeight="1">
      <c r="A45" s="38"/>
      <c r="B45" s="39" t="s">
        <v>161</v>
      </c>
      <c r="C45" s="39" t="s">
        <v>162</v>
      </c>
      <c r="D45" s="40">
        <v>6.13</v>
      </c>
      <c r="E45" s="41">
        <v>0.012569</v>
      </c>
      <c r="F45" s="39" t="s">
        <v>163</v>
      </c>
      <c r="G45" s="42">
        <v>0.6</v>
      </c>
      <c r="H45" s="43">
        <v>0.001836</v>
      </c>
      <c r="I45" s="44">
        <v>8251.0</v>
      </c>
      <c r="J45" s="40"/>
      <c r="K45" s="45" t="s">
        <v>164</v>
      </c>
      <c r="L45" s="39" t="s">
        <v>51</v>
      </c>
      <c r="M45" s="46" t="s">
        <v>165</v>
      </c>
      <c r="N45" s="38">
        <v>16437.0</v>
      </c>
      <c r="O45" s="47" t="s">
        <v>65</v>
      </c>
      <c r="P45" s="47">
        <v>8.1264043044E10</v>
      </c>
      <c r="Q45" s="48" t="s">
        <v>166</v>
      </c>
      <c r="R45" s="47" t="s">
        <v>55</v>
      </c>
      <c r="S45" s="49"/>
      <c r="T45" s="47" t="s">
        <v>56</v>
      </c>
      <c r="U45" s="47" t="s">
        <v>57</v>
      </c>
      <c r="V45" s="47"/>
      <c r="W45" s="47">
        <v>1.0</v>
      </c>
      <c r="X45" s="50"/>
      <c r="Y45" s="47"/>
      <c r="Z45" s="47"/>
    </row>
    <row r="46" ht="15.75" customHeight="1">
      <c r="A46" s="38"/>
      <c r="B46" s="39"/>
      <c r="C46" s="39"/>
      <c r="D46" s="40"/>
      <c r="E46" s="41"/>
      <c r="F46" s="39" t="s">
        <v>167</v>
      </c>
      <c r="G46" s="42">
        <v>0.16</v>
      </c>
      <c r="H46" s="43">
        <v>4.5E-4</v>
      </c>
      <c r="I46" s="44">
        <v>8251.0</v>
      </c>
      <c r="J46" s="40"/>
      <c r="K46" s="45"/>
      <c r="L46" s="39"/>
      <c r="M46" s="46"/>
      <c r="N46" s="38"/>
      <c r="O46" s="47"/>
      <c r="P46" s="47"/>
      <c r="Q46" s="48"/>
      <c r="R46" s="47"/>
      <c r="S46" s="49"/>
      <c r="T46" s="47"/>
      <c r="U46" s="47"/>
      <c r="V46" s="47"/>
      <c r="W46" s="47">
        <v>1.0</v>
      </c>
      <c r="X46" s="50"/>
      <c r="Y46" s="47"/>
      <c r="Z46" s="47"/>
    </row>
    <row r="47" ht="15.75" customHeight="1">
      <c r="A47" s="38"/>
      <c r="B47" s="39"/>
      <c r="C47" s="39"/>
      <c r="D47" s="40"/>
      <c r="E47" s="41"/>
      <c r="F47" s="39" t="s">
        <v>168</v>
      </c>
      <c r="G47" s="42">
        <v>5.37</v>
      </c>
      <c r="H47" s="43">
        <v>0.010283</v>
      </c>
      <c r="I47" s="44">
        <v>8251.0</v>
      </c>
      <c r="J47" s="40"/>
      <c r="K47" s="45"/>
      <c r="L47" s="39"/>
      <c r="M47" s="46"/>
      <c r="N47" s="38"/>
      <c r="O47" s="47"/>
      <c r="P47" s="47"/>
      <c r="Q47" s="48"/>
      <c r="R47" s="47"/>
      <c r="S47" s="49"/>
      <c r="T47" s="47"/>
      <c r="U47" s="47"/>
      <c r="V47" s="47"/>
      <c r="W47" s="47">
        <v>1.0</v>
      </c>
      <c r="X47" s="50"/>
      <c r="Y47" s="47"/>
      <c r="Z47" s="47"/>
    </row>
    <row r="48" ht="15.75" customHeight="1">
      <c r="A48" s="38"/>
      <c r="B48" s="39" t="s">
        <v>169</v>
      </c>
      <c r="C48" s="39" t="s">
        <v>170</v>
      </c>
      <c r="D48" s="40">
        <v>1.42</v>
      </c>
      <c r="E48" s="41">
        <v>0.004068</v>
      </c>
      <c r="F48" s="39" t="s">
        <v>171</v>
      </c>
      <c r="G48" s="42">
        <v>1.19</v>
      </c>
      <c r="H48" s="43">
        <v>0.002968</v>
      </c>
      <c r="I48" s="44">
        <v>10859.0</v>
      </c>
      <c r="J48" s="40"/>
      <c r="K48" s="45" t="s">
        <v>172</v>
      </c>
      <c r="L48" s="39" t="s">
        <v>51</v>
      </c>
      <c r="M48" s="46" t="s">
        <v>173</v>
      </c>
      <c r="N48" s="38">
        <v>16436.0</v>
      </c>
      <c r="O48" s="47" t="s">
        <v>65</v>
      </c>
      <c r="P48" s="47">
        <v>6.28517150607E12</v>
      </c>
      <c r="Q48" s="48" t="s">
        <v>174</v>
      </c>
      <c r="R48" s="47" t="s">
        <v>55</v>
      </c>
      <c r="S48" s="49"/>
      <c r="T48" s="47" t="s">
        <v>56</v>
      </c>
      <c r="U48" s="47" t="s">
        <v>57</v>
      </c>
      <c r="V48" s="47"/>
      <c r="W48" s="47">
        <v>1.0</v>
      </c>
      <c r="X48" s="50"/>
      <c r="Y48" s="47"/>
      <c r="Z48" s="47"/>
    </row>
    <row r="49" ht="15.75" customHeight="1">
      <c r="A49" s="38"/>
      <c r="B49" s="39"/>
      <c r="C49" s="39"/>
      <c r="D49" s="40"/>
      <c r="E49" s="41"/>
      <c r="F49" s="39" t="s">
        <v>175</v>
      </c>
      <c r="G49" s="42">
        <v>0.23</v>
      </c>
      <c r="H49" s="43">
        <v>0.0011</v>
      </c>
      <c r="I49" s="44">
        <v>10859.0</v>
      </c>
      <c r="J49" s="40"/>
      <c r="K49" s="45"/>
      <c r="L49" s="39"/>
      <c r="M49" s="46"/>
      <c r="N49" s="38"/>
      <c r="O49" s="47"/>
      <c r="P49" s="47"/>
      <c r="Q49" s="48"/>
      <c r="R49" s="47"/>
      <c r="S49" s="49"/>
      <c r="T49" s="47"/>
      <c r="U49" s="47"/>
      <c r="V49" s="47"/>
      <c r="W49" s="47">
        <v>1.0</v>
      </c>
      <c r="X49" s="50"/>
      <c r="Y49" s="47"/>
      <c r="Z49" s="47"/>
    </row>
    <row r="50" ht="15.75" customHeight="1">
      <c r="A50" s="38"/>
      <c r="B50" s="39" t="s">
        <v>176</v>
      </c>
      <c r="C50" s="39" t="s">
        <v>177</v>
      </c>
      <c r="D50" s="40">
        <v>2.9</v>
      </c>
      <c r="E50" s="41">
        <v>0.007682</v>
      </c>
      <c r="F50" s="39" t="s">
        <v>178</v>
      </c>
      <c r="G50" s="42">
        <v>0.31</v>
      </c>
      <c r="H50" s="43">
        <v>7.19E-4</v>
      </c>
      <c r="I50" s="44">
        <v>916.0</v>
      </c>
      <c r="J50" s="40"/>
      <c r="K50" s="45" t="s">
        <v>179</v>
      </c>
      <c r="L50" s="39" t="s">
        <v>51</v>
      </c>
      <c r="M50" s="46" t="s">
        <v>180</v>
      </c>
      <c r="N50" s="38">
        <v>17412.0</v>
      </c>
      <c r="O50" s="47" t="s">
        <v>53</v>
      </c>
      <c r="P50" s="47">
        <v>8.131705404E10</v>
      </c>
      <c r="Q50" s="48" t="s">
        <v>181</v>
      </c>
      <c r="R50" s="47" t="s">
        <v>55</v>
      </c>
      <c r="S50" s="49"/>
      <c r="T50" s="47" t="s">
        <v>56</v>
      </c>
      <c r="U50" s="47" t="s">
        <v>57</v>
      </c>
      <c r="V50" s="47"/>
      <c r="W50" s="47">
        <v>1.0</v>
      </c>
      <c r="X50" s="50"/>
      <c r="Y50" s="47"/>
      <c r="Z50" s="47"/>
    </row>
    <row r="51" ht="15.75" customHeight="1">
      <c r="A51" s="38"/>
      <c r="B51" s="39"/>
      <c r="C51" s="39"/>
      <c r="D51" s="40"/>
      <c r="E51" s="41"/>
      <c r="F51" s="39" t="s">
        <v>182</v>
      </c>
      <c r="G51" s="42">
        <v>2.59</v>
      </c>
      <c r="H51" s="43">
        <v>0.006963</v>
      </c>
      <c r="I51" s="54">
        <v>916.0</v>
      </c>
      <c r="J51" s="55"/>
      <c r="K51" s="56"/>
      <c r="L51" s="39"/>
      <c r="M51" s="46"/>
      <c r="N51" s="38"/>
      <c r="O51" s="47"/>
      <c r="P51" s="47"/>
      <c r="Q51" s="48"/>
      <c r="R51" s="47"/>
      <c r="S51" s="49"/>
      <c r="T51" s="47"/>
      <c r="U51" s="47"/>
      <c r="V51" s="47"/>
      <c r="W51" s="47">
        <v>1.0</v>
      </c>
      <c r="X51" s="50"/>
      <c r="Y51" s="47"/>
      <c r="Z51" s="47"/>
    </row>
    <row r="52" ht="15.75" customHeight="1">
      <c r="A52" s="38"/>
      <c r="B52" s="39" t="s">
        <v>183</v>
      </c>
      <c r="C52" s="39" t="s">
        <v>184</v>
      </c>
      <c r="D52" s="40">
        <v>1.87</v>
      </c>
      <c r="E52" s="41">
        <v>0.013588</v>
      </c>
      <c r="F52" s="39" t="s">
        <v>185</v>
      </c>
      <c r="G52" s="42">
        <v>0.08</v>
      </c>
      <c r="H52" s="43">
        <v>0.004224</v>
      </c>
      <c r="I52" s="44">
        <v>724.0</v>
      </c>
      <c r="J52" s="40"/>
      <c r="K52" s="45" t="s">
        <v>186</v>
      </c>
      <c r="L52" s="39" t="s">
        <v>51</v>
      </c>
      <c r="M52" s="46" t="s">
        <v>187</v>
      </c>
      <c r="N52" s="38">
        <v>17434.0</v>
      </c>
      <c r="O52" s="47" t="s">
        <v>53</v>
      </c>
      <c r="P52" s="47">
        <v>8.5283705505E10</v>
      </c>
      <c r="Q52" s="48" t="s">
        <v>188</v>
      </c>
      <c r="R52" s="47" t="s">
        <v>55</v>
      </c>
      <c r="S52" s="49"/>
      <c r="T52" s="47" t="s">
        <v>56</v>
      </c>
      <c r="U52" s="47" t="s">
        <v>57</v>
      </c>
      <c r="V52" s="47"/>
      <c r="W52" s="47">
        <v>1.0</v>
      </c>
      <c r="X52" s="50"/>
      <c r="Y52" s="47"/>
      <c r="Z52" s="47"/>
    </row>
    <row r="53" ht="15.75" customHeight="1">
      <c r="A53" s="38"/>
      <c r="B53" s="39"/>
      <c r="C53" s="39"/>
      <c r="D53" s="40"/>
      <c r="E53" s="41"/>
      <c r="F53" s="39" t="s">
        <v>189</v>
      </c>
      <c r="G53" s="42">
        <v>0.25</v>
      </c>
      <c r="H53" s="43">
        <v>0.00165</v>
      </c>
      <c r="I53" s="44">
        <v>724.0</v>
      </c>
      <c r="J53" s="40"/>
      <c r="K53" s="45"/>
      <c r="L53" s="39"/>
      <c r="M53" s="46"/>
      <c r="N53" s="38"/>
      <c r="O53" s="47"/>
      <c r="P53" s="47"/>
      <c r="Q53" s="48"/>
      <c r="R53" s="47"/>
      <c r="S53" s="49"/>
      <c r="T53" s="47"/>
      <c r="U53" s="47"/>
      <c r="V53" s="47"/>
      <c r="W53" s="47">
        <v>1.0</v>
      </c>
      <c r="X53" s="50"/>
      <c r="Y53" s="47"/>
      <c r="Z53" s="47"/>
    </row>
    <row r="54" ht="15.75" customHeight="1">
      <c r="A54" s="38"/>
      <c r="B54" s="39"/>
      <c r="C54" s="39"/>
      <c r="D54" s="40"/>
      <c r="E54" s="41"/>
      <c r="F54" s="39" t="s">
        <v>190</v>
      </c>
      <c r="G54" s="42">
        <v>1.54</v>
      </c>
      <c r="H54" s="43">
        <v>0.007714</v>
      </c>
      <c r="I54" s="44">
        <v>724.0</v>
      </c>
      <c r="J54" s="40"/>
      <c r="K54" s="45"/>
      <c r="L54" s="39"/>
      <c r="M54" s="46"/>
      <c r="N54" s="38"/>
      <c r="O54" s="47"/>
      <c r="P54" s="47"/>
      <c r="Q54" s="48"/>
      <c r="R54" s="47"/>
      <c r="S54" s="49"/>
      <c r="T54" s="47"/>
      <c r="U54" s="47"/>
      <c r="V54" s="47"/>
      <c r="W54" s="47">
        <v>1.0</v>
      </c>
      <c r="X54" s="50"/>
      <c r="Y54" s="47"/>
      <c r="Z54" s="47"/>
    </row>
    <row r="55" ht="15.75" customHeight="1">
      <c r="A55" s="38"/>
      <c r="B55" s="39" t="s">
        <v>191</v>
      </c>
      <c r="C55" s="39" t="s">
        <v>192</v>
      </c>
      <c r="D55" s="40">
        <v>0.39</v>
      </c>
      <c r="E55" s="41">
        <v>0.002006</v>
      </c>
      <c r="F55" s="39" t="s">
        <v>193</v>
      </c>
      <c r="G55" s="42">
        <v>0.39</v>
      </c>
      <c r="H55" s="43">
        <v>0.002006</v>
      </c>
      <c r="I55" s="44">
        <v>2985.0</v>
      </c>
      <c r="J55" s="40"/>
      <c r="K55" s="45" t="s">
        <v>193</v>
      </c>
      <c r="L55" s="39" t="s">
        <v>51</v>
      </c>
      <c r="M55" s="46" t="s">
        <v>194</v>
      </c>
      <c r="N55" s="38">
        <v>16452.0</v>
      </c>
      <c r="O55" s="47" t="s">
        <v>65</v>
      </c>
      <c r="P55" s="47">
        <v>8.5716828799E10</v>
      </c>
      <c r="Q55" s="48" t="s">
        <v>195</v>
      </c>
      <c r="R55" s="47" t="s">
        <v>55</v>
      </c>
      <c r="S55" s="49"/>
      <c r="T55" s="47" t="s">
        <v>56</v>
      </c>
      <c r="U55" s="47" t="s">
        <v>57</v>
      </c>
      <c r="V55" s="47"/>
      <c r="W55" s="47">
        <v>1.0</v>
      </c>
      <c r="X55" s="50"/>
      <c r="Y55" s="47"/>
      <c r="Z55" s="47"/>
    </row>
    <row r="56" ht="15.75" customHeight="1">
      <c r="A56" s="38"/>
      <c r="B56" s="39" t="s">
        <v>196</v>
      </c>
      <c r="C56" s="39" t="s">
        <v>197</v>
      </c>
      <c r="D56" s="40">
        <v>3.61</v>
      </c>
      <c r="E56" s="41">
        <v>0.009103</v>
      </c>
      <c r="F56" s="39" t="s">
        <v>198</v>
      </c>
      <c r="G56" s="42">
        <v>3.23</v>
      </c>
      <c r="H56" s="43">
        <v>0.007663</v>
      </c>
      <c r="I56" s="44">
        <v>11720.0</v>
      </c>
      <c r="J56" s="40"/>
      <c r="K56" s="45" t="s">
        <v>199</v>
      </c>
      <c r="L56" s="39" t="s">
        <v>51</v>
      </c>
      <c r="M56" s="46" t="s">
        <v>200</v>
      </c>
      <c r="N56" s="38">
        <v>16511.0</v>
      </c>
      <c r="O56" s="47" t="s">
        <v>65</v>
      </c>
      <c r="P56" s="47">
        <v>6.282124529923E12</v>
      </c>
      <c r="Q56" s="48" t="s">
        <v>201</v>
      </c>
      <c r="R56" s="47" t="s">
        <v>55</v>
      </c>
      <c r="S56" s="49"/>
      <c r="T56" s="47" t="s">
        <v>56</v>
      </c>
      <c r="U56" s="47" t="s">
        <v>57</v>
      </c>
      <c r="V56" s="47"/>
      <c r="W56" s="47">
        <v>1.0</v>
      </c>
      <c r="X56" s="50"/>
      <c r="Y56" s="47"/>
      <c r="Z56" s="47"/>
    </row>
    <row r="57" ht="15.75" customHeight="1">
      <c r="A57" s="38"/>
      <c r="B57" s="39"/>
      <c r="C57" s="39"/>
      <c r="D57" s="40"/>
      <c r="E57" s="41"/>
      <c r="F57" s="39" t="s">
        <v>202</v>
      </c>
      <c r="G57" s="42">
        <v>0.21</v>
      </c>
      <c r="H57" s="43">
        <v>6.0E-4</v>
      </c>
      <c r="I57" s="44">
        <v>11720.0</v>
      </c>
      <c r="J57" s="40"/>
      <c r="K57" s="45"/>
      <c r="L57" s="39"/>
      <c r="M57" s="46"/>
      <c r="N57" s="38"/>
      <c r="O57" s="47"/>
      <c r="P57" s="47"/>
      <c r="Q57" s="48"/>
      <c r="R57" s="47"/>
      <c r="S57" s="49"/>
      <c r="T57" s="47"/>
      <c r="U57" s="47"/>
      <c r="V57" s="47"/>
      <c r="W57" s="47">
        <v>1.0</v>
      </c>
      <c r="X57" s="50"/>
      <c r="Y57" s="47"/>
      <c r="Z57" s="47"/>
    </row>
    <row r="58" ht="15.75" customHeight="1">
      <c r="A58" s="38"/>
      <c r="B58" s="39"/>
      <c r="C58" s="39"/>
      <c r="D58" s="40"/>
      <c r="E58" s="41"/>
      <c r="F58" s="39" t="s">
        <v>203</v>
      </c>
      <c r="G58" s="42">
        <v>0.17</v>
      </c>
      <c r="H58" s="43">
        <v>8.4E-4</v>
      </c>
      <c r="I58" s="44">
        <v>11720.0</v>
      </c>
      <c r="J58" s="40"/>
      <c r="K58" s="45"/>
      <c r="L58" s="39"/>
      <c r="M58" s="46"/>
      <c r="N58" s="38"/>
      <c r="O58" s="47"/>
      <c r="P58" s="47"/>
      <c r="Q58" s="48"/>
      <c r="R58" s="47"/>
      <c r="S58" s="49"/>
      <c r="T58" s="47"/>
      <c r="U58" s="47"/>
      <c r="V58" s="47"/>
      <c r="W58" s="47">
        <v>1.0</v>
      </c>
      <c r="X58" s="50"/>
      <c r="Y58" s="47"/>
      <c r="Z58" s="47"/>
    </row>
    <row r="59" ht="15.75" customHeight="1">
      <c r="A59" s="38"/>
      <c r="B59" s="39" t="s">
        <v>204</v>
      </c>
      <c r="C59" s="39" t="s">
        <v>205</v>
      </c>
      <c r="D59" s="40">
        <v>7.05</v>
      </c>
      <c r="E59" s="41">
        <v>0.021189</v>
      </c>
      <c r="F59" s="39" t="s">
        <v>206</v>
      </c>
      <c r="G59" s="42">
        <v>6.24</v>
      </c>
      <c r="H59" s="43">
        <v>0.01788</v>
      </c>
      <c r="I59" s="44">
        <v>11005.0</v>
      </c>
      <c r="J59" s="40"/>
      <c r="K59" s="45" t="s">
        <v>207</v>
      </c>
      <c r="L59" s="39" t="s">
        <v>51</v>
      </c>
      <c r="M59" s="46" t="s">
        <v>208</v>
      </c>
      <c r="N59" s="38">
        <v>16519.0</v>
      </c>
      <c r="O59" s="47" t="s">
        <v>65</v>
      </c>
      <c r="P59" s="47">
        <v>6.282323729581E12</v>
      </c>
      <c r="Q59" s="48" t="s">
        <v>209</v>
      </c>
      <c r="R59" s="47" t="s">
        <v>55</v>
      </c>
      <c r="S59" s="49"/>
      <c r="T59" s="47" t="s">
        <v>56</v>
      </c>
      <c r="U59" s="47" t="s">
        <v>57</v>
      </c>
      <c r="V59" s="47"/>
      <c r="W59" s="47">
        <v>1.0</v>
      </c>
      <c r="X59" s="50"/>
      <c r="Y59" s="47"/>
      <c r="Z59" s="47"/>
    </row>
    <row r="60" ht="15.75" customHeight="1">
      <c r="A60" s="38"/>
      <c r="B60" s="39"/>
      <c r="C60" s="39"/>
      <c r="D60" s="40"/>
      <c r="E60" s="41"/>
      <c r="F60" s="39" t="s">
        <v>210</v>
      </c>
      <c r="G60" s="42">
        <v>0.52</v>
      </c>
      <c r="H60" s="43">
        <v>7.56E-4</v>
      </c>
      <c r="I60" s="44">
        <v>11005.0</v>
      </c>
      <c r="J60" s="40"/>
      <c r="K60" s="45"/>
      <c r="L60" s="39"/>
      <c r="M60" s="46"/>
      <c r="N60" s="38"/>
      <c r="O60" s="47"/>
      <c r="P60" s="47"/>
      <c r="Q60" s="48"/>
      <c r="R60" s="47"/>
      <c r="S60" s="49"/>
      <c r="T60" s="47"/>
      <c r="U60" s="47"/>
      <c r="V60" s="47"/>
      <c r="W60" s="47">
        <v>1.0</v>
      </c>
      <c r="X60" s="50"/>
      <c r="Y60" s="47"/>
      <c r="Z60" s="47"/>
    </row>
    <row r="61" ht="15.75" customHeight="1">
      <c r="A61" s="38"/>
      <c r="B61" s="39"/>
      <c r="C61" s="39"/>
      <c r="D61" s="40"/>
      <c r="E61" s="41"/>
      <c r="F61" s="39" t="s">
        <v>211</v>
      </c>
      <c r="G61" s="42">
        <v>0.29</v>
      </c>
      <c r="H61" s="43">
        <v>0.002553</v>
      </c>
      <c r="I61" s="44">
        <v>11005.0</v>
      </c>
      <c r="J61" s="40"/>
      <c r="K61" s="45"/>
      <c r="L61" s="39"/>
      <c r="M61" s="46"/>
      <c r="N61" s="38"/>
      <c r="O61" s="47"/>
      <c r="P61" s="47"/>
      <c r="Q61" s="48"/>
      <c r="R61" s="47"/>
      <c r="S61" s="49"/>
      <c r="T61" s="47"/>
      <c r="U61" s="47"/>
      <c r="V61" s="47"/>
      <c r="W61" s="47">
        <v>1.0</v>
      </c>
      <c r="X61" s="50"/>
      <c r="Y61" s="47"/>
      <c r="Z61" s="47"/>
    </row>
    <row r="62" ht="15.75" customHeight="1">
      <c r="A62" s="38"/>
      <c r="B62" s="39" t="s">
        <v>212</v>
      </c>
      <c r="C62" s="39" t="s">
        <v>213</v>
      </c>
      <c r="D62" s="40">
        <v>2.19</v>
      </c>
      <c r="E62" s="41">
        <v>0.01085</v>
      </c>
      <c r="F62" s="39" t="s">
        <v>214</v>
      </c>
      <c r="G62" s="42">
        <v>1.46</v>
      </c>
      <c r="H62" s="43">
        <v>0.006134</v>
      </c>
      <c r="I62" s="44">
        <v>15076.0</v>
      </c>
      <c r="J62" s="40"/>
      <c r="K62" s="45" t="s">
        <v>215</v>
      </c>
      <c r="L62" s="39" t="s">
        <v>51</v>
      </c>
      <c r="M62" s="46" t="s">
        <v>216</v>
      </c>
      <c r="N62" s="38">
        <v>17433.0</v>
      </c>
      <c r="O62" s="47" t="s">
        <v>53</v>
      </c>
      <c r="P62" s="47">
        <v>6.281218412411E12</v>
      </c>
      <c r="Q62" s="48" t="s">
        <v>217</v>
      </c>
      <c r="R62" s="47" t="s">
        <v>55</v>
      </c>
      <c r="S62" s="49"/>
      <c r="T62" s="47" t="s">
        <v>56</v>
      </c>
      <c r="U62" s="47" t="s">
        <v>57</v>
      </c>
      <c r="V62" s="47"/>
      <c r="W62" s="47">
        <v>1.0</v>
      </c>
      <c r="X62" s="50"/>
      <c r="Y62" s="47"/>
      <c r="Z62" s="47"/>
    </row>
    <row r="63" ht="15.75" customHeight="1">
      <c r="A63" s="38"/>
      <c r="B63" s="39"/>
      <c r="C63" s="39"/>
      <c r="D63" s="40"/>
      <c r="E63" s="41"/>
      <c r="F63" s="39" t="s">
        <v>218</v>
      </c>
      <c r="G63" s="42">
        <v>0.73</v>
      </c>
      <c r="H63" s="43">
        <v>0.004716</v>
      </c>
      <c r="I63" s="54">
        <v>15076.0</v>
      </c>
      <c r="J63" s="40"/>
      <c r="K63" s="45"/>
      <c r="L63" s="39"/>
      <c r="M63" s="46"/>
      <c r="N63" s="38"/>
      <c r="O63" s="47"/>
      <c r="P63" s="47"/>
      <c r="Q63" s="48"/>
      <c r="R63" s="47"/>
      <c r="S63" s="49"/>
      <c r="T63" s="47"/>
      <c r="U63" s="47"/>
      <c r="V63" s="47"/>
      <c r="W63" s="47">
        <v>1.0</v>
      </c>
      <c r="X63" s="50"/>
      <c r="Y63" s="47"/>
      <c r="Z63" s="47"/>
    </row>
    <row r="64" ht="15.75" customHeight="1">
      <c r="A64" s="38"/>
      <c r="B64" s="39" t="s">
        <v>219</v>
      </c>
      <c r="C64" s="39" t="s">
        <v>220</v>
      </c>
      <c r="D64" s="40">
        <v>0.66</v>
      </c>
      <c r="E64" s="41">
        <v>0.00894</v>
      </c>
      <c r="F64" s="39" t="s">
        <v>221</v>
      </c>
      <c r="G64" s="42">
        <v>0.47</v>
      </c>
      <c r="H64" s="43">
        <v>0.00792</v>
      </c>
      <c r="I64" s="44">
        <v>1442.0</v>
      </c>
      <c r="J64" s="40"/>
      <c r="K64" s="45" t="s">
        <v>222</v>
      </c>
      <c r="L64" s="39" t="s">
        <v>51</v>
      </c>
      <c r="M64" s="46" t="s">
        <v>223</v>
      </c>
      <c r="N64" s="38">
        <v>17411.0</v>
      </c>
      <c r="O64" s="47" t="s">
        <v>53</v>
      </c>
      <c r="P64" s="47">
        <v>8.7773506955E10</v>
      </c>
      <c r="Q64" s="48" t="s">
        <v>224</v>
      </c>
      <c r="R64" s="47" t="s">
        <v>55</v>
      </c>
      <c r="S64" s="49"/>
      <c r="T64" s="47" t="s">
        <v>56</v>
      </c>
      <c r="U64" s="47" t="s">
        <v>57</v>
      </c>
      <c r="V64" s="47"/>
      <c r="W64" s="47">
        <v>1.0</v>
      </c>
      <c r="X64" s="50"/>
      <c r="Y64" s="47"/>
      <c r="Z64" s="47"/>
    </row>
    <row r="65" ht="15.75" customHeight="1">
      <c r="A65" s="38"/>
      <c r="B65" s="39"/>
      <c r="C65" s="39"/>
      <c r="D65" s="40"/>
      <c r="E65" s="41"/>
      <c r="F65" s="39" t="s">
        <v>225</v>
      </c>
      <c r="G65" s="42">
        <v>0.19</v>
      </c>
      <c r="H65" s="43">
        <v>0.00102</v>
      </c>
      <c r="I65" s="44">
        <v>1442.0</v>
      </c>
      <c r="J65" s="40"/>
      <c r="K65" s="45"/>
      <c r="L65" s="39"/>
      <c r="M65" s="46"/>
      <c r="N65" s="38"/>
      <c r="O65" s="47"/>
      <c r="P65" s="47"/>
      <c r="Q65" s="48"/>
      <c r="R65" s="47"/>
      <c r="S65" s="49"/>
      <c r="T65" s="47"/>
      <c r="U65" s="47"/>
      <c r="V65" s="47"/>
      <c r="W65" s="47">
        <v>1.0</v>
      </c>
      <c r="X65" s="50"/>
      <c r="Y65" s="47"/>
      <c r="Z65" s="47"/>
    </row>
    <row r="66" ht="15.75" customHeight="1">
      <c r="A66" s="38"/>
      <c r="B66" s="39" t="s">
        <v>226</v>
      </c>
      <c r="C66" s="39" t="s">
        <v>227</v>
      </c>
      <c r="D66" s="40">
        <v>2.57</v>
      </c>
      <c r="E66" s="41">
        <v>0.008615</v>
      </c>
      <c r="F66" s="39" t="s">
        <v>228</v>
      </c>
      <c r="G66" s="42">
        <v>0.05</v>
      </c>
      <c r="H66" s="43">
        <v>3.92E-4</v>
      </c>
      <c r="I66" s="44">
        <v>17703.0</v>
      </c>
      <c r="J66" s="40"/>
      <c r="K66" s="45" t="s">
        <v>229</v>
      </c>
      <c r="L66" s="39" t="s">
        <v>51</v>
      </c>
      <c r="M66" s="46" t="s">
        <v>230</v>
      </c>
      <c r="N66" s="38">
        <v>17432.0</v>
      </c>
      <c r="O66" s="47" t="s">
        <v>53</v>
      </c>
      <c r="P66" s="47">
        <v>6.285885477255E12</v>
      </c>
      <c r="Q66" s="48"/>
      <c r="R66" s="47" t="s">
        <v>55</v>
      </c>
      <c r="S66" s="49"/>
      <c r="T66" s="47" t="s">
        <v>56</v>
      </c>
      <c r="U66" s="47" t="s">
        <v>57</v>
      </c>
      <c r="V66" s="47"/>
      <c r="W66" s="47">
        <v>1.0</v>
      </c>
      <c r="X66" s="50"/>
      <c r="Y66" s="47"/>
      <c r="Z66" s="47"/>
    </row>
    <row r="67" ht="15.75" customHeight="1">
      <c r="A67" s="38"/>
      <c r="B67" s="39"/>
      <c r="C67" s="39"/>
      <c r="D67" s="40"/>
      <c r="E67" s="41"/>
      <c r="F67" s="39" t="s">
        <v>231</v>
      </c>
      <c r="G67" s="42">
        <v>1.49</v>
      </c>
      <c r="H67" s="43">
        <v>0.005902</v>
      </c>
      <c r="I67" s="44">
        <v>17703.0</v>
      </c>
      <c r="J67" s="40"/>
      <c r="K67" s="45"/>
      <c r="L67" s="39"/>
      <c r="M67" s="46"/>
      <c r="N67" s="38"/>
      <c r="O67" s="47"/>
      <c r="P67" s="47"/>
      <c r="Q67" s="48"/>
      <c r="R67" s="47"/>
      <c r="S67" s="49"/>
      <c r="T67" s="47"/>
      <c r="U67" s="47"/>
      <c r="V67" s="47"/>
      <c r="W67" s="47">
        <v>1.0</v>
      </c>
      <c r="X67" s="50"/>
      <c r="Y67" s="47"/>
      <c r="Z67" s="47"/>
    </row>
    <row r="68" ht="15.75" customHeight="1">
      <c r="A68" s="38"/>
      <c r="B68" s="39"/>
      <c r="C68" s="39"/>
      <c r="D68" s="40"/>
      <c r="E68" s="41"/>
      <c r="F68" s="39" t="s">
        <v>232</v>
      </c>
      <c r="G68" s="42">
        <v>0.34</v>
      </c>
      <c r="H68" s="43">
        <v>8.4E-4</v>
      </c>
      <c r="I68" s="44">
        <v>17703.0</v>
      </c>
      <c r="J68" s="40"/>
      <c r="K68" s="45"/>
      <c r="L68" s="39"/>
      <c r="M68" s="46"/>
      <c r="N68" s="38"/>
      <c r="O68" s="47"/>
      <c r="P68" s="47"/>
      <c r="Q68" s="48"/>
      <c r="R68" s="47"/>
      <c r="S68" s="49"/>
      <c r="T68" s="47"/>
      <c r="U68" s="47"/>
      <c r="V68" s="47"/>
      <c r="W68" s="47">
        <v>1.0</v>
      </c>
      <c r="X68" s="50"/>
      <c r="Y68" s="47"/>
      <c r="Z68" s="47"/>
    </row>
    <row r="69" ht="15.75" customHeight="1">
      <c r="A69" s="38"/>
      <c r="B69" s="39"/>
      <c r="C69" s="39"/>
      <c r="D69" s="40"/>
      <c r="E69" s="41"/>
      <c r="F69" s="39" t="s">
        <v>233</v>
      </c>
      <c r="G69" s="42">
        <v>0.69</v>
      </c>
      <c r="H69" s="43">
        <v>0.001481</v>
      </c>
      <c r="I69" s="44">
        <v>17703.0</v>
      </c>
      <c r="J69" s="40"/>
      <c r="K69" s="45"/>
      <c r="L69" s="39"/>
      <c r="M69" s="46"/>
      <c r="N69" s="38"/>
      <c r="O69" s="47"/>
      <c r="P69" s="47"/>
      <c r="Q69" s="48"/>
      <c r="R69" s="47"/>
      <c r="S69" s="49"/>
      <c r="T69" s="47"/>
      <c r="U69" s="47"/>
      <c r="V69" s="47"/>
      <c r="W69" s="47">
        <v>1.0</v>
      </c>
      <c r="X69" s="50"/>
      <c r="Y69" s="47"/>
      <c r="Z69" s="47"/>
    </row>
    <row r="70" ht="15.75" customHeight="1">
      <c r="A70" s="38"/>
      <c r="B70" s="39" t="s">
        <v>234</v>
      </c>
      <c r="C70" s="39" t="s">
        <v>235</v>
      </c>
      <c r="D70" s="40">
        <v>14.6</v>
      </c>
      <c r="E70" s="41">
        <v>0.06332</v>
      </c>
      <c r="F70" s="39" t="s">
        <v>236</v>
      </c>
      <c r="G70" s="42">
        <v>1.76</v>
      </c>
      <c r="H70" s="43">
        <v>0.008876</v>
      </c>
      <c r="I70" s="44">
        <v>16587.0</v>
      </c>
      <c r="J70" s="40"/>
      <c r="K70" s="45" t="s">
        <v>237</v>
      </c>
      <c r="L70" s="39" t="s">
        <v>51</v>
      </c>
      <c r="M70" s="46" t="s">
        <v>238</v>
      </c>
      <c r="N70" s="38">
        <v>17412.0</v>
      </c>
      <c r="O70" s="47" t="s">
        <v>53</v>
      </c>
      <c r="P70" s="47">
        <v>6.28121414892E12</v>
      </c>
      <c r="Q70" s="48" t="s">
        <v>239</v>
      </c>
      <c r="R70" s="47" t="s">
        <v>55</v>
      </c>
      <c r="S70" s="49"/>
      <c r="T70" s="47" t="s">
        <v>56</v>
      </c>
      <c r="U70" s="47" t="s">
        <v>57</v>
      </c>
      <c r="V70" s="47"/>
      <c r="W70" s="47">
        <v>1.0</v>
      </c>
      <c r="X70" s="50"/>
      <c r="Y70" s="47"/>
      <c r="Z70" s="47"/>
    </row>
    <row r="71" ht="15.75" customHeight="1">
      <c r="A71" s="38"/>
      <c r="B71" s="39"/>
      <c r="C71" s="39"/>
      <c r="D71" s="40"/>
      <c r="E71" s="41"/>
      <c r="F71" s="39" t="s">
        <v>240</v>
      </c>
      <c r="G71" s="42">
        <v>2.3</v>
      </c>
      <c r="H71" s="43">
        <v>0.009282</v>
      </c>
      <c r="I71" s="44">
        <v>16587.0</v>
      </c>
      <c r="J71" s="40"/>
      <c r="K71" s="45"/>
      <c r="L71" s="39"/>
      <c r="M71" s="46"/>
      <c r="N71" s="38"/>
      <c r="O71" s="47"/>
      <c r="P71" s="47"/>
      <c r="Q71" s="48"/>
      <c r="R71" s="47"/>
      <c r="S71" s="49"/>
      <c r="T71" s="47"/>
      <c r="U71" s="47"/>
      <c r="V71" s="47"/>
      <c r="W71" s="47">
        <v>1.0</v>
      </c>
      <c r="X71" s="50"/>
      <c r="Y71" s="47"/>
      <c r="Z71" s="47"/>
    </row>
    <row r="72" ht="15.75" customHeight="1">
      <c r="A72" s="38"/>
      <c r="B72" s="39"/>
      <c r="C72" s="39"/>
      <c r="D72" s="40"/>
      <c r="E72" s="41"/>
      <c r="F72" s="39" t="s">
        <v>241</v>
      </c>
      <c r="G72" s="42">
        <v>0.02</v>
      </c>
      <c r="H72" s="43">
        <v>1.56E-4</v>
      </c>
      <c r="I72" s="44">
        <v>16587.0</v>
      </c>
      <c r="J72" s="40"/>
      <c r="K72" s="45"/>
      <c r="L72" s="39"/>
      <c r="M72" s="46"/>
      <c r="N72" s="38"/>
      <c r="O72" s="47"/>
      <c r="P72" s="47"/>
      <c r="Q72" s="48"/>
      <c r="R72" s="47"/>
      <c r="S72" s="49"/>
      <c r="T72" s="47"/>
      <c r="U72" s="47"/>
      <c r="V72" s="47"/>
      <c r="W72" s="47">
        <v>1.0</v>
      </c>
      <c r="X72" s="50"/>
      <c r="Y72" s="47"/>
      <c r="Z72" s="47"/>
    </row>
    <row r="73" ht="15.75" customHeight="1">
      <c r="A73" s="38"/>
      <c r="B73" s="39"/>
      <c r="C73" s="39"/>
      <c r="D73" s="40"/>
      <c r="E73" s="41"/>
      <c r="F73" s="39" t="s">
        <v>242</v>
      </c>
      <c r="G73" s="42">
        <v>0.06</v>
      </c>
      <c r="H73" s="43">
        <v>5.28E-4</v>
      </c>
      <c r="I73" s="44">
        <v>16587.0</v>
      </c>
      <c r="J73" s="40"/>
      <c r="K73" s="45"/>
      <c r="L73" s="39"/>
      <c r="M73" s="46"/>
      <c r="N73" s="38"/>
      <c r="O73" s="47"/>
      <c r="P73" s="47"/>
      <c r="Q73" s="48"/>
      <c r="R73" s="47"/>
      <c r="S73" s="49"/>
      <c r="T73" s="47"/>
      <c r="U73" s="47"/>
      <c r="V73" s="47"/>
      <c r="W73" s="47">
        <v>1.0</v>
      </c>
      <c r="X73" s="50"/>
      <c r="Y73" s="47"/>
      <c r="Z73" s="47"/>
    </row>
    <row r="74" ht="15.75" customHeight="1">
      <c r="A74" s="38"/>
      <c r="B74" s="39"/>
      <c r="C74" s="39"/>
      <c r="D74" s="40"/>
      <c r="E74" s="41"/>
      <c r="F74" s="39" t="s">
        <v>243</v>
      </c>
      <c r="G74" s="42">
        <v>1.19</v>
      </c>
      <c r="H74" s="43">
        <v>0.007067</v>
      </c>
      <c r="I74" s="44">
        <v>16587.0</v>
      </c>
      <c r="J74" s="40"/>
      <c r="K74" s="45"/>
      <c r="L74" s="39"/>
      <c r="M74" s="46"/>
      <c r="N74" s="38"/>
      <c r="O74" s="47"/>
      <c r="P74" s="47"/>
      <c r="Q74" s="48"/>
      <c r="R74" s="47"/>
      <c r="S74" s="49"/>
      <c r="T74" s="47"/>
      <c r="U74" s="47"/>
      <c r="V74" s="47"/>
      <c r="W74" s="47">
        <v>1.0</v>
      </c>
      <c r="X74" s="50"/>
      <c r="Y74" s="47"/>
      <c r="Z74" s="47"/>
    </row>
    <row r="75" ht="15.75" customHeight="1">
      <c r="A75" s="38"/>
      <c r="B75" s="39"/>
      <c r="C75" s="39"/>
      <c r="D75" s="40"/>
      <c r="E75" s="41"/>
      <c r="F75" s="39" t="s">
        <v>244</v>
      </c>
      <c r="G75" s="42">
        <v>0.61</v>
      </c>
      <c r="H75" s="43">
        <v>0.0011</v>
      </c>
      <c r="I75" s="44">
        <v>16587.0</v>
      </c>
      <c r="J75" s="40"/>
      <c r="K75" s="45"/>
      <c r="L75" s="39"/>
      <c r="M75" s="46"/>
      <c r="N75" s="38"/>
      <c r="O75" s="47"/>
      <c r="P75" s="47"/>
      <c r="Q75" s="48"/>
      <c r="R75" s="47"/>
      <c r="S75" s="49"/>
      <c r="T75" s="47"/>
      <c r="U75" s="47"/>
      <c r="V75" s="47"/>
      <c r="W75" s="47">
        <v>1.0</v>
      </c>
      <c r="X75" s="50"/>
      <c r="Y75" s="47"/>
      <c r="Z75" s="47"/>
    </row>
    <row r="76" ht="15.75" customHeight="1">
      <c r="A76" s="38"/>
      <c r="B76" s="39"/>
      <c r="C76" s="39"/>
      <c r="D76" s="40"/>
      <c r="E76" s="41"/>
      <c r="F76" s="39" t="s">
        <v>245</v>
      </c>
      <c r="G76" s="42">
        <v>1.36</v>
      </c>
      <c r="H76" s="43">
        <v>0.009842</v>
      </c>
      <c r="I76" s="44">
        <v>16587.0</v>
      </c>
      <c r="J76" s="40"/>
      <c r="K76" s="45"/>
      <c r="L76" s="39"/>
      <c r="M76" s="46"/>
      <c r="N76" s="38"/>
      <c r="O76" s="47"/>
      <c r="P76" s="47"/>
      <c r="Q76" s="48"/>
      <c r="R76" s="47"/>
      <c r="S76" s="49"/>
      <c r="T76" s="47"/>
      <c r="U76" s="47"/>
      <c r="V76" s="47"/>
      <c r="W76" s="47">
        <v>1.0</v>
      </c>
      <c r="X76" s="50"/>
      <c r="Y76" s="47"/>
      <c r="Z76" s="47"/>
    </row>
    <row r="77" ht="15.75" customHeight="1">
      <c r="A77" s="38"/>
      <c r="B77" s="39"/>
      <c r="C77" s="39"/>
      <c r="D77" s="40"/>
      <c r="E77" s="41"/>
      <c r="F77" s="39" t="s">
        <v>246</v>
      </c>
      <c r="G77" s="42">
        <v>1.17</v>
      </c>
      <c r="H77" s="43">
        <v>0.007728</v>
      </c>
      <c r="I77" s="44">
        <v>16587.0</v>
      </c>
      <c r="J77" s="40"/>
      <c r="K77" s="45"/>
      <c r="L77" s="39"/>
      <c r="M77" s="46"/>
      <c r="N77" s="38"/>
      <c r="O77" s="47"/>
      <c r="P77" s="47"/>
      <c r="Q77" s="48"/>
      <c r="R77" s="47"/>
      <c r="S77" s="49"/>
      <c r="T77" s="47"/>
      <c r="U77" s="47"/>
      <c r="V77" s="47"/>
      <c r="W77" s="47">
        <v>1.0</v>
      </c>
      <c r="X77" s="50"/>
      <c r="Y77" s="47"/>
      <c r="Z77" s="47"/>
    </row>
    <row r="78" ht="15.75" customHeight="1">
      <c r="A78" s="38"/>
      <c r="B78" s="39"/>
      <c r="C78" s="39"/>
      <c r="D78" s="40"/>
      <c r="E78" s="41"/>
      <c r="F78" s="39" t="s">
        <v>247</v>
      </c>
      <c r="G78" s="42">
        <v>2.23</v>
      </c>
      <c r="H78" s="43">
        <v>0.007012</v>
      </c>
      <c r="I78" s="44">
        <v>16587.0</v>
      </c>
      <c r="J78" s="40"/>
      <c r="K78" s="45"/>
      <c r="L78" s="39"/>
      <c r="M78" s="46"/>
      <c r="N78" s="38"/>
      <c r="O78" s="47"/>
      <c r="P78" s="47"/>
      <c r="Q78" s="48"/>
      <c r="R78" s="47"/>
      <c r="S78" s="49"/>
      <c r="T78" s="47"/>
      <c r="U78" s="47"/>
      <c r="V78" s="47"/>
      <c r="W78" s="47">
        <v>1.0</v>
      </c>
      <c r="X78" s="50"/>
      <c r="Y78" s="47"/>
      <c r="Z78" s="47"/>
    </row>
    <row r="79" ht="15.75" customHeight="1">
      <c r="A79" s="38"/>
      <c r="B79" s="39"/>
      <c r="C79" s="39"/>
      <c r="D79" s="40"/>
      <c r="E79" s="41"/>
      <c r="F79" s="39" t="s">
        <v>248</v>
      </c>
      <c r="G79" s="42">
        <v>1.82</v>
      </c>
      <c r="H79" s="43">
        <v>0.004914</v>
      </c>
      <c r="I79" s="44">
        <v>16587.0</v>
      </c>
      <c r="J79" s="40"/>
      <c r="K79" s="45"/>
      <c r="L79" s="39"/>
      <c r="M79" s="46"/>
      <c r="N79" s="38"/>
      <c r="O79" s="47"/>
      <c r="P79" s="47"/>
      <c r="Q79" s="48"/>
      <c r="R79" s="47"/>
      <c r="S79" s="49"/>
      <c r="T79" s="47"/>
      <c r="U79" s="47"/>
      <c r="V79" s="47"/>
      <c r="W79" s="47">
        <v>1.0</v>
      </c>
      <c r="X79" s="50"/>
      <c r="Y79" s="47"/>
      <c r="Z79" s="47"/>
    </row>
    <row r="80" ht="15.75" customHeight="1">
      <c r="A80" s="38"/>
      <c r="B80" s="39"/>
      <c r="C80" s="39"/>
      <c r="D80" s="40"/>
      <c r="E80" s="41"/>
      <c r="F80" s="39" t="s">
        <v>249</v>
      </c>
      <c r="G80" s="42">
        <v>1.26</v>
      </c>
      <c r="H80" s="43">
        <v>0.004415</v>
      </c>
      <c r="I80" s="44">
        <v>16587.0</v>
      </c>
      <c r="J80" s="40"/>
      <c r="K80" s="45"/>
      <c r="L80" s="39"/>
      <c r="M80" s="46"/>
      <c r="N80" s="38"/>
      <c r="O80" s="47"/>
      <c r="P80" s="47"/>
      <c r="Q80" s="48"/>
      <c r="R80" s="47"/>
      <c r="S80" s="49"/>
      <c r="T80" s="47"/>
      <c r="U80" s="47"/>
      <c r="V80" s="47"/>
      <c r="W80" s="47">
        <v>1.0</v>
      </c>
      <c r="X80" s="50"/>
      <c r="Y80" s="47"/>
      <c r="Z80" s="47"/>
    </row>
    <row r="81" ht="15.75" customHeight="1">
      <c r="A81" s="38"/>
      <c r="B81" s="39"/>
      <c r="C81" s="39"/>
      <c r="D81" s="40"/>
      <c r="E81" s="41"/>
      <c r="F81" s="39" t="s">
        <v>250</v>
      </c>
      <c r="G81" s="42">
        <v>0.82</v>
      </c>
      <c r="H81" s="43">
        <v>0.0024</v>
      </c>
      <c r="I81" s="44">
        <v>16587.0</v>
      </c>
      <c r="J81" s="40"/>
      <c r="K81" s="45"/>
      <c r="L81" s="39"/>
      <c r="M81" s="46"/>
      <c r="N81" s="38"/>
      <c r="O81" s="47"/>
      <c r="P81" s="47"/>
      <c r="Q81" s="48"/>
      <c r="R81" s="47"/>
      <c r="S81" s="49"/>
      <c r="T81" s="47"/>
      <c r="U81" s="47"/>
      <c r="V81" s="47"/>
      <c r="W81" s="47">
        <v>1.0</v>
      </c>
      <c r="X81" s="50"/>
      <c r="Y81" s="47"/>
      <c r="Z81" s="47"/>
    </row>
    <row r="82" ht="15.75" customHeight="1">
      <c r="A82" s="38"/>
      <c r="B82" s="39" t="s">
        <v>251</v>
      </c>
      <c r="C82" s="39" t="s">
        <v>252</v>
      </c>
      <c r="D82" s="40">
        <v>10.41</v>
      </c>
      <c r="E82" s="41">
        <v>0.030327</v>
      </c>
      <c r="F82" s="39" t="s">
        <v>253</v>
      </c>
      <c r="G82" s="42">
        <v>0.09</v>
      </c>
      <c r="H82" s="43">
        <v>3.76E-4</v>
      </c>
      <c r="I82" s="44">
        <v>824.0</v>
      </c>
      <c r="J82" s="40"/>
      <c r="K82" s="45" t="s">
        <v>254</v>
      </c>
      <c r="L82" s="39" t="s">
        <v>51</v>
      </c>
      <c r="M82" s="46" t="s">
        <v>255</v>
      </c>
      <c r="N82" s="38">
        <v>16517.0</v>
      </c>
      <c r="O82" s="47" t="s">
        <v>65</v>
      </c>
      <c r="P82" s="47">
        <v>8.1293049474E10</v>
      </c>
      <c r="Q82" s="48" t="s">
        <v>256</v>
      </c>
      <c r="R82" s="47" t="s">
        <v>55</v>
      </c>
      <c r="S82" s="49"/>
      <c r="T82" s="47" t="s">
        <v>56</v>
      </c>
      <c r="U82" s="47" t="s">
        <v>57</v>
      </c>
      <c r="V82" s="47"/>
      <c r="W82" s="47">
        <v>1.0</v>
      </c>
      <c r="X82" s="50"/>
      <c r="Y82" s="47"/>
      <c r="Z82" s="47"/>
    </row>
    <row r="83" ht="15.75" customHeight="1">
      <c r="A83" s="38"/>
      <c r="B83" s="39"/>
      <c r="C83" s="39"/>
      <c r="D83" s="40"/>
      <c r="E83" s="41"/>
      <c r="F83" s="39" t="s">
        <v>257</v>
      </c>
      <c r="G83" s="42">
        <v>2.31</v>
      </c>
      <c r="H83" s="43">
        <v>0.009709</v>
      </c>
      <c r="I83" s="44">
        <v>824.0</v>
      </c>
      <c r="J83" s="40"/>
      <c r="K83" s="45"/>
      <c r="L83" s="39"/>
      <c r="M83" s="46"/>
      <c r="N83" s="38"/>
      <c r="O83" s="47"/>
      <c r="P83" s="47"/>
      <c r="Q83" s="48"/>
      <c r="R83" s="47"/>
      <c r="S83" s="49"/>
      <c r="T83" s="47"/>
      <c r="U83" s="47"/>
      <c r="V83" s="47"/>
      <c r="W83" s="47">
        <v>1.0</v>
      </c>
      <c r="X83" s="50"/>
      <c r="Y83" s="47"/>
      <c r="Z83" s="47"/>
    </row>
    <row r="84" ht="15.75" customHeight="1">
      <c r="A84" s="38"/>
      <c r="B84" s="39"/>
      <c r="C84" s="39"/>
      <c r="D84" s="40"/>
      <c r="E84" s="41"/>
      <c r="F84" s="39" t="s">
        <v>258</v>
      </c>
      <c r="G84" s="42">
        <v>6.55</v>
      </c>
      <c r="H84" s="43">
        <v>0.017386</v>
      </c>
      <c r="I84" s="44">
        <v>824.0</v>
      </c>
      <c r="J84" s="40"/>
      <c r="K84" s="45"/>
      <c r="L84" s="39"/>
      <c r="M84" s="46"/>
      <c r="N84" s="38"/>
      <c r="O84" s="47"/>
      <c r="P84" s="47"/>
      <c r="Q84" s="48"/>
      <c r="R84" s="47"/>
      <c r="S84" s="49"/>
      <c r="T84" s="47"/>
      <c r="U84" s="47"/>
      <c r="V84" s="47"/>
      <c r="W84" s="47">
        <v>1.0</v>
      </c>
      <c r="X84" s="50"/>
      <c r="Y84" s="47"/>
      <c r="Z84" s="47"/>
    </row>
    <row r="85" ht="15.75" customHeight="1">
      <c r="A85" s="38"/>
      <c r="B85" s="39"/>
      <c r="C85" s="39"/>
      <c r="D85" s="40"/>
      <c r="E85" s="41"/>
      <c r="F85" s="39" t="s">
        <v>259</v>
      </c>
      <c r="G85" s="42">
        <v>1.46</v>
      </c>
      <c r="H85" s="43">
        <v>0.002856</v>
      </c>
      <c r="I85" s="44">
        <v>824.0</v>
      </c>
      <c r="J85" s="40"/>
      <c r="K85" s="45"/>
      <c r="L85" s="39"/>
      <c r="M85" s="46"/>
      <c r="N85" s="38"/>
      <c r="O85" s="47"/>
      <c r="P85" s="47"/>
      <c r="Q85" s="48"/>
      <c r="R85" s="47"/>
      <c r="S85" s="49"/>
      <c r="T85" s="47"/>
      <c r="U85" s="47"/>
      <c r="V85" s="47"/>
      <c r="W85" s="47">
        <v>1.0</v>
      </c>
      <c r="X85" s="50"/>
      <c r="Y85" s="47"/>
      <c r="Z85" s="47"/>
    </row>
    <row r="86" ht="15.75" customHeight="1">
      <c r="A86" s="38"/>
      <c r="B86" s="39" t="s">
        <v>260</v>
      </c>
      <c r="C86" s="39" t="s">
        <v>261</v>
      </c>
      <c r="D86" s="40">
        <v>8.07</v>
      </c>
      <c r="E86" s="41">
        <v>0.020015</v>
      </c>
      <c r="F86" s="39" t="s">
        <v>262</v>
      </c>
      <c r="G86" s="42">
        <v>1.33</v>
      </c>
      <c r="H86" s="43">
        <v>0.00347</v>
      </c>
      <c r="I86" s="44">
        <v>10722.0</v>
      </c>
      <c r="J86" s="40"/>
      <c r="K86" s="45" t="s">
        <v>263</v>
      </c>
      <c r="L86" s="39" t="s">
        <v>51</v>
      </c>
      <c r="M86" s="46" t="s">
        <v>264</v>
      </c>
      <c r="N86" s="38">
        <v>13880.0</v>
      </c>
      <c r="O86" s="47" t="s">
        <v>72</v>
      </c>
      <c r="P86" s="47">
        <v>6.28176566205E11</v>
      </c>
      <c r="Q86" s="48" t="s">
        <v>265</v>
      </c>
      <c r="R86" s="47" t="s">
        <v>55</v>
      </c>
      <c r="S86" s="49"/>
      <c r="T86" s="47" t="s">
        <v>56</v>
      </c>
      <c r="U86" s="47" t="s">
        <v>57</v>
      </c>
      <c r="V86" s="47"/>
      <c r="W86" s="47">
        <v>1.0</v>
      </c>
      <c r="X86" s="50"/>
      <c r="Y86" s="47"/>
      <c r="Z86" s="47"/>
    </row>
    <row r="87" ht="15.75" customHeight="1">
      <c r="A87" s="38"/>
      <c r="B87" s="39"/>
      <c r="C87" s="39"/>
      <c r="D87" s="40"/>
      <c r="E87" s="41"/>
      <c r="F87" s="39" t="s">
        <v>266</v>
      </c>
      <c r="G87" s="42">
        <v>1.54</v>
      </c>
      <c r="H87" s="43">
        <v>0.004367</v>
      </c>
      <c r="I87" s="44">
        <v>10722.0</v>
      </c>
      <c r="J87" s="40"/>
      <c r="K87" s="45"/>
      <c r="L87" s="39"/>
      <c r="M87" s="46"/>
      <c r="N87" s="38"/>
      <c r="O87" s="47"/>
      <c r="P87" s="47"/>
      <c r="Q87" s="48"/>
      <c r="R87" s="47"/>
      <c r="S87" s="49"/>
      <c r="T87" s="47"/>
      <c r="U87" s="47"/>
      <c r="V87" s="47"/>
      <c r="W87" s="47">
        <v>1.0</v>
      </c>
      <c r="X87" s="50"/>
      <c r="Y87" s="47"/>
      <c r="Z87" s="47"/>
    </row>
    <row r="88" ht="15.75" customHeight="1">
      <c r="A88" s="38"/>
      <c r="B88" s="39"/>
      <c r="C88" s="39"/>
      <c r="D88" s="40"/>
      <c r="E88" s="41"/>
      <c r="F88" s="39" t="s">
        <v>267</v>
      </c>
      <c r="G88" s="42">
        <v>5.07</v>
      </c>
      <c r="H88" s="43">
        <v>0.01152</v>
      </c>
      <c r="I88" s="44">
        <v>10722.0</v>
      </c>
      <c r="J88" s="40"/>
      <c r="K88" s="45"/>
      <c r="L88" s="39"/>
      <c r="M88" s="46"/>
      <c r="N88" s="38"/>
      <c r="O88" s="47"/>
      <c r="P88" s="47"/>
      <c r="Q88" s="48"/>
      <c r="R88" s="47"/>
      <c r="S88" s="49"/>
      <c r="T88" s="47"/>
      <c r="U88" s="47"/>
      <c r="V88" s="47"/>
      <c r="W88" s="47">
        <v>1.0</v>
      </c>
      <c r="X88" s="50"/>
      <c r="Y88" s="47"/>
      <c r="Z88" s="47"/>
    </row>
    <row r="89" ht="15.75" customHeight="1">
      <c r="A89" s="38"/>
      <c r="B89" s="39"/>
      <c r="C89" s="39"/>
      <c r="D89" s="40"/>
      <c r="E89" s="41"/>
      <c r="F89" s="39" t="s">
        <v>268</v>
      </c>
      <c r="G89" s="42">
        <v>0.13</v>
      </c>
      <c r="H89" s="43">
        <v>6.58E-4</v>
      </c>
      <c r="I89" s="44">
        <v>10722.0</v>
      </c>
      <c r="J89" s="40"/>
      <c r="K89" s="45"/>
      <c r="L89" s="39"/>
      <c r="M89" s="46"/>
      <c r="N89" s="38"/>
      <c r="O89" s="47"/>
      <c r="P89" s="47"/>
      <c r="Q89" s="48"/>
      <c r="R89" s="47"/>
      <c r="S89" s="49"/>
      <c r="T89" s="47"/>
      <c r="U89" s="47"/>
      <c r="V89" s="47"/>
      <c r="W89" s="47">
        <v>1.0</v>
      </c>
      <c r="X89" s="50"/>
      <c r="Y89" s="47"/>
      <c r="Z89" s="47"/>
    </row>
    <row r="90" ht="15.75" customHeight="1">
      <c r="A90" s="38"/>
      <c r="B90" s="39" t="s">
        <v>269</v>
      </c>
      <c r="C90" s="39" t="s">
        <v>270</v>
      </c>
      <c r="D90" s="40">
        <v>0.25</v>
      </c>
      <c r="E90" s="41">
        <v>0.001091</v>
      </c>
      <c r="F90" s="39" t="s">
        <v>271</v>
      </c>
      <c r="G90" s="42">
        <v>0.25</v>
      </c>
      <c r="H90" s="43">
        <v>0.001091</v>
      </c>
      <c r="I90" s="44">
        <v>552.0</v>
      </c>
      <c r="J90" s="40"/>
      <c r="K90" s="45" t="s">
        <v>271</v>
      </c>
      <c r="L90" s="39" t="s">
        <v>51</v>
      </c>
      <c r="M90" s="46" t="s">
        <v>272</v>
      </c>
      <c r="N90" s="38">
        <v>17433.0</v>
      </c>
      <c r="O90" s="47" t="s">
        <v>53</v>
      </c>
      <c r="P90" s="47">
        <v>8.1932511145E10</v>
      </c>
      <c r="Q90" s="48" t="s">
        <v>273</v>
      </c>
      <c r="R90" s="47" t="s">
        <v>55</v>
      </c>
      <c r="S90" s="49"/>
      <c r="T90" s="47" t="s">
        <v>56</v>
      </c>
      <c r="U90" s="47" t="s">
        <v>57</v>
      </c>
      <c r="V90" s="47"/>
      <c r="W90" s="47">
        <v>1.0</v>
      </c>
      <c r="X90" s="50"/>
      <c r="Y90" s="47"/>
      <c r="Z90" s="47"/>
    </row>
    <row r="91" ht="15.75" customHeight="1">
      <c r="A91" s="38"/>
      <c r="B91" s="39" t="s">
        <v>274</v>
      </c>
      <c r="C91" s="39" t="s">
        <v>275</v>
      </c>
      <c r="D91" s="40">
        <v>1.99</v>
      </c>
      <c r="E91" s="41">
        <v>0.011322</v>
      </c>
      <c r="F91" s="39" t="s">
        <v>276</v>
      </c>
      <c r="G91" s="42">
        <v>0.15</v>
      </c>
      <c r="H91" s="43">
        <v>0.001008</v>
      </c>
      <c r="I91" s="44">
        <v>16186.0</v>
      </c>
      <c r="J91" s="40"/>
      <c r="K91" s="45" t="s">
        <v>277</v>
      </c>
      <c r="L91" s="39" t="s">
        <v>51</v>
      </c>
      <c r="M91" s="46" t="s">
        <v>278</v>
      </c>
      <c r="N91" s="38">
        <v>16512.0</v>
      </c>
      <c r="O91" s="47" t="s">
        <v>65</v>
      </c>
      <c r="P91" s="47">
        <v>6.281806739539E12</v>
      </c>
      <c r="Q91" s="48" t="s">
        <v>279</v>
      </c>
      <c r="R91" s="47" t="s">
        <v>55</v>
      </c>
      <c r="S91" s="49"/>
      <c r="T91" s="47" t="s">
        <v>56</v>
      </c>
      <c r="U91" s="47" t="s">
        <v>57</v>
      </c>
      <c r="V91" s="47"/>
      <c r="W91" s="47">
        <v>1.0</v>
      </c>
      <c r="X91" s="50"/>
      <c r="Y91" s="47"/>
      <c r="Z91" s="47"/>
    </row>
    <row r="92" ht="15.75" customHeight="1">
      <c r="A92" s="38"/>
      <c r="B92" s="39"/>
      <c r="C92" s="39"/>
      <c r="D92" s="40"/>
      <c r="E92" s="41"/>
      <c r="F92" s="39" t="s">
        <v>280</v>
      </c>
      <c r="G92" s="42">
        <v>1.7</v>
      </c>
      <c r="H92" s="43">
        <v>0.00917</v>
      </c>
      <c r="I92" s="44">
        <v>16186.0</v>
      </c>
      <c r="J92" s="40"/>
      <c r="K92" s="45"/>
      <c r="L92" s="39"/>
      <c r="M92" s="46"/>
      <c r="N92" s="38"/>
      <c r="O92" s="47"/>
      <c r="P92" s="47"/>
      <c r="Q92" s="48"/>
      <c r="R92" s="47"/>
      <c r="S92" s="49"/>
      <c r="T92" s="47"/>
      <c r="U92" s="47"/>
      <c r="V92" s="47"/>
      <c r="W92" s="47">
        <v>1.0</v>
      </c>
      <c r="X92" s="50"/>
      <c r="Y92" s="47"/>
      <c r="Z92" s="47"/>
    </row>
    <row r="93" ht="15.75" customHeight="1">
      <c r="A93" s="38"/>
      <c r="B93" s="39"/>
      <c r="C93" s="39"/>
      <c r="D93" s="40"/>
      <c r="E93" s="41"/>
      <c r="F93" s="39" t="s">
        <v>281</v>
      </c>
      <c r="G93" s="42">
        <v>0.14</v>
      </c>
      <c r="H93" s="43">
        <v>0.001144</v>
      </c>
      <c r="I93" s="44">
        <v>16186.0</v>
      </c>
      <c r="J93" s="40"/>
      <c r="K93" s="45"/>
      <c r="L93" s="39"/>
      <c r="M93" s="46"/>
      <c r="N93" s="38"/>
      <c r="O93" s="47"/>
      <c r="P93" s="47"/>
      <c r="Q93" s="48"/>
      <c r="R93" s="47"/>
      <c r="S93" s="49"/>
      <c r="T93" s="47"/>
      <c r="U93" s="47"/>
      <c r="V93" s="47"/>
      <c r="W93" s="47">
        <v>1.0</v>
      </c>
      <c r="X93" s="50"/>
      <c r="Y93" s="47"/>
      <c r="Z93" s="47"/>
    </row>
    <row r="94" ht="15.75" customHeight="1">
      <c r="A94" s="38"/>
      <c r="B94" s="39" t="s">
        <v>282</v>
      </c>
      <c r="C94" s="39" t="s">
        <v>283</v>
      </c>
      <c r="D94" s="40">
        <v>0.08</v>
      </c>
      <c r="E94" s="41">
        <v>4.16E-4</v>
      </c>
      <c r="F94" s="39" t="s">
        <v>284</v>
      </c>
      <c r="G94" s="42">
        <v>0.08</v>
      </c>
      <c r="H94" s="43">
        <v>4.16E-4</v>
      </c>
      <c r="I94" s="44">
        <v>16693.0</v>
      </c>
      <c r="J94" s="40"/>
      <c r="K94" s="45" t="s">
        <v>284</v>
      </c>
      <c r="L94" s="39" t="s">
        <v>51</v>
      </c>
      <c r="M94" s="46" t="s">
        <v>285</v>
      </c>
      <c r="N94" s="38">
        <v>16432.0</v>
      </c>
      <c r="O94" s="47" t="s">
        <v>65</v>
      </c>
      <c r="P94" s="47">
        <v>6.281311908068E12</v>
      </c>
      <c r="Q94" s="48" t="s">
        <v>286</v>
      </c>
      <c r="R94" s="47" t="s">
        <v>55</v>
      </c>
      <c r="S94" s="49"/>
      <c r="T94" s="47" t="s">
        <v>56</v>
      </c>
      <c r="U94" s="47" t="s">
        <v>57</v>
      </c>
      <c r="V94" s="47"/>
      <c r="W94" s="47">
        <v>1.0</v>
      </c>
      <c r="X94" s="50"/>
      <c r="Y94" s="47"/>
      <c r="Z94" s="47"/>
    </row>
    <row r="95" ht="15.75" customHeight="1">
      <c r="A95" s="38"/>
      <c r="B95" s="39" t="s">
        <v>287</v>
      </c>
      <c r="C95" s="39" t="s">
        <v>288</v>
      </c>
      <c r="D95" s="40">
        <v>18.73</v>
      </c>
      <c r="E95" s="41">
        <v>0.056031</v>
      </c>
      <c r="F95" s="39" t="s">
        <v>289</v>
      </c>
      <c r="G95" s="42">
        <v>5.23</v>
      </c>
      <c r="H95" s="43">
        <v>0.017809</v>
      </c>
      <c r="I95" s="44">
        <v>8787.0</v>
      </c>
      <c r="J95" s="40"/>
      <c r="K95" s="45" t="s">
        <v>290</v>
      </c>
      <c r="L95" s="39" t="s">
        <v>51</v>
      </c>
      <c r="M95" s="46" t="s">
        <v>291</v>
      </c>
      <c r="N95" s="38">
        <v>17411.0</v>
      </c>
      <c r="O95" s="47" t="s">
        <v>53</v>
      </c>
      <c r="P95" s="47">
        <v>8.2210333962E10</v>
      </c>
      <c r="Q95" s="48" t="s">
        <v>292</v>
      </c>
      <c r="R95" s="47" t="s">
        <v>55</v>
      </c>
      <c r="S95" s="49"/>
      <c r="T95" s="47" t="s">
        <v>56</v>
      </c>
      <c r="U95" s="47" t="s">
        <v>57</v>
      </c>
      <c r="V95" s="47"/>
      <c r="W95" s="47">
        <v>1.0</v>
      </c>
      <c r="X95" s="50"/>
      <c r="Y95" s="47"/>
      <c r="Z95" s="47"/>
    </row>
    <row r="96" ht="15.75" customHeight="1">
      <c r="A96" s="38"/>
      <c r="B96" s="39"/>
      <c r="C96" s="39"/>
      <c r="D96" s="40"/>
      <c r="E96" s="41"/>
      <c r="F96" s="39" t="s">
        <v>293</v>
      </c>
      <c r="G96" s="42">
        <v>6.53</v>
      </c>
      <c r="H96" s="43">
        <v>0.012985</v>
      </c>
      <c r="I96" s="44">
        <v>8787.0</v>
      </c>
      <c r="J96" s="40"/>
      <c r="K96" s="45"/>
      <c r="L96" s="39"/>
      <c r="M96" s="46"/>
      <c r="N96" s="38"/>
      <c r="O96" s="47"/>
      <c r="P96" s="47"/>
      <c r="Q96" s="48"/>
      <c r="R96" s="47"/>
      <c r="S96" s="49"/>
      <c r="T96" s="47"/>
      <c r="U96" s="47"/>
      <c r="V96" s="47"/>
      <c r="W96" s="47">
        <v>1.0</v>
      </c>
      <c r="X96" s="50"/>
      <c r="Y96" s="47"/>
      <c r="Z96" s="47"/>
    </row>
    <row r="97" ht="15.75" customHeight="1">
      <c r="A97" s="38"/>
      <c r="B97" s="39"/>
      <c r="C97" s="39"/>
      <c r="D97" s="40"/>
      <c r="E97" s="41"/>
      <c r="F97" s="39" t="s">
        <v>294</v>
      </c>
      <c r="G97" s="42">
        <v>0.67</v>
      </c>
      <c r="H97" s="43">
        <v>0.003606</v>
      </c>
      <c r="I97" s="44">
        <v>8787.0</v>
      </c>
      <c r="J97" s="40"/>
      <c r="K97" s="45"/>
      <c r="L97" s="39"/>
      <c r="M97" s="46"/>
      <c r="N97" s="38"/>
      <c r="O97" s="47"/>
      <c r="P97" s="47"/>
      <c r="Q97" s="48"/>
      <c r="R97" s="47"/>
      <c r="S97" s="49"/>
      <c r="T97" s="47"/>
      <c r="U97" s="47"/>
      <c r="V97" s="47"/>
      <c r="W97" s="47">
        <v>1.0</v>
      </c>
      <c r="X97" s="50"/>
      <c r="Y97" s="47"/>
      <c r="Z97" s="47"/>
    </row>
    <row r="98" ht="15.75" customHeight="1">
      <c r="A98" s="38"/>
      <c r="B98" s="39"/>
      <c r="C98" s="39"/>
      <c r="D98" s="40"/>
      <c r="E98" s="41"/>
      <c r="F98" s="39" t="s">
        <v>295</v>
      </c>
      <c r="G98" s="42">
        <v>4.28</v>
      </c>
      <c r="H98" s="43">
        <v>0.016932</v>
      </c>
      <c r="I98" s="44">
        <v>8787.0</v>
      </c>
      <c r="J98" s="40"/>
      <c r="K98" s="45"/>
      <c r="L98" s="39"/>
      <c r="M98" s="46"/>
      <c r="N98" s="38"/>
      <c r="O98" s="47"/>
      <c r="P98" s="47"/>
      <c r="Q98" s="48"/>
      <c r="R98" s="47"/>
      <c r="S98" s="49"/>
      <c r="T98" s="47"/>
      <c r="U98" s="47"/>
      <c r="V98" s="47"/>
      <c r="W98" s="47">
        <v>1.0</v>
      </c>
      <c r="X98" s="50"/>
      <c r="Y98" s="47"/>
      <c r="Z98" s="47"/>
    </row>
    <row r="99" ht="15.75" customHeight="1">
      <c r="A99" s="38"/>
      <c r="B99" s="39"/>
      <c r="C99" s="39"/>
      <c r="D99" s="40"/>
      <c r="E99" s="41"/>
      <c r="F99" s="39" t="s">
        <v>296</v>
      </c>
      <c r="G99" s="42">
        <v>2.02</v>
      </c>
      <c r="H99" s="43">
        <v>0.004699</v>
      </c>
      <c r="I99" s="44">
        <v>8787.0</v>
      </c>
      <c r="J99" s="40"/>
      <c r="K99" s="45"/>
      <c r="L99" s="39"/>
      <c r="M99" s="46"/>
      <c r="N99" s="38"/>
      <c r="O99" s="47"/>
      <c r="P99" s="47"/>
      <c r="Q99" s="48"/>
      <c r="R99" s="47"/>
      <c r="S99" s="49"/>
      <c r="T99" s="47"/>
      <c r="U99" s="47"/>
      <c r="V99" s="47"/>
      <c r="W99" s="47">
        <v>1.0</v>
      </c>
      <c r="X99" s="50"/>
      <c r="Y99" s="47"/>
      <c r="Z99" s="47"/>
    </row>
    <row r="100" ht="15.75" customHeight="1">
      <c r="A100" s="38"/>
      <c r="B100" s="39" t="s">
        <v>297</v>
      </c>
      <c r="C100" s="39" t="s">
        <v>298</v>
      </c>
      <c r="D100" s="40">
        <v>1.04</v>
      </c>
      <c r="E100" s="41">
        <v>0.004526</v>
      </c>
      <c r="F100" s="39" t="s">
        <v>299</v>
      </c>
      <c r="G100" s="42">
        <v>1.04</v>
      </c>
      <c r="H100" s="43">
        <v>0.004526</v>
      </c>
      <c r="I100" s="44">
        <v>12487.0</v>
      </c>
      <c r="J100" s="40"/>
      <c r="K100" s="45" t="s">
        <v>299</v>
      </c>
      <c r="L100" s="39" t="s">
        <v>51</v>
      </c>
      <c r="M100" s="46" t="s">
        <v>300</v>
      </c>
      <c r="N100" s="38">
        <v>16452.0</v>
      </c>
      <c r="O100" s="47" t="s">
        <v>65</v>
      </c>
      <c r="P100" s="47">
        <v>6.2895415492428E13</v>
      </c>
      <c r="Q100" s="48" t="s">
        <v>301</v>
      </c>
      <c r="R100" s="47" t="s">
        <v>55</v>
      </c>
      <c r="S100" s="49"/>
      <c r="T100" s="47" t="s">
        <v>56</v>
      </c>
      <c r="U100" s="47" t="s">
        <v>57</v>
      </c>
      <c r="V100" s="47"/>
      <c r="W100" s="47">
        <v>1.0</v>
      </c>
      <c r="X100" s="50"/>
      <c r="Y100" s="47"/>
      <c r="Z100" s="47"/>
    </row>
    <row r="101" ht="15.75" customHeight="1">
      <c r="A101" s="38"/>
      <c r="B101" s="39" t="s">
        <v>302</v>
      </c>
      <c r="C101" s="39" t="s">
        <v>303</v>
      </c>
      <c r="D101" s="40">
        <v>3.32</v>
      </c>
      <c r="E101" s="41">
        <v>0.008585</v>
      </c>
      <c r="F101" s="39" t="s">
        <v>304</v>
      </c>
      <c r="G101" s="42">
        <v>1.0</v>
      </c>
      <c r="H101" s="43">
        <v>0.003538</v>
      </c>
      <c r="I101" s="44">
        <v>3894.0</v>
      </c>
      <c r="J101" s="40"/>
      <c r="K101" s="45" t="s">
        <v>305</v>
      </c>
      <c r="L101" s="39" t="s">
        <v>51</v>
      </c>
      <c r="M101" s="46" t="s">
        <v>306</v>
      </c>
      <c r="N101" s="38">
        <v>16411.0</v>
      </c>
      <c r="O101" s="47" t="s">
        <v>65</v>
      </c>
      <c r="P101" s="47">
        <v>8.164881897E9</v>
      </c>
      <c r="Q101" s="48" t="s">
        <v>307</v>
      </c>
      <c r="R101" s="47" t="s">
        <v>55</v>
      </c>
      <c r="S101" s="49"/>
      <c r="T101" s="47" t="s">
        <v>56</v>
      </c>
      <c r="U101" s="47" t="s">
        <v>57</v>
      </c>
      <c r="V101" s="47"/>
      <c r="W101" s="47">
        <v>1.0</v>
      </c>
      <c r="X101" s="50"/>
      <c r="Y101" s="47"/>
      <c r="Z101" s="47"/>
    </row>
    <row r="102" ht="15.75" customHeight="1">
      <c r="A102" s="38"/>
      <c r="B102" s="39"/>
      <c r="C102" s="39"/>
      <c r="D102" s="40"/>
      <c r="E102" s="41"/>
      <c r="F102" s="39" t="s">
        <v>308</v>
      </c>
      <c r="G102" s="42">
        <v>2.32</v>
      </c>
      <c r="H102" s="43">
        <v>0.005047</v>
      </c>
      <c r="I102" s="44">
        <v>3894.0</v>
      </c>
      <c r="J102" s="40"/>
      <c r="K102" s="45"/>
      <c r="L102" s="39"/>
      <c r="M102" s="46"/>
      <c r="N102" s="38"/>
      <c r="O102" s="47"/>
      <c r="P102" s="47"/>
      <c r="Q102" s="48"/>
      <c r="R102" s="47"/>
      <c r="S102" s="49"/>
      <c r="T102" s="47"/>
      <c r="U102" s="47"/>
      <c r="V102" s="47"/>
      <c r="W102" s="47">
        <v>1.0</v>
      </c>
      <c r="X102" s="50"/>
      <c r="Y102" s="47"/>
      <c r="Z102" s="47"/>
    </row>
    <row r="103" ht="15.75" customHeight="1">
      <c r="A103" s="38"/>
      <c r="B103" s="39" t="s">
        <v>309</v>
      </c>
      <c r="C103" s="39" t="s">
        <v>310</v>
      </c>
      <c r="D103" s="40">
        <v>0.09</v>
      </c>
      <c r="E103" s="41">
        <v>0.00111</v>
      </c>
      <c r="F103" s="39" t="s">
        <v>311</v>
      </c>
      <c r="G103" s="42">
        <v>0.02</v>
      </c>
      <c r="H103" s="43">
        <v>3.0E-4</v>
      </c>
      <c r="I103" s="44">
        <v>2080.0</v>
      </c>
      <c r="J103" s="40"/>
      <c r="K103" s="45" t="s">
        <v>312</v>
      </c>
      <c r="L103" s="39" t="s">
        <v>51</v>
      </c>
      <c r="M103" s="46" t="s">
        <v>313</v>
      </c>
      <c r="N103" s="38">
        <v>16425.0</v>
      </c>
      <c r="O103" s="47" t="s">
        <v>65</v>
      </c>
      <c r="P103" s="47">
        <v>8.176684929E9</v>
      </c>
      <c r="Q103" s="48" t="s">
        <v>314</v>
      </c>
      <c r="R103" s="47" t="s">
        <v>55</v>
      </c>
      <c r="S103" s="49"/>
      <c r="T103" s="47" t="s">
        <v>56</v>
      </c>
      <c r="U103" s="47" t="s">
        <v>57</v>
      </c>
      <c r="V103" s="47"/>
      <c r="W103" s="47">
        <v>1.0</v>
      </c>
      <c r="X103" s="50"/>
      <c r="Y103" s="47"/>
      <c r="Z103" s="47"/>
    </row>
    <row r="104" ht="15.75" customHeight="1">
      <c r="A104" s="38"/>
      <c r="B104" s="39"/>
      <c r="C104" s="39"/>
      <c r="D104" s="40"/>
      <c r="E104" s="41"/>
      <c r="F104" s="39" t="s">
        <v>315</v>
      </c>
      <c r="G104" s="42">
        <v>0.07</v>
      </c>
      <c r="H104" s="43">
        <v>8.1E-4</v>
      </c>
      <c r="I104" s="44">
        <v>2080.0</v>
      </c>
      <c r="J104" s="40"/>
      <c r="K104" s="45"/>
      <c r="L104" s="39"/>
      <c r="M104" s="46"/>
      <c r="N104" s="38"/>
      <c r="O104" s="47"/>
      <c r="P104" s="47"/>
      <c r="Q104" s="48"/>
      <c r="R104" s="47"/>
      <c r="S104" s="49"/>
      <c r="T104" s="47"/>
      <c r="U104" s="47"/>
      <c r="V104" s="47"/>
      <c r="W104" s="47">
        <v>1.0</v>
      </c>
      <c r="X104" s="50"/>
      <c r="Y104" s="47"/>
      <c r="Z104" s="47"/>
    </row>
    <row r="105" ht="15.75" customHeight="1">
      <c r="A105" s="38"/>
      <c r="B105" s="39" t="s">
        <v>316</v>
      </c>
      <c r="C105" s="39" t="s">
        <v>317</v>
      </c>
      <c r="D105" s="40">
        <v>1.55</v>
      </c>
      <c r="E105" s="41">
        <v>0.005079</v>
      </c>
      <c r="F105" s="39" t="s">
        <v>318</v>
      </c>
      <c r="G105" s="42">
        <v>0.2</v>
      </c>
      <c r="H105" s="43">
        <v>2.16E-4</v>
      </c>
      <c r="I105" s="44">
        <v>12478.0</v>
      </c>
      <c r="J105" s="40"/>
      <c r="K105" s="45" t="s">
        <v>319</v>
      </c>
      <c r="L105" s="39" t="s">
        <v>51</v>
      </c>
      <c r="M105" s="46" t="s">
        <v>320</v>
      </c>
      <c r="N105" s="38">
        <v>16421.0</v>
      </c>
      <c r="O105" s="47" t="s">
        <v>65</v>
      </c>
      <c r="P105" s="47">
        <v>6.282266622264E12</v>
      </c>
      <c r="Q105" s="48" t="s">
        <v>321</v>
      </c>
      <c r="R105" s="47" t="s">
        <v>55</v>
      </c>
      <c r="S105" s="49"/>
      <c r="T105" s="47" t="s">
        <v>56</v>
      </c>
      <c r="U105" s="47" t="s">
        <v>57</v>
      </c>
      <c r="V105" s="47"/>
      <c r="W105" s="47">
        <v>1.0</v>
      </c>
      <c r="X105" s="50"/>
      <c r="Y105" s="47"/>
      <c r="Z105" s="47"/>
    </row>
    <row r="106" ht="15.75" customHeight="1">
      <c r="A106" s="38"/>
      <c r="B106" s="39"/>
      <c r="C106" s="39"/>
      <c r="D106" s="40"/>
      <c r="E106" s="41"/>
      <c r="F106" s="39" t="s">
        <v>322</v>
      </c>
      <c r="G106" s="42">
        <v>1.35</v>
      </c>
      <c r="H106" s="43">
        <v>0.004863</v>
      </c>
      <c r="I106" s="44">
        <v>12478.0</v>
      </c>
      <c r="J106" s="40"/>
      <c r="K106" s="45"/>
      <c r="L106" s="39"/>
      <c r="M106" s="46"/>
      <c r="N106" s="38"/>
      <c r="O106" s="47"/>
      <c r="P106" s="47"/>
      <c r="Q106" s="48"/>
      <c r="R106" s="47"/>
      <c r="S106" s="49"/>
      <c r="T106" s="47"/>
      <c r="U106" s="47"/>
      <c r="V106" s="47"/>
      <c r="W106" s="47">
        <v>1.0</v>
      </c>
      <c r="X106" s="50"/>
      <c r="Y106" s="47"/>
      <c r="Z106" s="47"/>
    </row>
    <row r="107" ht="15.75" customHeight="1">
      <c r="A107" s="38"/>
      <c r="B107" s="39" t="s">
        <v>323</v>
      </c>
      <c r="C107" s="39" t="s">
        <v>324</v>
      </c>
      <c r="D107" s="40">
        <v>1.86</v>
      </c>
      <c r="E107" s="41">
        <v>0.006617</v>
      </c>
      <c r="F107" s="39" t="s">
        <v>325</v>
      </c>
      <c r="G107" s="42">
        <v>0.51</v>
      </c>
      <c r="H107" s="43">
        <v>0.001914</v>
      </c>
      <c r="I107" s="44">
        <v>1504.0</v>
      </c>
      <c r="J107" s="40"/>
      <c r="K107" s="45" t="s">
        <v>326</v>
      </c>
      <c r="L107" s="39" t="s">
        <v>51</v>
      </c>
      <c r="M107" s="46" t="s">
        <v>327</v>
      </c>
      <c r="N107" s="38">
        <v>16417.0</v>
      </c>
      <c r="O107" s="47" t="s">
        <v>65</v>
      </c>
      <c r="P107" s="47">
        <v>8.1389746038E10</v>
      </c>
      <c r="Q107" s="48" t="s">
        <v>328</v>
      </c>
      <c r="R107" s="47" t="s">
        <v>55</v>
      </c>
      <c r="S107" s="49"/>
      <c r="T107" s="47" t="s">
        <v>56</v>
      </c>
      <c r="U107" s="47" t="s">
        <v>57</v>
      </c>
      <c r="V107" s="47"/>
      <c r="W107" s="47">
        <v>1.0</v>
      </c>
      <c r="X107" s="50"/>
      <c r="Y107" s="47"/>
      <c r="Z107" s="47"/>
    </row>
    <row r="108" ht="15.75" customHeight="1">
      <c r="A108" s="38"/>
      <c r="B108" s="39"/>
      <c r="C108" s="39"/>
      <c r="D108" s="40"/>
      <c r="E108" s="41"/>
      <c r="F108" s="39" t="s">
        <v>329</v>
      </c>
      <c r="G108" s="42">
        <v>1.35</v>
      </c>
      <c r="H108" s="43">
        <v>0.004703</v>
      </c>
      <c r="I108" s="44">
        <v>1504.0</v>
      </c>
      <c r="J108" s="40"/>
      <c r="K108" s="45"/>
      <c r="L108" s="39"/>
      <c r="M108" s="46"/>
      <c r="N108" s="38"/>
      <c r="O108" s="47"/>
      <c r="P108" s="47"/>
      <c r="Q108" s="48"/>
      <c r="R108" s="47"/>
      <c r="S108" s="49"/>
      <c r="T108" s="47"/>
      <c r="U108" s="47"/>
      <c r="V108" s="47"/>
      <c r="W108" s="47">
        <v>1.0</v>
      </c>
      <c r="X108" s="50"/>
      <c r="Y108" s="47"/>
      <c r="Z108" s="47"/>
    </row>
    <row r="109" ht="15.75" customHeight="1">
      <c r="A109" s="38"/>
      <c r="B109" s="39" t="s">
        <v>330</v>
      </c>
      <c r="C109" s="39" t="s">
        <v>331</v>
      </c>
      <c r="D109" s="40">
        <v>3.64</v>
      </c>
      <c r="E109" s="41">
        <v>0.009345</v>
      </c>
      <c r="F109" s="39" t="s">
        <v>332</v>
      </c>
      <c r="G109" s="42">
        <v>3.64</v>
      </c>
      <c r="H109" s="43">
        <v>0.009345</v>
      </c>
      <c r="I109" s="44">
        <v>905.0</v>
      </c>
      <c r="J109" s="40"/>
      <c r="K109" s="45" t="s">
        <v>332</v>
      </c>
      <c r="L109" s="39" t="s">
        <v>51</v>
      </c>
      <c r="M109" s="46" t="s">
        <v>333</v>
      </c>
      <c r="N109" s="38">
        <v>16413.0</v>
      </c>
      <c r="O109" s="47" t="s">
        <v>65</v>
      </c>
      <c r="P109" s="47">
        <v>8.1319027459E10</v>
      </c>
      <c r="Q109" s="48" t="s">
        <v>334</v>
      </c>
      <c r="R109" s="47" t="s">
        <v>55</v>
      </c>
      <c r="S109" s="49"/>
      <c r="T109" s="47" t="s">
        <v>56</v>
      </c>
      <c r="U109" s="47" t="s">
        <v>57</v>
      </c>
      <c r="V109" s="47"/>
      <c r="W109" s="47">
        <v>1.0</v>
      </c>
      <c r="X109" s="50"/>
      <c r="Y109" s="47"/>
      <c r="Z109" s="47"/>
    </row>
    <row r="110" ht="15.75" customHeight="1">
      <c r="A110" s="38"/>
      <c r="B110" s="39" t="s">
        <v>335</v>
      </c>
      <c r="C110" s="39" t="s">
        <v>336</v>
      </c>
      <c r="D110" s="40">
        <v>1.91</v>
      </c>
      <c r="E110" s="41">
        <v>0.01046</v>
      </c>
      <c r="F110" s="39" t="s">
        <v>337</v>
      </c>
      <c r="G110" s="42">
        <v>0.43</v>
      </c>
      <c r="H110" s="43">
        <v>0.002213</v>
      </c>
      <c r="I110" s="44">
        <v>1750.0</v>
      </c>
      <c r="J110" s="40"/>
      <c r="K110" s="45" t="s">
        <v>338</v>
      </c>
      <c r="L110" s="39" t="s">
        <v>51</v>
      </c>
      <c r="M110" s="46" t="s">
        <v>339</v>
      </c>
      <c r="N110" s="38">
        <v>53165.0</v>
      </c>
      <c r="O110" s="47" t="s">
        <v>72</v>
      </c>
      <c r="P110" s="47">
        <v>8.22193852E10</v>
      </c>
      <c r="Q110" s="48" t="s">
        <v>340</v>
      </c>
      <c r="R110" s="47" t="s">
        <v>55</v>
      </c>
      <c r="S110" s="49"/>
      <c r="T110" s="47" t="s">
        <v>56</v>
      </c>
      <c r="U110" s="47" t="s">
        <v>57</v>
      </c>
      <c r="V110" s="47"/>
      <c r="W110" s="47">
        <v>1.0</v>
      </c>
      <c r="X110" s="50"/>
      <c r="Y110" s="47"/>
      <c r="Z110" s="47"/>
    </row>
    <row r="111" ht="15.75" customHeight="1">
      <c r="A111" s="38"/>
      <c r="B111" s="39"/>
      <c r="C111" s="39"/>
      <c r="D111" s="40"/>
      <c r="E111" s="41"/>
      <c r="F111" s="39" t="s">
        <v>341</v>
      </c>
      <c r="G111" s="42">
        <v>0.95</v>
      </c>
      <c r="H111" s="43">
        <v>0.00525</v>
      </c>
      <c r="I111" s="44">
        <v>1750.0</v>
      </c>
      <c r="J111" s="40"/>
      <c r="K111" s="45"/>
      <c r="L111" s="39"/>
      <c r="M111" s="46"/>
      <c r="N111" s="38"/>
      <c r="O111" s="47"/>
      <c r="P111" s="47"/>
      <c r="Q111" s="48"/>
      <c r="R111" s="47"/>
      <c r="S111" s="49"/>
      <c r="T111" s="47"/>
      <c r="U111" s="47"/>
      <c r="V111" s="47"/>
      <c r="W111" s="47">
        <v>1.0</v>
      </c>
      <c r="X111" s="50"/>
      <c r="Y111" s="47"/>
      <c r="Z111" s="47"/>
    </row>
    <row r="112" ht="15.75" customHeight="1">
      <c r="A112" s="38"/>
      <c r="B112" s="39"/>
      <c r="C112" s="39"/>
      <c r="D112" s="40"/>
      <c r="E112" s="41"/>
      <c r="F112" s="39" t="s">
        <v>342</v>
      </c>
      <c r="G112" s="42">
        <v>0.53</v>
      </c>
      <c r="H112" s="43">
        <v>0.002997</v>
      </c>
      <c r="I112" s="44">
        <v>1750.0</v>
      </c>
      <c r="J112" s="40"/>
      <c r="K112" s="45"/>
      <c r="L112" s="39"/>
      <c r="M112" s="46"/>
      <c r="N112" s="38"/>
      <c r="O112" s="47"/>
      <c r="P112" s="47"/>
      <c r="Q112" s="48"/>
      <c r="R112" s="47"/>
      <c r="S112" s="49"/>
      <c r="T112" s="47"/>
      <c r="U112" s="47"/>
      <c r="V112" s="47"/>
      <c r="W112" s="47">
        <v>1.0</v>
      </c>
      <c r="X112" s="50"/>
      <c r="Y112" s="47"/>
      <c r="Z112" s="47"/>
    </row>
    <row r="113" ht="15.75" customHeight="1">
      <c r="A113" s="38"/>
      <c r="B113" s="39" t="s">
        <v>343</v>
      </c>
      <c r="C113" s="39" t="s">
        <v>344</v>
      </c>
      <c r="D113" s="40">
        <v>1.51</v>
      </c>
      <c r="E113" s="41">
        <v>0.006107</v>
      </c>
      <c r="F113" s="39" t="s">
        <v>345</v>
      </c>
      <c r="G113" s="42">
        <v>1.34</v>
      </c>
      <c r="H113" s="43">
        <v>0.005036</v>
      </c>
      <c r="I113" s="44">
        <v>4.0</v>
      </c>
      <c r="J113" s="40"/>
      <c r="K113" s="45" t="s">
        <v>346</v>
      </c>
      <c r="L113" s="39" t="s">
        <v>51</v>
      </c>
      <c r="M113" s="46" t="s">
        <v>347</v>
      </c>
      <c r="N113" s="38">
        <v>17412.0</v>
      </c>
      <c r="O113" s="47" t="s">
        <v>53</v>
      </c>
      <c r="P113" s="47">
        <v>6.28176740151E11</v>
      </c>
      <c r="Q113" s="48" t="s">
        <v>348</v>
      </c>
      <c r="R113" s="47" t="s">
        <v>55</v>
      </c>
      <c r="S113" s="49"/>
      <c r="T113" s="47" t="s">
        <v>56</v>
      </c>
      <c r="U113" s="47" t="s">
        <v>57</v>
      </c>
      <c r="V113" s="47"/>
      <c r="W113" s="47">
        <v>1.0</v>
      </c>
      <c r="X113" s="50"/>
      <c r="Y113" s="47"/>
      <c r="Z113" s="47"/>
    </row>
    <row r="114" ht="15.75" customHeight="1">
      <c r="A114" s="38"/>
      <c r="B114" s="39"/>
      <c r="C114" s="39"/>
      <c r="D114" s="40"/>
      <c r="E114" s="41"/>
      <c r="F114" s="39" t="s">
        <v>349</v>
      </c>
      <c r="G114" s="42">
        <v>0.17</v>
      </c>
      <c r="H114" s="43">
        <v>0.001071</v>
      </c>
      <c r="I114" s="44">
        <v>4.0</v>
      </c>
      <c r="J114" s="40"/>
      <c r="K114" s="45"/>
      <c r="L114" s="39"/>
      <c r="M114" s="46"/>
      <c r="N114" s="38"/>
      <c r="O114" s="47"/>
      <c r="P114" s="47"/>
      <c r="Q114" s="48"/>
      <c r="R114" s="47"/>
      <c r="S114" s="49"/>
      <c r="T114" s="47"/>
      <c r="U114" s="47"/>
      <c r="V114" s="47"/>
      <c r="W114" s="47">
        <v>1.0</v>
      </c>
      <c r="X114" s="50"/>
      <c r="Y114" s="47"/>
      <c r="Z114" s="47"/>
    </row>
    <row r="115" ht="15.75" customHeight="1">
      <c r="A115" s="38"/>
      <c r="B115" s="39" t="s">
        <v>350</v>
      </c>
      <c r="C115" s="39" t="s">
        <v>351</v>
      </c>
      <c r="D115" s="40">
        <v>0.17</v>
      </c>
      <c r="E115" s="41">
        <v>9.77E-4</v>
      </c>
      <c r="F115" s="39" t="s">
        <v>352</v>
      </c>
      <c r="G115" s="42">
        <v>0.17</v>
      </c>
      <c r="H115" s="43">
        <v>9.77E-4</v>
      </c>
      <c r="I115" s="44">
        <v>13059.0</v>
      </c>
      <c r="J115" s="40"/>
      <c r="K115" s="45" t="s">
        <v>352</v>
      </c>
      <c r="L115" s="39" t="s">
        <v>51</v>
      </c>
      <c r="M115" s="46" t="s">
        <v>353</v>
      </c>
      <c r="N115" s="38">
        <v>17414.0</v>
      </c>
      <c r="O115" s="47" t="s">
        <v>53</v>
      </c>
      <c r="P115" s="47">
        <v>6.282283312589E12</v>
      </c>
      <c r="Q115" s="48" t="s">
        <v>354</v>
      </c>
      <c r="R115" s="47" t="s">
        <v>55</v>
      </c>
      <c r="S115" s="49"/>
      <c r="T115" s="47" t="s">
        <v>56</v>
      </c>
      <c r="U115" s="47" t="s">
        <v>57</v>
      </c>
      <c r="V115" s="47"/>
      <c r="W115" s="47">
        <v>1.0</v>
      </c>
      <c r="X115" s="50"/>
      <c r="Y115" s="47"/>
      <c r="Z115" s="47"/>
    </row>
    <row r="116" ht="15.75" customHeight="1">
      <c r="A116" s="38"/>
      <c r="B116" s="39" t="s">
        <v>355</v>
      </c>
      <c r="C116" s="39" t="s">
        <v>356</v>
      </c>
      <c r="D116" s="40">
        <v>1.13</v>
      </c>
      <c r="E116" s="41">
        <v>0.007072</v>
      </c>
      <c r="F116" s="39" t="s">
        <v>357</v>
      </c>
      <c r="G116" s="42">
        <v>1.13</v>
      </c>
      <c r="H116" s="43">
        <v>0.007072</v>
      </c>
      <c r="I116" s="44">
        <v>9208.0</v>
      </c>
      <c r="J116" s="40"/>
      <c r="K116" s="45" t="s">
        <v>357</v>
      </c>
      <c r="L116" s="39" t="s">
        <v>51</v>
      </c>
      <c r="M116" s="46" t="s">
        <v>358</v>
      </c>
      <c r="N116" s="38">
        <v>16435.0</v>
      </c>
      <c r="O116" s="47" t="s">
        <v>65</v>
      </c>
      <c r="P116" s="47">
        <v>2.15703335E8</v>
      </c>
      <c r="Q116" s="48" t="s">
        <v>359</v>
      </c>
      <c r="R116" s="47" t="s">
        <v>55</v>
      </c>
      <c r="S116" s="49"/>
      <c r="T116" s="47" t="s">
        <v>56</v>
      </c>
      <c r="U116" s="47" t="s">
        <v>57</v>
      </c>
      <c r="V116" s="47"/>
      <c r="W116" s="47">
        <v>1.0</v>
      </c>
      <c r="X116" s="50"/>
      <c r="Y116" s="47"/>
      <c r="Z116" s="47"/>
    </row>
    <row r="117" ht="15.75" customHeight="1">
      <c r="A117" s="38"/>
      <c r="B117" s="39" t="s">
        <v>360</v>
      </c>
      <c r="C117" s="39" t="s">
        <v>361</v>
      </c>
      <c r="D117" s="40">
        <v>2.71</v>
      </c>
      <c r="E117" s="41">
        <v>0.010051</v>
      </c>
      <c r="F117" s="39" t="s">
        <v>362</v>
      </c>
      <c r="G117" s="42">
        <v>2.52</v>
      </c>
      <c r="H117" s="43">
        <v>0.009111</v>
      </c>
      <c r="I117" s="44">
        <v>12876.0</v>
      </c>
      <c r="J117" s="40"/>
      <c r="K117" s="45" t="s">
        <v>363</v>
      </c>
      <c r="L117" s="39" t="s">
        <v>51</v>
      </c>
      <c r="M117" s="46" t="s">
        <v>364</v>
      </c>
      <c r="N117" s="38">
        <v>17431.0</v>
      </c>
      <c r="O117" s="47" t="s">
        <v>53</v>
      </c>
      <c r="P117" s="47">
        <v>6.28588178514E12</v>
      </c>
      <c r="Q117" s="48" t="s">
        <v>365</v>
      </c>
      <c r="R117" s="47" t="s">
        <v>55</v>
      </c>
      <c r="S117" s="49"/>
      <c r="T117" s="47" t="s">
        <v>56</v>
      </c>
      <c r="U117" s="47" t="s">
        <v>57</v>
      </c>
      <c r="V117" s="47"/>
      <c r="W117" s="47">
        <v>1.0</v>
      </c>
      <c r="X117" s="50"/>
      <c r="Y117" s="47"/>
      <c r="Z117" s="47"/>
    </row>
    <row r="118" ht="15.75" customHeight="1">
      <c r="A118" s="38"/>
      <c r="B118" s="39"/>
      <c r="C118" s="39"/>
      <c r="D118" s="40"/>
      <c r="E118" s="41"/>
      <c r="F118" s="39" t="s">
        <v>366</v>
      </c>
      <c r="G118" s="42">
        <v>0.19</v>
      </c>
      <c r="H118" s="43">
        <v>9.4E-4</v>
      </c>
      <c r="I118" s="44">
        <v>12876.0</v>
      </c>
      <c r="J118" s="40"/>
      <c r="K118" s="45"/>
      <c r="L118" s="39"/>
      <c r="M118" s="46"/>
      <c r="N118" s="38"/>
      <c r="O118" s="47"/>
      <c r="P118" s="47"/>
      <c r="Q118" s="48"/>
      <c r="R118" s="47"/>
      <c r="S118" s="49"/>
      <c r="T118" s="47"/>
      <c r="U118" s="47"/>
      <c r="V118" s="47"/>
      <c r="W118" s="47">
        <v>1.0</v>
      </c>
      <c r="X118" s="50"/>
      <c r="Y118" s="47"/>
      <c r="Z118" s="47"/>
    </row>
    <row r="119" ht="15.75" customHeight="1">
      <c r="A119" s="38"/>
      <c r="B119" s="39" t="s">
        <v>367</v>
      </c>
      <c r="C119" s="39" t="s">
        <v>368</v>
      </c>
      <c r="D119" s="40">
        <v>1.24</v>
      </c>
      <c r="E119" s="41">
        <v>0.005904</v>
      </c>
      <c r="F119" s="39" t="s">
        <v>369</v>
      </c>
      <c r="G119" s="42">
        <v>0.14</v>
      </c>
      <c r="H119" s="43">
        <v>8.4E-4</v>
      </c>
      <c r="I119" s="44">
        <v>15307.0</v>
      </c>
      <c r="J119" s="40"/>
      <c r="K119" s="45" t="s">
        <v>370</v>
      </c>
      <c r="L119" s="39" t="s">
        <v>51</v>
      </c>
      <c r="M119" s="46" t="s">
        <v>371</v>
      </c>
      <c r="N119" s="38">
        <v>16456.0</v>
      </c>
      <c r="O119" s="47" t="s">
        <v>65</v>
      </c>
      <c r="P119" s="47">
        <v>6.285770718108E12</v>
      </c>
      <c r="Q119" s="48" t="s">
        <v>372</v>
      </c>
      <c r="R119" s="47" t="s">
        <v>55</v>
      </c>
      <c r="S119" s="49"/>
      <c r="T119" s="47" t="s">
        <v>56</v>
      </c>
      <c r="U119" s="47" t="s">
        <v>57</v>
      </c>
      <c r="V119" s="47"/>
      <c r="W119" s="47">
        <v>1.0</v>
      </c>
      <c r="X119" s="50"/>
      <c r="Y119" s="47"/>
      <c r="Z119" s="47"/>
    </row>
    <row r="120" ht="15.75" customHeight="1">
      <c r="A120" s="38"/>
      <c r="B120" s="39"/>
      <c r="C120" s="39"/>
      <c r="D120" s="40"/>
      <c r="E120" s="41"/>
      <c r="F120" s="39" t="s">
        <v>373</v>
      </c>
      <c r="G120" s="42">
        <v>0.15</v>
      </c>
      <c r="H120" s="43">
        <v>9.6E-4</v>
      </c>
      <c r="I120" s="44">
        <v>15307.0</v>
      </c>
      <c r="J120" s="40"/>
      <c r="K120" s="45"/>
      <c r="L120" s="39"/>
      <c r="M120" s="46"/>
      <c r="N120" s="38"/>
      <c r="O120" s="47"/>
      <c r="P120" s="47"/>
      <c r="Q120" s="48"/>
      <c r="R120" s="47"/>
      <c r="S120" s="49"/>
      <c r="T120" s="47"/>
      <c r="U120" s="47"/>
      <c r="V120" s="47"/>
      <c r="W120" s="47">
        <v>1.0</v>
      </c>
      <c r="X120" s="50"/>
      <c r="Y120" s="47"/>
      <c r="Z120" s="47"/>
    </row>
    <row r="121" ht="15.75" customHeight="1">
      <c r="A121" s="38"/>
      <c r="B121" s="39"/>
      <c r="C121" s="39"/>
      <c r="D121" s="40"/>
      <c r="E121" s="41"/>
      <c r="F121" s="39" t="s">
        <v>374</v>
      </c>
      <c r="G121" s="42">
        <v>0.95</v>
      </c>
      <c r="H121" s="43">
        <v>0.004104</v>
      </c>
      <c r="I121" s="44">
        <v>15307.0</v>
      </c>
      <c r="J121" s="40"/>
      <c r="K121" s="45"/>
      <c r="L121" s="39"/>
      <c r="M121" s="46"/>
      <c r="N121" s="38"/>
      <c r="O121" s="47"/>
      <c r="P121" s="47"/>
      <c r="Q121" s="48"/>
      <c r="R121" s="47"/>
      <c r="S121" s="49"/>
      <c r="T121" s="47"/>
      <c r="U121" s="47"/>
      <c r="V121" s="47"/>
      <c r="W121" s="47">
        <v>1.0</v>
      </c>
      <c r="X121" s="50"/>
      <c r="Y121" s="47"/>
      <c r="Z121" s="47"/>
    </row>
    <row r="122" ht="15.75" customHeight="1">
      <c r="A122" s="38"/>
      <c r="B122" s="39" t="s">
        <v>375</v>
      </c>
      <c r="C122" s="39" t="s">
        <v>376</v>
      </c>
      <c r="D122" s="40">
        <v>5.95</v>
      </c>
      <c r="E122" s="41">
        <v>0.019133</v>
      </c>
      <c r="F122" s="39" t="s">
        <v>377</v>
      </c>
      <c r="G122" s="42">
        <v>5.95</v>
      </c>
      <c r="H122" s="43">
        <v>0.019133</v>
      </c>
      <c r="I122" s="44">
        <v>16017.0</v>
      </c>
      <c r="J122" s="40"/>
      <c r="K122" s="45" t="s">
        <v>377</v>
      </c>
      <c r="L122" s="39" t="s">
        <v>51</v>
      </c>
      <c r="M122" s="46" t="s">
        <v>378</v>
      </c>
      <c r="N122" s="38">
        <v>16459.0</v>
      </c>
      <c r="O122" s="47" t="s">
        <v>65</v>
      </c>
      <c r="P122" s="47">
        <v>6.28131808789E12</v>
      </c>
      <c r="Q122" s="48" t="s">
        <v>379</v>
      </c>
      <c r="R122" s="47" t="s">
        <v>55</v>
      </c>
      <c r="S122" s="49"/>
      <c r="T122" s="47" t="s">
        <v>56</v>
      </c>
      <c r="U122" s="47" t="s">
        <v>57</v>
      </c>
      <c r="V122" s="47"/>
      <c r="W122" s="47">
        <v>1.0</v>
      </c>
      <c r="X122" s="50"/>
      <c r="Y122" s="47"/>
      <c r="Z122" s="47"/>
    </row>
    <row r="123" ht="15.75" customHeight="1">
      <c r="A123" s="38"/>
      <c r="B123" s="39" t="s">
        <v>380</v>
      </c>
      <c r="C123" s="39" t="s">
        <v>381</v>
      </c>
      <c r="D123" s="40">
        <v>30.89</v>
      </c>
      <c r="E123" s="41">
        <v>0.071855</v>
      </c>
      <c r="F123" s="39" t="s">
        <v>382</v>
      </c>
      <c r="G123" s="42">
        <v>9.81</v>
      </c>
      <c r="H123" s="43">
        <v>0.0048</v>
      </c>
      <c r="I123" s="44">
        <v>800.0</v>
      </c>
      <c r="J123" s="40"/>
      <c r="K123" s="45" t="s">
        <v>383</v>
      </c>
      <c r="L123" s="39" t="s">
        <v>51</v>
      </c>
      <c r="M123" s="46" t="s">
        <v>384</v>
      </c>
      <c r="N123" s="38">
        <v>16433.0</v>
      </c>
      <c r="O123" s="47" t="s">
        <v>65</v>
      </c>
      <c r="P123" s="47">
        <v>8.1382750884E10</v>
      </c>
      <c r="Q123" s="48" t="s">
        <v>385</v>
      </c>
      <c r="R123" s="47" t="s">
        <v>55</v>
      </c>
      <c r="S123" s="49"/>
      <c r="T123" s="47" t="s">
        <v>56</v>
      </c>
      <c r="U123" s="47" t="s">
        <v>57</v>
      </c>
      <c r="V123" s="47"/>
      <c r="W123" s="47">
        <v>1.0</v>
      </c>
      <c r="X123" s="50"/>
      <c r="Y123" s="47"/>
      <c r="Z123" s="47"/>
    </row>
    <row r="124" ht="15.75" customHeight="1">
      <c r="A124" s="38"/>
      <c r="B124" s="39"/>
      <c r="C124" s="39"/>
      <c r="D124" s="40"/>
      <c r="E124" s="41"/>
      <c r="F124" s="39" t="s">
        <v>386</v>
      </c>
      <c r="G124" s="42">
        <v>14.93</v>
      </c>
      <c r="H124" s="43">
        <v>0.040168</v>
      </c>
      <c r="I124" s="44">
        <v>800.0</v>
      </c>
      <c r="J124" s="40"/>
      <c r="K124" s="45"/>
      <c r="L124" s="39"/>
      <c r="M124" s="46"/>
      <c r="N124" s="38"/>
      <c r="O124" s="47"/>
      <c r="P124" s="47"/>
      <c r="Q124" s="48"/>
      <c r="R124" s="47"/>
      <c r="S124" s="49"/>
      <c r="T124" s="47"/>
      <c r="U124" s="47"/>
      <c r="V124" s="47"/>
      <c r="W124" s="47">
        <v>1.0</v>
      </c>
      <c r="X124" s="50"/>
      <c r="Y124" s="47"/>
      <c r="Z124" s="47"/>
    </row>
    <row r="125" ht="15.75" customHeight="1">
      <c r="A125" s="38"/>
      <c r="B125" s="39"/>
      <c r="C125" s="39"/>
      <c r="D125" s="40"/>
      <c r="E125" s="41"/>
      <c r="F125" s="39" t="s">
        <v>387</v>
      </c>
      <c r="G125" s="42">
        <v>2.22</v>
      </c>
      <c r="H125" s="43">
        <v>0.0144</v>
      </c>
      <c r="I125" s="44">
        <v>800.0</v>
      </c>
      <c r="J125" s="40"/>
      <c r="K125" s="45"/>
      <c r="L125" s="39"/>
      <c r="M125" s="46"/>
      <c r="N125" s="38"/>
      <c r="O125" s="47"/>
      <c r="P125" s="47"/>
      <c r="Q125" s="48"/>
      <c r="R125" s="47"/>
      <c r="S125" s="49"/>
      <c r="T125" s="47"/>
      <c r="U125" s="47"/>
      <c r="V125" s="47"/>
      <c r="W125" s="47">
        <v>1.0</v>
      </c>
      <c r="X125" s="50"/>
      <c r="Y125" s="47"/>
      <c r="Z125" s="47"/>
    </row>
    <row r="126" ht="15.75" customHeight="1">
      <c r="A126" s="38"/>
      <c r="B126" s="39"/>
      <c r="C126" s="39"/>
      <c r="D126" s="40"/>
      <c r="E126" s="41"/>
      <c r="F126" s="39" t="s">
        <v>388</v>
      </c>
      <c r="G126" s="42">
        <v>3.0</v>
      </c>
      <c r="H126" s="43">
        <v>0.008359</v>
      </c>
      <c r="I126" s="44">
        <v>800.0</v>
      </c>
      <c r="J126" s="40"/>
      <c r="K126" s="45"/>
      <c r="L126" s="39"/>
      <c r="M126" s="46"/>
      <c r="N126" s="38"/>
      <c r="O126" s="47"/>
      <c r="P126" s="47"/>
      <c r="Q126" s="48"/>
      <c r="R126" s="47"/>
      <c r="S126" s="49"/>
      <c r="T126" s="47"/>
      <c r="U126" s="47"/>
      <c r="V126" s="47"/>
      <c r="W126" s="47">
        <v>1.0</v>
      </c>
      <c r="X126" s="50"/>
      <c r="Y126" s="47"/>
      <c r="Z126" s="47"/>
    </row>
    <row r="127" ht="15.75" customHeight="1">
      <c r="A127" s="38"/>
      <c r="B127" s="39"/>
      <c r="C127" s="39"/>
      <c r="D127" s="40"/>
      <c r="E127" s="41"/>
      <c r="F127" s="39" t="s">
        <v>389</v>
      </c>
      <c r="G127" s="42">
        <v>0.93</v>
      </c>
      <c r="H127" s="43">
        <v>0.004128</v>
      </c>
      <c r="I127" s="44">
        <v>800.0</v>
      </c>
      <c r="J127" s="40"/>
      <c r="K127" s="45"/>
      <c r="L127" s="39"/>
      <c r="M127" s="46"/>
      <c r="N127" s="38"/>
      <c r="O127" s="47"/>
      <c r="P127" s="47"/>
      <c r="Q127" s="48"/>
      <c r="R127" s="47"/>
      <c r="S127" s="49"/>
      <c r="T127" s="47"/>
      <c r="U127" s="47"/>
      <c r="V127" s="47"/>
      <c r="W127" s="47">
        <v>1.0</v>
      </c>
      <c r="X127" s="50"/>
      <c r="Y127" s="47"/>
      <c r="Z127" s="47"/>
    </row>
    <row r="128" ht="15.75" customHeight="1">
      <c r="A128" s="38"/>
      <c r="B128" s="39" t="s">
        <v>390</v>
      </c>
      <c r="C128" s="39" t="s">
        <v>391</v>
      </c>
      <c r="D128" s="40">
        <v>0.5</v>
      </c>
      <c r="E128" s="41">
        <v>0.01</v>
      </c>
      <c r="F128" s="39" t="s">
        <v>392</v>
      </c>
      <c r="G128" s="42">
        <v>0.25</v>
      </c>
      <c r="H128" s="43">
        <v>0.005</v>
      </c>
      <c r="I128" s="44">
        <v>2333.0</v>
      </c>
      <c r="J128" s="40"/>
      <c r="K128" s="45" t="s">
        <v>393</v>
      </c>
      <c r="L128" s="39" t="s">
        <v>51</v>
      </c>
      <c r="M128" s="46" t="s">
        <v>394</v>
      </c>
      <c r="N128" s="38">
        <v>16437.0</v>
      </c>
      <c r="O128" s="47" t="s">
        <v>65</v>
      </c>
      <c r="P128" s="47">
        <v>8.1311214281E10</v>
      </c>
      <c r="Q128" s="48" t="s">
        <v>395</v>
      </c>
      <c r="R128" s="47" t="s">
        <v>55</v>
      </c>
      <c r="S128" s="49"/>
      <c r="T128" s="47" t="s">
        <v>56</v>
      </c>
      <c r="U128" s="47" t="s">
        <v>57</v>
      </c>
      <c r="V128" s="47"/>
      <c r="W128" s="47">
        <v>1.0</v>
      </c>
      <c r="X128" s="50"/>
      <c r="Y128" s="47"/>
      <c r="Z128" s="47"/>
    </row>
    <row r="129" ht="15.75" customHeight="1">
      <c r="A129" s="38"/>
      <c r="B129" s="39"/>
      <c r="C129" s="39"/>
      <c r="D129" s="40"/>
      <c r="E129" s="41"/>
      <c r="F129" s="39" t="s">
        <v>396</v>
      </c>
      <c r="G129" s="42">
        <v>0.25</v>
      </c>
      <c r="H129" s="43">
        <v>0.005</v>
      </c>
      <c r="I129" s="44">
        <v>2333.0</v>
      </c>
      <c r="J129" s="40"/>
      <c r="K129" s="45"/>
      <c r="L129" s="39"/>
      <c r="M129" s="46"/>
      <c r="N129" s="38"/>
      <c r="O129" s="47"/>
      <c r="P129" s="47"/>
      <c r="Q129" s="48"/>
      <c r="R129" s="47"/>
      <c r="S129" s="49"/>
      <c r="T129" s="47"/>
      <c r="U129" s="47"/>
      <c r="V129" s="47"/>
      <c r="W129" s="47">
        <v>1.0</v>
      </c>
      <c r="X129" s="50"/>
      <c r="Y129" s="47"/>
      <c r="Z129" s="47"/>
    </row>
    <row r="130" ht="15.75" customHeight="1">
      <c r="A130" s="38"/>
      <c r="B130" s="39" t="s">
        <v>397</v>
      </c>
      <c r="C130" s="39" t="s">
        <v>398</v>
      </c>
      <c r="D130" s="40">
        <v>4.51</v>
      </c>
      <c r="E130" s="41">
        <v>0.01477</v>
      </c>
      <c r="F130" s="39" t="s">
        <v>399</v>
      </c>
      <c r="G130" s="42">
        <v>0.34</v>
      </c>
      <c r="H130" s="43">
        <v>9.95E-4</v>
      </c>
      <c r="I130" s="44">
        <v>17869.0</v>
      </c>
      <c r="J130" s="40"/>
      <c r="K130" s="45" t="s">
        <v>400</v>
      </c>
      <c r="L130" s="39" t="s">
        <v>51</v>
      </c>
      <c r="M130" s="46" t="s">
        <v>401</v>
      </c>
      <c r="N130" s="38">
        <v>16436.0</v>
      </c>
      <c r="O130" s="47" t="s">
        <v>65</v>
      </c>
      <c r="P130" s="47">
        <v>6.282152156244E12</v>
      </c>
      <c r="Q130" s="48" t="s">
        <v>402</v>
      </c>
      <c r="R130" s="47" t="s">
        <v>55</v>
      </c>
      <c r="S130" s="49"/>
      <c r="T130" s="47" t="s">
        <v>56</v>
      </c>
      <c r="U130" s="47" t="s">
        <v>57</v>
      </c>
      <c r="V130" s="47"/>
      <c r="W130" s="47">
        <v>1.0</v>
      </c>
      <c r="X130" s="50"/>
      <c r="Y130" s="47"/>
      <c r="Z130" s="47"/>
    </row>
    <row r="131" ht="15.75" customHeight="1">
      <c r="A131" s="38"/>
      <c r="B131" s="39"/>
      <c r="C131" s="39"/>
      <c r="D131" s="40"/>
      <c r="E131" s="41"/>
      <c r="F131" s="39" t="s">
        <v>403</v>
      </c>
      <c r="G131" s="42">
        <v>4.05</v>
      </c>
      <c r="H131" s="43">
        <v>0.013087</v>
      </c>
      <c r="I131" s="44">
        <v>17869.0</v>
      </c>
      <c r="J131" s="40"/>
      <c r="K131" s="45"/>
      <c r="L131" s="39"/>
      <c r="M131" s="46"/>
      <c r="N131" s="38"/>
      <c r="O131" s="47"/>
      <c r="P131" s="47"/>
      <c r="Q131" s="48"/>
      <c r="R131" s="47"/>
      <c r="S131" s="49"/>
      <c r="T131" s="47"/>
      <c r="U131" s="47"/>
      <c r="V131" s="47"/>
      <c r="W131" s="47">
        <v>1.0</v>
      </c>
      <c r="X131" s="50"/>
      <c r="Y131" s="47"/>
      <c r="Z131" s="47"/>
    </row>
    <row r="132" ht="15.75" customHeight="1">
      <c r="A132" s="38"/>
      <c r="B132" s="39"/>
      <c r="C132" s="39"/>
      <c r="D132" s="40"/>
      <c r="E132" s="41"/>
      <c r="F132" s="39" t="s">
        <v>404</v>
      </c>
      <c r="G132" s="42">
        <v>0.12</v>
      </c>
      <c r="H132" s="43">
        <v>6.88E-4</v>
      </c>
      <c r="I132" s="44">
        <v>17869.0</v>
      </c>
      <c r="J132" s="40"/>
      <c r="K132" s="45"/>
      <c r="L132" s="39"/>
      <c r="M132" s="46"/>
      <c r="N132" s="38"/>
      <c r="O132" s="47"/>
      <c r="P132" s="47"/>
      <c r="Q132" s="48"/>
      <c r="R132" s="47"/>
      <c r="S132" s="49"/>
      <c r="T132" s="47"/>
      <c r="U132" s="47"/>
      <c r="V132" s="47"/>
      <c r="W132" s="47">
        <v>1.0</v>
      </c>
      <c r="X132" s="50"/>
      <c r="Y132" s="47"/>
      <c r="Z132" s="47"/>
    </row>
    <row r="133" ht="15.75" customHeight="1">
      <c r="A133" s="38"/>
      <c r="B133" s="39" t="s">
        <v>405</v>
      </c>
      <c r="C133" s="39" t="s">
        <v>406</v>
      </c>
      <c r="D133" s="40">
        <v>1.21</v>
      </c>
      <c r="E133" s="41">
        <v>0.003855</v>
      </c>
      <c r="F133" s="39" t="s">
        <v>407</v>
      </c>
      <c r="G133" s="42">
        <v>1.14</v>
      </c>
      <c r="H133" s="43">
        <v>0.003615</v>
      </c>
      <c r="I133" s="44">
        <v>15583.0</v>
      </c>
      <c r="J133" s="40"/>
      <c r="K133" s="45" t="s">
        <v>408</v>
      </c>
      <c r="L133" s="39" t="s">
        <v>51</v>
      </c>
      <c r="M133" s="46" t="s">
        <v>409</v>
      </c>
      <c r="N133" s="38">
        <v>13870.0</v>
      </c>
      <c r="O133" s="47" t="s">
        <v>72</v>
      </c>
      <c r="P133" s="47">
        <v>6.285771101229E12</v>
      </c>
      <c r="Q133" s="48" t="s">
        <v>410</v>
      </c>
      <c r="R133" s="47" t="s">
        <v>55</v>
      </c>
      <c r="S133" s="49"/>
      <c r="T133" s="47" t="s">
        <v>56</v>
      </c>
      <c r="U133" s="47" t="s">
        <v>57</v>
      </c>
      <c r="V133" s="47"/>
      <c r="W133" s="47">
        <v>1.0</v>
      </c>
      <c r="X133" s="50"/>
      <c r="Y133" s="47"/>
      <c r="Z133" s="47"/>
    </row>
    <row r="134" ht="15.75" customHeight="1">
      <c r="A134" s="38"/>
      <c r="B134" s="39"/>
      <c r="C134" s="39"/>
      <c r="D134" s="40"/>
      <c r="E134" s="41"/>
      <c r="F134" s="39" t="s">
        <v>411</v>
      </c>
      <c r="G134" s="42">
        <v>0.07</v>
      </c>
      <c r="H134" s="43">
        <v>2.4E-4</v>
      </c>
      <c r="I134" s="44">
        <v>15583.0</v>
      </c>
      <c r="J134" s="40"/>
      <c r="K134" s="45"/>
      <c r="L134" s="39"/>
      <c r="M134" s="46"/>
      <c r="N134" s="38"/>
      <c r="O134" s="47"/>
      <c r="P134" s="47"/>
      <c r="Q134" s="48"/>
      <c r="R134" s="47"/>
      <c r="S134" s="49"/>
      <c r="T134" s="47"/>
      <c r="U134" s="47"/>
      <c r="V134" s="47"/>
      <c r="W134" s="47">
        <v>1.0</v>
      </c>
      <c r="X134" s="50"/>
      <c r="Y134" s="47"/>
      <c r="Z134" s="47"/>
    </row>
    <row r="135" ht="15.75" customHeight="1">
      <c r="A135" s="38"/>
      <c r="B135" s="39" t="s">
        <v>412</v>
      </c>
      <c r="C135" s="39" t="s">
        <v>413</v>
      </c>
      <c r="D135" s="40">
        <v>1.31</v>
      </c>
      <c r="E135" s="41">
        <v>0.003603</v>
      </c>
      <c r="F135" s="39" t="s">
        <v>414</v>
      </c>
      <c r="G135" s="42">
        <v>0.14</v>
      </c>
      <c r="H135" s="43">
        <v>4.32E-4</v>
      </c>
      <c r="I135" s="44">
        <v>16762.0</v>
      </c>
      <c r="J135" s="40"/>
      <c r="K135" s="45" t="s">
        <v>415</v>
      </c>
      <c r="L135" s="39" t="s">
        <v>51</v>
      </c>
      <c r="M135" s="46" t="s">
        <v>416</v>
      </c>
      <c r="N135" s="38">
        <v>16511.0</v>
      </c>
      <c r="O135" s="47" t="s">
        <v>65</v>
      </c>
      <c r="P135" s="47">
        <v>6.28127060678E11</v>
      </c>
      <c r="Q135" s="48" t="s">
        <v>417</v>
      </c>
      <c r="R135" s="47" t="s">
        <v>55</v>
      </c>
      <c r="S135" s="49"/>
      <c r="T135" s="47" t="s">
        <v>56</v>
      </c>
      <c r="U135" s="47" t="s">
        <v>57</v>
      </c>
      <c r="V135" s="47"/>
      <c r="W135" s="47">
        <v>1.0</v>
      </c>
      <c r="X135" s="50"/>
      <c r="Y135" s="47"/>
      <c r="Z135" s="47"/>
    </row>
    <row r="136" ht="15.75" customHeight="1">
      <c r="A136" s="38"/>
      <c r="B136" s="39"/>
      <c r="C136" s="39"/>
      <c r="D136" s="40"/>
      <c r="E136" s="41"/>
      <c r="F136" s="39" t="s">
        <v>418</v>
      </c>
      <c r="G136" s="42">
        <v>1.17</v>
      </c>
      <c r="H136" s="43">
        <v>0.003171</v>
      </c>
      <c r="I136" s="44">
        <v>16762.0</v>
      </c>
      <c r="J136" s="40"/>
      <c r="K136" s="45"/>
      <c r="L136" s="39"/>
      <c r="M136" s="46"/>
      <c r="N136" s="38"/>
      <c r="O136" s="47"/>
      <c r="P136" s="47"/>
      <c r="Q136" s="48"/>
      <c r="R136" s="47"/>
      <c r="S136" s="49"/>
      <c r="T136" s="47"/>
      <c r="U136" s="47"/>
      <c r="V136" s="47"/>
      <c r="W136" s="47">
        <v>1.0</v>
      </c>
      <c r="X136" s="50"/>
      <c r="Y136" s="47"/>
      <c r="Z136" s="47"/>
    </row>
    <row r="137" ht="15.75" customHeight="1">
      <c r="A137" s="38"/>
      <c r="B137" s="39" t="s">
        <v>419</v>
      </c>
      <c r="C137" s="39" t="s">
        <v>420</v>
      </c>
      <c r="D137" s="40">
        <v>7.2</v>
      </c>
      <c r="E137" s="41">
        <v>0.018525</v>
      </c>
      <c r="F137" s="39" t="s">
        <v>421</v>
      </c>
      <c r="G137" s="42">
        <v>7.2</v>
      </c>
      <c r="H137" s="43">
        <v>0.018525</v>
      </c>
      <c r="I137" s="44">
        <v>11328.0</v>
      </c>
      <c r="J137" s="40"/>
      <c r="K137" s="45" t="s">
        <v>421</v>
      </c>
      <c r="L137" s="39" t="s">
        <v>51</v>
      </c>
      <c r="M137" s="46" t="s">
        <v>422</v>
      </c>
      <c r="N137" s="38">
        <v>17433.0</v>
      </c>
      <c r="O137" s="47" t="s">
        <v>53</v>
      </c>
      <c r="P137" s="47">
        <v>6.281296912229E12</v>
      </c>
      <c r="Q137" s="48" t="s">
        <v>423</v>
      </c>
      <c r="R137" s="47" t="s">
        <v>55</v>
      </c>
      <c r="S137" s="49"/>
      <c r="T137" s="47" t="s">
        <v>56</v>
      </c>
      <c r="U137" s="47" t="s">
        <v>57</v>
      </c>
      <c r="V137" s="47"/>
      <c r="W137" s="47">
        <v>1.0</v>
      </c>
      <c r="X137" s="50"/>
      <c r="Y137" s="47"/>
      <c r="Z137" s="47"/>
    </row>
    <row r="138" ht="15.75" customHeight="1">
      <c r="A138" s="38"/>
      <c r="B138" s="39" t="s">
        <v>424</v>
      </c>
      <c r="C138" s="39" t="s">
        <v>425</v>
      </c>
      <c r="D138" s="40">
        <v>9.1</v>
      </c>
      <c r="E138" s="41">
        <v>0.020366</v>
      </c>
      <c r="F138" s="39" t="s">
        <v>426</v>
      </c>
      <c r="G138" s="42">
        <v>0.6</v>
      </c>
      <c r="H138" s="43">
        <v>0.00129</v>
      </c>
      <c r="I138" s="44">
        <v>10650.0</v>
      </c>
      <c r="J138" s="40"/>
      <c r="K138" s="45" t="s">
        <v>427</v>
      </c>
      <c r="L138" s="39" t="s">
        <v>51</v>
      </c>
      <c r="M138" s="46" t="s">
        <v>428</v>
      </c>
      <c r="N138" s="38">
        <v>16412.0</v>
      </c>
      <c r="O138" s="47" t="s">
        <v>65</v>
      </c>
      <c r="P138" s="47">
        <v>6.281384512005E12</v>
      </c>
      <c r="Q138" s="48" t="s">
        <v>429</v>
      </c>
      <c r="R138" s="47" t="s">
        <v>55</v>
      </c>
      <c r="S138" s="49"/>
      <c r="T138" s="47" t="s">
        <v>56</v>
      </c>
      <c r="U138" s="47" t="s">
        <v>57</v>
      </c>
      <c r="V138" s="47"/>
      <c r="W138" s="47">
        <v>1.0</v>
      </c>
      <c r="X138" s="50"/>
      <c r="Y138" s="47"/>
      <c r="Z138" s="47"/>
    </row>
    <row r="139" ht="15.75" customHeight="1">
      <c r="A139" s="38"/>
      <c r="B139" s="39"/>
      <c r="C139" s="39"/>
      <c r="D139" s="40"/>
      <c r="E139" s="41"/>
      <c r="F139" s="39" t="s">
        <v>430</v>
      </c>
      <c r="G139" s="42">
        <v>7.63</v>
      </c>
      <c r="H139" s="43">
        <v>0.014508</v>
      </c>
      <c r="I139" s="44">
        <v>10650.0</v>
      </c>
      <c r="J139" s="40"/>
      <c r="K139" s="45"/>
      <c r="L139" s="39"/>
      <c r="M139" s="46"/>
      <c r="N139" s="38"/>
      <c r="O139" s="47"/>
      <c r="P139" s="47"/>
      <c r="Q139" s="48"/>
      <c r="R139" s="47"/>
      <c r="S139" s="49"/>
      <c r="T139" s="47"/>
      <c r="U139" s="47"/>
      <c r="V139" s="47"/>
      <c r="W139" s="47">
        <v>1.0</v>
      </c>
      <c r="X139" s="50"/>
      <c r="Y139" s="47"/>
      <c r="Z139" s="47"/>
    </row>
    <row r="140" ht="15.75" customHeight="1">
      <c r="A140" s="38"/>
      <c r="B140" s="39"/>
      <c r="C140" s="39"/>
      <c r="D140" s="40"/>
      <c r="E140" s="41"/>
      <c r="F140" s="39" t="s">
        <v>431</v>
      </c>
      <c r="G140" s="42">
        <v>0.87</v>
      </c>
      <c r="H140" s="43">
        <v>0.004568</v>
      </c>
      <c r="I140" s="44">
        <v>10650.0</v>
      </c>
      <c r="J140" s="40"/>
      <c r="K140" s="45"/>
      <c r="L140" s="39"/>
      <c r="M140" s="46"/>
      <c r="N140" s="38"/>
      <c r="O140" s="47"/>
      <c r="P140" s="47"/>
      <c r="Q140" s="48"/>
      <c r="R140" s="47"/>
      <c r="S140" s="49"/>
      <c r="T140" s="47"/>
      <c r="U140" s="47"/>
      <c r="V140" s="47"/>
      <c r="W140" s="47">
        <v>1.0</v>
      </c>
      <c r="X140" s="50"/>
      <c r="Y140" s="47"/>
      <c r="Z140" s="47"/>
    </row>
    <row r="141" ht="15.75" customHeight="1">
      <c r="A141" s="38"/>
      <c r="B141" s="39" t="s">
        <v>432</v>
      </c>
      <c r="C141" s="39" t="s">
        <v>433</v>
      </c>
      <c r="D141" s="40">
        <v>2.6</v>
      </c>
      <c r="E141" s="41">
        <v>0.008012</v>
      </c>
      <c r="F141" s="39" t="s">
        <v>434</v>
      </c>
      <c r="G141" s="42">
        <v>2.28</v>
      </c>
      <c r="H141" s="43">
        <v>0.005472</v>
      </c>
      <c r="I141" s="44">
        <v>334.0</v>
      </c>
      <c r="J141" s="40"/>
      <c r="K141" s="45" t="s">
        <v>435</v>
      </c>
      <c r="L141" s="39" t="s">
        <v>51</v>
      </c>
      <c r="M141" s="46" t="s">
        <v>436</v>
      </c>
      <c r="N141" s="38">
        <v>16417.0</v>
      </c>
      <c r="O141" s="47" t="s">
        <v>65</v>
      </c>
      <c r="P141" s="47">
        <v>2.177833109E9</v>
      </c>
      <c r="Q141" s="48" t="s">
        <v>437</v>
      </c>
      <c r="R141" s="47" t="s">
        <v>55</v>
      </c>
      <c r="S141" s="49"/>
      <c r="T141" s="47" t="s">
        <v>56</v>
      </c>
      <c r="U141" s="47" t="s">
        <v>57</v>
      </c>
      <c r="V141" s="47"/>
      <c r="W141" s="47">
        <v>1.0</v>
      </c>
      <c r="X141" s="50"/>
      <c r="Y141" s="47"/>
      <c r="Z141" s="47"/>
    </row>
    <row r="142" ht="15.75" customHeight="1">
      <c r="A142" s="38"/>
      <c r="B142" s="39"/>
      <c r="C142" s="39"/>
      <c r="D142" s="40"/>
      <c r="E142" s="41"/>
      <c r="F142" s="39" t="s">
        <v>438</v>
      </c>
      <c r="G142" s="42">
        <v>0.32</v>
      </c>
      <c r="H142" s="43">
        <v>0.00254</v>
      </c>
      <c r="I142" s="44">
        <v>334.0</v>
      </c>
      <c r="J142" s="40"/>
      <c r="K142" s="45"/>
      <c r="L142" s="39"/>
      <c r="M142" s="46"/>
      <c r="N142" s="38"/>
      <c r="O142" s="47"/>
      <c r="P142" s="47"/>
      <c r="Q142" s="48"/>
      <c r="R142" s="47"/>
      <c r="S142" s="49"/>
      <c r="T142" s="47"/>
      <c r="U142" s="47"/>
      <c r="V142" s="47"/>
      <c r="W142" s="47">
        <v>1.0</v>
      </c>
      <c r="X142" s="50"/>
      <c r="Y142" s="47"/>
      <c r="Z142" s="47"/>
    </row>
    <row r="143" ht="15.75" customHeight="1">
      <c r="A143" s="38"/>
      <c r="B143" s="39" t="s">
        <v>439</v>
      </c>
      <c r="C143" s="39" t="s">
        <v>440</v>
      </c>
      <c r="D143" s="40">
        <v>3.02</v>
      </c>
      <c r="E143" s="41">
        <v>0.00964</v>
      </c>
      <c r="F143" s="39" t="s">
        <v>441</v>
      </c>
      <c r="G143" s="42">
        <v>0.32</v>
      </c>
      <c r="H143" s="43">
        <v>8.64E-4</v>
      </c>
      <c r="I143" s="44">
        <v>15825.0</v>
      </c>
      <c r="J143" s="40"/>
      <c r="K143" s="45" t="s">
        <v>442</v>
      </c>
      <c r="L143" s="39" t="s">
        <v>51</v>
      </c>
      <c r="M143" s="46" t="s">
        <v>443</v>
      </c>
      <c r="N143" s="38">
        <v>16417.0</v>
      </c>
      <c r="O143" s="47" t="s">
        <v>65</v>
      </c>
      <c r="P143" s="47">
        <v>6.281252592024E12</v>
      </c>
      <c r="Q143" s="48" t="s">
        <v>444</v>
      </c>
      <c r="R143" s="47" t="s">
        <v>55</v>
      </c>
      <c r="S143" s="49"/>
      <c r="T143" s="47" t="s">
        <v>56</v>
      </c>
      <c r="U143" s="47" t="s">
        <v>57</v>
      </c>
      <c r="V143" s="47"/>
      <c r="W143" s="47">
        <v>1.0</v>
      </c>
      <c r="X143" s="50"/>
      <c r="Y143" s="47"/>
      <c r="Z143" s="47"/>
    </row>
    <row r="144" ht="15.75" customHeight="1">
      <c r="A144" s="38"/>
      <c r="B144" s="39"/>
      <c r="C144" s="39"/>
      <c r="D144" s="40"/>
      <c r="E144" s="41"/>
      <c r="F144" s="39" t="s">
        <v>445</v>
      </c>
      <c r="G144" s="42">
        <v>0.46</v>
      </c>
      <c r="H144" s="43">
        <v>0.001198</v>
      </c>
      <c r="I144" s="44">
        <v>15825.0</v>
      </c>
      <c r="J144" s="40"/>
      <c r="K144" s="45"/>
      <c r="L144" s="39"/>
      <c r="M144" s="46"/>
      <c r="N144" s="38"/>
      <c r="O144" s="47"/>
      <c r="P144" s="47"/>
      <c r="Q144" s="48"/>
      <c r="R144" s="47"/>
      <c r="S144" s="49"/>
      <c r="T144" s="47"/>
      <c r="U144" s="47"/>
      <c r="V144" s="47"/>
      <c r="W144" s="47">
        <v>1.0</v>
      </c>
      <c r="X144" s="50"/>
      <c r="Y144" s="47"/>
      <c r="Z144" s="47"/>
    </row>
    <row r="145" ht="15.75" customHeight="1">
      <c r="A145" s="38"/>
      <c r="B145" s="39"/>
      <c r="C145" s="39"/>
      <c r="D145" s="40"/>
      <c r="E145" s="41"/>
      <c r="F145" s="39" t="s">
        <v>446</v>
      </c>
      <c r="G145" s="42">
        <v>0.67</v>
      </c>
      <c r="H145" s="43">
        <v>0.001668</v>
      </c>
      <c r="I145" s="44">
        <v>15825.0</v>
      </c>
      <c r="J145" s="40"/>
      <c r="K145" s="45"/>
      <c r="L145" s="39"/>
      <c r="M145" s="46"/>
      <c r="N145" s="38"/>
      <c r="O145" s="47"/>
      <c r="P145" s="47"/>
      <c r="Q145" s="48"/>
      <c r="R145" s="47"/>
      <c r="S145" s="49"/>
      <c r="T145" s="47"/>
      <c r="U145" s="47"/>
      <c r="V145" s="47"/>
      <c r="W145" s="47">
        <v>1.0</v>
      </c>
      <c r="X145" s="50"/>
      <c r="Y145" s="47"/>
      <c r="Z145" s="47"/>
    </row>
    <row r="146" ht="15.75" customHeight="1">
      <c r="A146" s="38"/>
      <c r="B146" s="39"/>
      <c r="C146" s="39"/>
      <c r="D146" s="40"/>
      <c r="E146" s="41"/>
      <c r="F146" s="39" t="s">
        <v>447</v>
      </c>
      <c r="G146" s="42">
        <v>0.44</v>
      </c>
      <c r="H146" s="43">
        <v>0.001728</v>
      </c>
      <c r="I146" s="44">
        <v>15825.0</v>
      </c>
      <c r="J146" s="40"/>
      <c r="K146" s="45"/>
      <c r="L146" s="39"/>
      <c r="M146" s="46"/>
      <c r="N146" s="38"/>
      <c r="O146" s="47"/>
      <c r="P146" s="47"/>
      <c r="Q146" s="48"/>
      <c r="R146" s="47"/>
      <c r="S146" s="49"/>
      <c r="T146" s="47"/>
      <c r="U146" s="47"/>
      <c r="V146" s="47"/>
      <c r="W146" s="47">
        <v>1.0</v>
      </c>
      <c r="X146" s="50"/>
      <c r="Y146" s="47"/>
      <c r="Z146" s="47"/>
    </row>
    <row r="147" ht="15.75" customHeight="1">
      <c r="A147" s="38"/>
      <c r="B147" s="39"/>
      <c r="C147" s="39"/>
      <c r="D147" s="40"/>
      <c r="E147" s="41"/>
      <c r="F147" s="39" t="s">
        <v>448</v>
      </c>
      <c r="G147" s="42">
        <v>0.02</v>
      </c>
      <c r="H147" s="43">
        <v>1.6E-4</v>
      </c>
      <c r="I147" s="44">
        <v>15825.0</v>
      </c>
      <c r="J147" s="40"/>
      <c r="K147" s="45"/>
      <c r="L147" s="57"/>
      <c r="M147" s="46"/>
      <c r="N147" s="38"/>
      <c r="O147" s="47"/>
      <c r="P147" s="47"/>
      <c r="Q147" s="48"/>
      <c r="R147" s="47"/>
      <c r="S147" s="49"/>
      <c r="T147" s="47"/>
      <c r="U147" s="47"/>
      <c r="V147" s="47"/>
      <c r="W147" s="47">
        <v>1.0</v>
      </c>
      <c r="X147" s="50"/>
      <c r="Y147" s="47"/>
      <c r="Z147" s="47"/>
    </row>
    <row r="148" ht="15.75" customHeight="1">
      <c r="A148" s="38"/>
      <c r="B148" s="39"/>
      <c r="C148" s="39"/>
      <c r="D148" s="40"/>
      <c r="E148" s="41"/>
      <c r="F148" s="39" t="s">
        <v>449</v>
      </c>
      <c r="G148" s="42">
        <v>0.36</v>
      </c>
      <c r="H148" s="43">
        <v>0.001904</v>
      </c>
      <c r="I148" s="44">
        <v>15825.0</v>
      </c>
      <c r="J148" s="40"/>
      <c r="K148" s="45"/>
      <c r="L148" s="39"/>
      <c r="M148" s="46"/>
      <c r="N148" s="38"/>
      <c r="O148" s="47"/>
      <c r="P148" s="47"/>
      <c r="Q148" s="48"/>
      <c r="R148" s="47"/>
      <c r="S148" s="49"/>
      <c r="T148" s="47"/>
      <c r="U148" s="47"/>
      <c r="V148" s="47"/>
      <c r="W148" s="47">
        <v>1.0</v>
      </c>
      <c r="X148" s="50"/>
      <c r="Y148" s="47"/>
      <c r="Z148" s="47"/>
    </row>
    <row r="149" ht="15.75" customHeight="1">
      <c r="A149" s="38"/>
      <c r="B149" s="39"/>
      <c r="C149" s="39"/>
      <c r="D149" s="40"/>
      <c r="E149" s="41"/>
      <c r="F149" s="39" t="s">
        <v>450</v>
      </c>
      <c r="G149" s="42">
        <v>0.05</v>
      </c>
      <c r="H149" s="43">
        <v>1.5E-4</v>
      </c>
      <c r="I149" s="44">
        <v>15825.0</v>
      </c>
      <c r="J149" s="40"/>
      <c r="K149" s="45"/>
      <c r="L149" s="39"/>
      <c r="M149" s="46"/>
      <c r="N149" s="38"/>
      <c r="O149" s="47"/>
      <c r="P149" s="47"/>
      <c r="Q149" s="48"/>
      <c r="R149" s="47"/>
      <c r="S149" s="49"/>
      <c r="T149" s="47"/>
      <c r="U149" s="47"/>
      <c r="V149" s="47"/>
      <c r="W149" s="47">
        <v>1.0</v>
      </c>
      <c r="X149" s="50"/>
      <c r="Y149" s="47"/>
      <c r="Z149" s="47"/>
    </row>
    <row r="150" ht="15.75" customHeight="1">
      <c r="A150" s="38"/>
      <c r="B150" s="39"/>
      <c r="C150" s="39"/>
      <c r="D150" s="40"/>
      <c r="E150" s="41"/>
      <c r="F150" s="39" t="s">
        <v>451</v>
      </c>
      <c r="G150" s="42">
        <v>0.7</v>
      </c>
      <c r="H150" s="43">
        <v>0.001968</v>
      </c>
      <c r="I150" s="44">
        <v>15825.0</v>
      </c>
      <c r="J150" s="40"/>
      <c r="K150" s="45"/>
      <c r="L150" s="39"/>
      <c r="M150" s="46"/>
      <c r="N150" s="38"/>
      <c r="O150" s="47"/>
      <c r="P150" s="47"/>
      <c r="Q150" s="48"/>
      <c r="R150" s="47"/>
      <c r="S150" s="49"/>
      <c r="T150" s="47"/>
      <c r="U150" s="47"/>
      <c r="V150" s="47"/>
      <c r="W150" s="47">
        <v>1.0</v>
      </c>
      <c r="X150" s="50"/>
      <c r="Y150" s="47"/>
      <c r="Z150" s="47"/>
    </row>
    <row r="151" ht="15.75" customHeight="1">
      <c r="A151" s="38"/>
      <c r="B151" s="39" t="s">
        <v>452</v>
      </c>
      <c r="C151" s="39" t="s">
        <v>453</v>
      </c>
      <c r="D151" s="40">
        <v>0.53</v>
      </c>
      <c r="E151" s="41">
        <v>0.001896</v>
      </c>
      <c r="F151" s="39" t="s">
        <v>454</v>
      </c>
      <c r="G151" s="42">
        <v>0.03</v>
      </c>
      <c r="H151" s="43">
        <v>5.82E-4</v>
      </c>
      <c r="I151" s="44">
        <v>9079.0</v>
      </c>
      <c r="J151" s="40"/>
      <c r="K151" s="45" t="s">
        <v>455</v>
      </c>
      <c r="L151" s="39" t="s">
        <v>51</v>
      </c>
      <c r="M151" s="46" t="s">
        <v>456</v>
      </c>
      <c r="N151" s="38">
        <v>17424.0</v>
      </c>
      <c r="O151" s="47" t="s">
        <v>53</v>
      </c>
      <c r="P151" s="47">
        <v>6.285770601565E12</v>
      </c>
      <c r="Q151" s="48" t="s">
        <v>457</v>
      </c>
      <c r="R151" s="47" t="s">
        <v>55</v>
      </c>
      <c r="S151" s="49"/>
      <c r="T151" s="47" t="s">
        <v>56</v>
      </c>
      <c r="U151" s="47" t="s">
        <v>57</v>
      </c>
      <c r="V151" s="47"/>
      <c r="W151" s="47">
        <v>1.0</v>
      </c>
      <c r="X151" s="50"/>
      <c r="Y151" s="47"/>
      <c r="Z151" s="47"/>
    </row>
    <row r="152" ht="15.75" customHeight="1">
      <c r="A152" s="38"/>
      <c r="B152" s="39"/>
      <c r="C152" s="39"/>
      <c r="D152" s="40"/>
      <c r="E152" s="41"/>
      <c r="F152" s="39" t="s">
        <v>458</v>
      </c>
      <c r="G152" s="42">
        <v>0.5</v>
      </c>
      <c r="H152" s="43">
        <v>0.001314</v>
      </c>
      <c r="I152" s="44">
        <v>9079.0</v>
      </c>
      <c r="J152" s="40"/>
      <c r="K152" s="45"/>
      <c r="L152" s="39"/>
      <c r="M152" s="46"/>
      <c r="N152" s="38"/>
      <c r="O152" s="47"/>
      <c r="P152" s="47"/>
      <c r="Q152" s="48"/>
      <c r="R152" s="47"/>
      <c r="S152" s="49"/>
      <c r="T152" s="47"/>
      <c r="U152" s="47"/>
      <c r="V152" s="47"/>
      <c r="W152" s="47">
        <v>1.0</v>
      </c>
      <c r="X152" s="50"/>
      <c r="Y152" s="47"/>
      <c r="Z152" s="47"/>
    </row>
    <row r="153" ht="15.75" customHeight="1">
      <c r="A153" s="38"/>
      <c r="B153" s="39" t="s">
        <v>459</v>
      </c>
      <c r="C153" s="39" t="s">
        <v>460</v>
      </c>
      <c r="D153" s="40">
        <v>6.06</v>
      </c>
      <c r="E153" s="41">
        <v>0.026928</v>
      </c>
      <c r="F153" s="39" t="s">
        <v>461</v>
      </c>
      <c r="G153" s="42">
        <v>0.35</v>
      </c>
      <c r="H153" s="43">
        <v>8.25E-4</v>
      </c>
      <c r="I153" s="44">
        <v>3381.0</v>
      </c>
      <c r="J153" s="40"/>
      <c r="K153" s="45" t="s">
        <v>462</v>
      </c>
      <c r="L153" s="39" t="s">
        <v>51</v>
      </c>
      <c r="M153" s="46" t="s">
        <v>463</v>
      </c>
      <c r="N153" s="38">
        <v>16459.0</v>
      </c>
      <c r="O153" s="47" t="s">
        <v>65</v>
      </c>
      <c r="P153" s="47">
        <v>8.212219181E10</v>
      </c>
      <c r="Q153" s="48" t="s">
        <v>464</v>
      </c>
      <c r="R153" s="47" t="s">
        <v>55</v>
      </c>
      <c r="S153" s="49"/>
      <c r="T153" s="47" t="s">
        <v>56</v>
      </c>
      <c r="U153" s="47" t="s">
        <v>57</v>
      </c>
      <c r="V153" s="47"/>
      <c r="W153" s="47">
        <v>1.0</v>
      </c>
      <c r="X153" s="50"/>
      <c r="Y153" s="47"/>
      <c r="Z153" s="47"/>
    </row>
    <row r="154" ht="15.75" customHeight="1">
      <c r="A154" s="38"/>
      <c r="B154" s="39"/>
      <c r="C154" s="39"/>
      <c r="D154" s="40"/>
      <c r="E154" s="41"/>
      <c r="F154" s="39" t="s">
        <v>465</v>
      </c>
      <c r="G154" s="42">
        <v>0.07</v>
      </c>
      <c r="H154" s="43">
        <v>3.96E-4</v>
      </c>
      <c r="I154" s="44">
        <v>3381.0</v>
      </c>
      <c r="J154" s="40"/>
      <c r="K154" s="45"/>
      <c r="L154" s="39"/>
      <c r="M154" s="46"/>
      <c r="N154" s="38"/>
      <c r="O154" s="47"/>
      <c r="P154" s="47"/>
      <c r="Q154" s="48"/>
      <c r="R154" s="47"/>
      <c r="S154" s="49"/>
      <c r="T154" s="47"/>
      <c r="U154" s="47"/>
      <c r="V154" s="47"/>
      <c r="W154" s="47">
        <v>1.0</v>
      </c>
      <c r="X154" s="50"/>
      <c r="Y154" s="47"/>
      <c r="Z154" s="47"/>
    </row>
    <row r="155" ht="15.75" customHeight="1">
      <c r="A155" s="38"/>
      <c r="B155" s="39"/>
      <c r="C155" s="39"/>
      <c r="D155" s="40"/>
      <c r="E155" s="41"/>
      <c r="F155" s="39" t="s">
        <v>466</v>
      </c>
      <c r="G155" s="42">
        <v>0.06</v>
      </c>
      <c r="H155" s="43">
        <v>1.5E-4</v>
      </c>
      <c r="I155" s="44">
        <v>3381.0</v>
      </c>
      <c r="J155" s="40"/>
      <c r="K155" s="45"/>
      <c r="L155" s="39"/>
      <c r="M155" s="46"/>
      <c r="N155" s="38"/>
      <c r="O155" s="47"/>
      <c r="P155" s="47"/>
      <c r="Q155" s="48"/>
      <c r="R155" s="47"/>
      <c r="S155" s="49"/>
      <c r="T155" s="47"/>
      <c r="U155" s="47"/>
      <c r="V155" s="47"/>
      <c r="W155" s="47">
        <v>1.0</v>
      </c>
      <c r="X155" s="50"/>
      <c r="Y155" s="47"/>
      <c r="Z155" s="47"/>
    </row>
    <row r="156" ht="15.75" customHeight="1">
      <c r="A156" s="38"/>
      <c r="B156" s="39"/>
      <c r="C156" s="39"/>
      <c r="D156" s="40"/>
      <c r="E156" s="41"/>
      <c r="F156" s="39" t="s">
        <v>467</v>
      </c>
      <c r="G156" s="42">
        <v>1.13</v>
      </c>
      <c r="H156" s="43">
        <v>0.004348</v>
      </c>
      <c r="I156" s="44">
        <v>3381.0</v>
      </c>
      <c r="J156" s="40"/>
      <c r="K156" s="45"/>
      <c r="L156" s="39"/>
      <c r="M156" s="46"/>
      <c r="N156" s="38"/>
      <c r="O156" s="47"/>
      <c r="P156" s="47"/>
      <c r="Q156" s="48"/>
      <c r="R156" s="47"/>
      <c r="S156" s="49"/>
      <c r="T156" s="47"/>
      <c r="U156" s="47"/>
      <c r="V156" s="47"/>
      <c r="W156" s="47">
        <v>1.0</v>
      </c>
      <c r="X156" s="50"/>
      <c r="Y156" s="47"/>
      <c r="Z156" s="47"/>
    </row>
    <row r="157" ht="15.75" customHeight="1">
      <c r="A157" s="38"/>
      <c r="B157" s="39"/>
      <c r="C157" s="39"/>
      <c r="D157" s="40"/>
      <c r="E157" s="41"/>
      <c r="F157" s="39" t="s">
        <v>468</v>
      </c>
      <c r="G157" s="42">
        <v>0.18</v>
      </c>
      <c r="H157" s="43">
        <v>7.8E-4</v>
      </c>
      <c r="I157" s="44">
        <v>3381.0</v>
      </c>
      <c r="J157" s="40"/>
      <c r="K157" s="45"/>
      <c r="L157" s="39"/>
      <c r="M157" s="46"/>
      <c r="N157" s="38"/>
      <c r="O157" s="47"/>
      <c r="P157" s="47"/>
      <c r="Q157" s="48"/>
      <c r="R157" s="47"/>
      <c r="S157" s="49"/>
      <c r="T157" s="47"/>
      <c r="U157" s="47"/>
      <c r="V157" s="47"/>
      <c r="W157" s="47">
        <v>1.0</v>
      </c>
      <c r="X157" s="50"/>
      <c r="Y157" s="47"/>
      <c r="Z157" s="47"/>
    </row>
    <row r="158" ht="15.75" customHeight="1">
      <c r="A158" s="38"/>
      <c r="B158" s="39"/>
      <c r="C158" s="39"/>
      <c r="D158" s="40"/>
      <c r="E158" s="41"/>
      <c r="F158" s="39" t="s">
        <v>469</v>
      </c>
      <c r="G158" s="42">
        <v>0.03</v>
      </c>
      <c r="H158" s="43">
        <v>1.08E-4</v>
      </c>
      <c r="I158" s="44">
        <v>3381.0</v>
      </c>
      <c r="J158" s="40"/>
      <c r="K158" s="45"/>
      <c r="L158" s="39"/>
      <c r="M158" s="46"/>
      <c r="N158" s="38"/>
      <c r="O158" s="47"/>
      <c r="P158" s="47"/>
      <c r="Q158" s="48"/>
      <c r="R158" s="47"/>
      <c r="S158" s="49"/>
      <c r="T158" s="47"/>
      <c r="U158" s="47"/>
      <c r="V158" s="47"/>
      <c r="W158" s="47">
        <v>1.0</v>
      </c>
      <c r="X158" s="50"/>
      <c r="Y158" s="47"/>
      <c r="Z158" s="47"/>
    </row>
    <row r="159" ht="15.75" customHeight="1">
      <c r="A159" s="38"/>
      <c r="B159" s="39"/>
      <c r="C159" s="39"/>
      <c r="D159" s="40"/>
      <c r="E159" s="41"/>
      <c r="F159" s="39" t="s">
        <v>470</v>
      </c>
      <c r="G159" s="42">
        <v>2.31</v>
      </c>
      <c r="H159" s="43">
        <v>0.012396</v>
      </c>
      <c r="I159" s="44">
        <v>3381.0</v>
      </c>
      <c r="J159" s="40"/>
      <c r="K159" s="45"/>
      <c r="L159" s="39"/>
      <c r="M159" s="46"/>
      <c r="N159" s="38"/>
      <c r="O159" s="47"/>
      <c r="P159" s="47"/>
      <c r="Q159" s="48"/>
      <c r="R159" s="47"/>
      <c r="S159" s="49"/>
      <c r="T159" s="47"/>
      <c r="U159" s="47"/>
      <c r="V159" s="47"/>
      <c r="W159" s="47">
        <v>1.0</v>
      </c>
      <c r="X159" s="50"/>
      <c r="Y159" s="47"/>
      <c r="Z159" s="47"/>
    </row>
    <row r="160" ht="15.75" customHeight="1">
      <c r="A160" s="38"/>
      <c r="B160" s="39"/>
      <c r="C160" s="39"/>
      <c r="D160" s="40"/>
      <c r="E160" s="41"/>
      <c r="F160" s="39" t="s">
        <v>471</v>
      </c>
      <c r="G160" s="42">
        <v>0.25</v>
      </c>
      <c r="H160" s="43">
        <v>9.02E-4</v>
      </c>
      <c r="I160" s="44">
        <v>3381.0</v>
      </c>
      <c r="J160" s="40"/>
      <c r="K160" s="45"/>
      <c r="L160" s="39"/>
      <c r="M160" s="46"/>
      <c r="N160" s="38"/>
      <c r="O160" s="47"/>
      <c r="P160" s="47"/>
      <c r="Q160" s="48"/>
      <c r="R160" s="47"/>
      <c r="S160" s="49"/>
      <c r="T160" s="47"/>
      <c r="U160" s="47"/>
      <c r="V160" s="47"/>
      <c r="W160" s="47">
        <v>1.0</v>
      </c>
      <c r="X160" s="50"/>
      <c r="Y160" s="47"/>
      <c r="Z160" s="47"/>
    </row>
    <row r="161" ht="15.75" customHeight="1">
      <c r="A161" s="38"/>
      <c r="B161" s="39"/>
      <c r="C161" s="39"/>
      <c r="D161" s="40"/>
      <c r="E161" s="41"/>
      <c r="F161" s="39" t="s">
        <v>472</v>
      </c>
      <c r="G161" s="42">
        <v>0.07</v>
      </c>
      <c r="H161" s="43">
        <v>3.64E-4</v>
      </c>
      <c r="I161" s="44">
        <v>3381.0</v>
      </c>
      <c r="J161" s="40"/>
      <c r="K161" s="45"/>
      <c r="L161" s="39"/>
      <c r="M161" s="46"/>
      <c r="N161" s="38"/>
      <c r="O161" s="47"/>
      <c r="P161" s="47"/>
      <c r="Q161" s="48"/>
      <c r="R161" s="47"/>
      <c r="S161" s="49"/>
      <c r="T161" s="47"/>
      <c r="U161" s="47"/>
      <c r="V161" s="47"/>
      <c r="W161" s="47">
        <v>1.0</v>
      </c>
      <c r="X161" s="50"/>
      <c r="Y161" s="47"/>
      <c r="Z161" s="47"/>
    </row>
    <row r="162" ht="15.75" customHeight="1">
      <c r="A162" s="38"/>
      <c r="B162" s="39"/>
      <c r="C162" s="39"/>
      <c r="D162" s="40"/>
      <c r="E162" s="41"/>
      <c r="F162" s="39" t="s">
        <v>473</v>
      </c>
      <c r="G162" s="42">
        <v>0.66</v>
      </c>
      <c r="H162" s="43">
        <v>0.003119</v>
      </c>
      <c r="I162" s="44">
        <v>3381.0</v>
      </c>
      <c r="J162" s="40"/>
      <c r="K162" s="45"/>
      <c r="L162" s="39"/>
      <c r="M162" s="46"/>
      <c r="N162" s="38"/>
      <c r="O162" s="47"/>
      <c r="P162" s="47"/>
      <c r="Q162" s="48"/>
      <c r="R162" s="47"/>
      <c r="S162" s="49"/>
      <c r="T162" s="47"/>
      <c r="U162" s="47"/>
      <c r="V162" s="47"/>
      <c r="W162" s="47">
        <v>1.0</v>
      </c>
      <c r="X162" s="50"/>
      <c r="Y162" s="47"/>
      <c r="Z162" s="47"/>
    </row>
    <row r="163" ht="15.75" customHeight="1">
      <c r="A163" s="38"/>
      <c r="B163" s="39"/>
      <c r="C163" s="39"/>
      <c r="D163" s="40"/>
      <c r="E163" s="41"/>
      <c r="F163" s="39" t="s">
        <v>474</v>
      </c>
      <c r="G163" s="42">
        <v>0.91</v>
      </c>
      <c r="H163" s="43">
        <v>0.003364</v>
      </c>
      <c r="I163" s="44">
        <v>3381.0</v>
      </c>
      <c r="J163" s="40"/>
      <c r="K163" s="45"/>
      <c r="L163" s="39"/>
      <c r="M163" s="46"/>
      <c r="N163" s="38"/>
      <c r="O163" s="47"/>
      <c r="P163" s="47"/>
      <c r="Q163" s="48"/>
      <c r="R163" s="47"/>
      <c r="S163" s="49"/>
      <c r="T163" s="47"/>
      <c r="U163" s="47"/>
      <c r="V163" s="47"/>
      <c r="W163" s="47">
        <v>1.0</v>
      </c>
      <c r="X163" s="50"/>
      <c r="Y163" s="47"/>
      <c r="Z163" s="47"/>
    </row>
    <row r="164" ht="15.75" customHeight="1">
      <c r="A164" s="38"/>
      <c r="B164" s="39"/>
      <c r="C164" s="39"/>
      <c r="D164" s="40"/>
      <c r="E164" s="41"/>
      <c r="F164" s="39" t="s">
        <v>475</v>
      </c>
      <c r="G164" s="42">
        <v>0.04</v>
      </c>
      <c r="H164" s="43">
        <v>1.76E-4</v>
      </c>
      <c r="I164" s="44">
        <v>3381.0</v>
      </c>
      <c r="J164" s="40"/>
      <c r="K164" s="45"/>
      <c r="L164" s="39"/>
      <c r="M164" s="46"/>
      <c r="N164" s="38"/>
      <c r="O164" s="47"/>
      <c r="P164" s="47"/>
      <c r="Q164" s="48"/>
      <c r="R164" s="47"/>
      <c r="S164" s="49"/>
      <c r="T164" s="47"/>
      <c r="U164" s="47"/>
      <c r="V164" s="47"/>
      <c r="W164" s="47">
        <v>1.0</v>
      </c>
      <c r="X164" s="50"/>
      <c r="Y164" s="47"/>
      <c r="Z164" s="47"/>
    </row>
    <row r="165" ht="15.75" customHeight="1">
      <c r="A165" s="38"/>
      <c r="B165" s="39" t="s">
        <v>476</v>
      </c>
      <c r="C165" s="39" t="s">
        <v>477</v>
      </c>
      <c r="D165" s="40">
        <v>3.6</v>
      </c>
      <c r="E165" s="41">
        <v>0.011543</v>
      </c>
      <c r="F165" s="39" t="s">
        <v>478</v>
      </c>
      <c r="G165" s="42">
        <v>1.73</v>
      </c>
      <c r="H165" s="43">
        <v>0.003036</v>
      </c>
      <c r="I165" s="44">
        <v>15595.0</v>
      </c>
      <c r="J165" s="40"/>
      <c r="K165" s="45" t="s">
        <v>479</v>
      </c>
      <c r="L165" s="39" t="s">
        <v>51</v>
      </c>
      <c r="M165" s="46" t="s">
        <v>480</v>
      </c>
      <c r="N165" s="38">
        <v>16518.0</v>
      </c>
      <c r="O165" s="47" t="s">
        <v>65</v>
      </c>
      <c r="P165" s="47">
        <v>6.285179798039E12</v>
      </c>
      <c r="Q165" s="48" t="s">
        <v>481</v>
      </c>
      <c r="R165" s="47" t="s">
        <v>55</v>
      </c>
      <c r="S165" s="49"/>
      <c r="T165" s="47" t="s">
        <v>56</v>
      </c>
      <c r="U165" s="47" t="s">
        <v>57</v>
      </c>
      <c r="V165" s="47"/>
      <c r="W165" s="47">
        <v>1.0</v>
      </c>
      <c r="X165" s="50"/>
      <c r="Y165" s="47"/>
      <c r="Z165" s="47"/>
    </row>
    <row r="166" ht="15.75" customHeight="1">
      <c r="A166" s="38"/>
      <c r="B166" s="39"/>
      <c r="C166" s="39"/>
      <c r="D166" s="40"/>
      <c r="E166" s="41"/>
      <c r="F166" s="39" t="s">
        <v>482</v>
      </c>
      <c r="G166" s="42">
        <v>0.65</v>
      </c>
      <c r="H166" s="43">
        <v>0.001375</v>
      </c>
      <c r="I166" s="44">
        <v>15595.0</v>
      </c>
      <c r="J166" s="40"/>
      <c r="K166" s="45"/>
      <c r="L166" s="39"/>
      <c r="M166" s="46"/>
      <c r="N166" s="38"/>
      <c r="O166" s="47"/>
      <c r="P166" s="47"/>
      <c r="Q166" s="48"/>
      <c r="R166" s="47"/>
      <c r="S166" s="49"/>
      <c r="T166" s="47"/>
      <c r="U166" s="47"/>
      <c r="V166" s="47"/>
      <c r="W166" s="47">
        <v>1.0</v>
      </c>
      <c r="X166" s="50"/>
      <c r="Y166" s="47"/>
      <c r="Z166" s="47"/>
    </row>
    <row r="167" ht="15.75" customHeight="1">
      <c r="A167" s="38"/>
      <c r="B167" s="39"/>
      <c r="C167" s="39"/>
      <c r="D167" s="40"/>
      <c r="E167" s="41"/>
      <c r="F167" s="39" t="s">
        <v>483</v>
      </c>
      <c r="G167" s="42">
        <v>1.12</v>
      </c>
      <c r="H167" s="43">
        <v>0.00598</v>
      </c>
      <c r="I167" s="44">
        <v>15595.0</v>
      </c>
      <c r="J167" s="40"/>
      <c r="K167" s="45"/>
      <c r="L167" s="39"/>
      <c r="M167" s="46"/>
      <c r="N167" s="38"/>
      <c r="O167" s="47"/>
      <c r="P167" s="47"/>
      <c r="Q167" s="48"/>
      <c r="R167" s="47"/>
      <c r="S167" s="49"/>
      <c r="T167" s="47"/>
      <c r="U167" s="47"/>
      <c r="V167" s="47"/>
      <c r="W167" s="47">
        <v>1.0</v>
      </c>
      <c r="X167" s="50"/>
      <c r="Y167" s="47"/>
      <c r="Z167" s="47"/>
    </row>
    <row r="168" ht="15.75" customHeight="1">
      <c r="A168" s="38"/>
      <c r="B168" s="39"/>
      <c r="C168" s="39"/>
      <c r="D168" s="40"/>
      <c r="E168" s="41"/>
      <c r="F168" s="39" t="s">
        <v>484</v>
      </c>
      <c r="G168" s="42">
        <v>0.1</v>
      </c>
      <c r="H168" s="43">
        <v>0.001152</v>
      </c>
      <c r="I168" s="44">
        <v>15595.0</v>
      </c>
      <c r="J168" s="40"/>
      <c r="K168" s="45"/>
      <c r="L168" s="39"/>
      <c r="M168" s="46"/>
      <c r="N168" s="38"/>
      <c r="O168" s="47"/>
      <c r="P168" s="47"/>
      <c r="Q168" s="48"/>
      <c r="R168" s="47"/>
      <c r="S168" s="49"/>
      <c r="T168" s="47"/>
      <c r="U168" s="47"/>
      <c r="V168" s="47"/>
      <c r="W168" s="47">
        <v>1.0</v>
      </c>
      <c r="X168" s="50"/>
      <c r="Y168" s="47"/>
      <c r="Z168" s="47"/>
    </row>
    <row r="169" ht="15.75" customHeight="1">
      <c r="A169" s="38"/>
      <c r="B169" s="39" t="s">
        <v>485</v>
      </c>
      <c r="C169" s="39" t="s">
        <v>486</v>
      </c>
      <c r="D169" s="40">
        <v>7.6</v>
      </c>
      <c r="E169" s="41">
        <v>0.019281</v>
      </c>
      <c r="F169" s="39" t="s">
        <v>487</v>
      </c>
      <c r="G169" s="42">
        <v>2.7</v>
      </c>
      <c r="H169" s="43">
        <v>0.010036</v>
      </c>
      <c r="I169" s="44">
        <v>308.0</v>
      </c>
      <c r="J169" s="40"/>
      <c r="K169" s="45" t="s">
        <v>488</v>
      </c>
      <c r="L169" s="39" t="s">
        <v>51</v>
      </c>
      <c r="M169" s="46" t="s">
        <v>489</v>
      </c>
      <c r="N169" s="38">
        <v>16454.0</v>
      </c>
      <c r="O169" s="47" t="s">
        <v>65</v>
      </c>
      <c r="P169" s="47">
        <v>8.9679099392E10</v>
      </c>
      <c r="Q169" s="48" t="s">
        <v>490</v>
      </c>
      <c r="R169" s="47" t="s">
        <v>55</v>
      </c>
      <c r="S169" s="49"/>
      <c r="T169" s="47" t="s">
        <v>56</v>
      </c>
      <c r="U169" s="47" t="s">
        <v>57</v>
      </c>
      <c r="V169" s="47"/>
      <c r="W169" s="47">
        <v>1.0</v>
      </c>
      <c r="X169" s="50"/>
      <c r="Y169" s="47"/>
      <c r="Z169" s="47"/>
    </row>
    <row r="170" ht="15.75" customHeight="1">
      <c r="A170" s="38"/>
      <c r="B170" s="39"/>
      <c r="C170" s="39"/>
      <c r="D170" s="40"/>
      <c r="E170" s="41"/>
      <c r="F170" s="39" t="s">
        <v>491</v>
      </c>
      <c r="G170" s="42">
        <v>0.17</v>
      </c>
      <c r="H170" s="43">
        <v>0.001134</v>
      </c>
      <c r="I170" s="44">
        <v>308.0</v>
      </c>
      <c r="J170" s="40"/>
      <c r="K170" s="45"/>
      <c r="L170" s="39"/>
      <c r="M170" s="46"/>
      <c r="N170" s="38"/>
      <c r="O170" s="47"/>
      <c r="P170" s="47"/>
      <c r="Q170" s="48"/>
      <c r="R170" s="47"/>
      <c r="S170" s="49"/>
      <c r="T170" s="47"/>
      <c r="U170" s="47"/>
      <c r="V170" s="47"/>
      <c r="W170" s="47">
        <v>1.0</v>
      </c>
      <c r="X170" s="50"/>
      <c r="Y170" s="47"/>
      <c r="Z170" s="47"/>
    </row>
    <row r="171" ht="15.75" customHeight="1">
      <c r="A171" s="38"/>
      <c r="B171" s="39"/>
      <c r="C171" s="39"/>
      <c r="D171" s="40"/>
      <c r="E171" s="41"/>
      <c r="F171" s="39" t="s">
        <v>492</v>
      </c>
      <c r="G171" s="42">
        <v>4.73</v>
      </c>
      <c r="H171" s="43">
        <v>0.008111</v>
      </c>
      <c r="I171" s="44">
        <v>308.0</v>
      </c>
      <c r="J171" s="40"/>
      <c r="K171" s="45"/>
      <c r="L171" s="39"/>
      <c r="M171" s="46"/>
      <c r="N171" s="38"/>
      <c r="O171" s="47"/>
      <c r="P171" s="47"/>
      <c r="Q171" s="48"/>
      <c r="R171" s="47"/>
      <c r="S171" s="49"/>
      <c r="T171" s="47"/>
      <c r="U171" s="47"/>
      <c r="V171" s="47"/>
      <c r="W171" s="47">
        <v>1.0</v>
      </c>
      <c r="X171" s="50"/>
      <c r="Y171" s="47"/>
      <c r="Z171" s="47"/>
    </row>
    <row r="172" ht="15.75" customHeight="1">
      <c r="A172" s="38"/>
      <c r="B172" s="39" t="s">
        <v>493</v>
      </c>
      <c r="C172" s="39" t="s">
        <v>494</v>
      </c>
      <c r="D172" s="40">
        <v>2.22</v>
      </c>
      <c r="E172" s="41">
        <v>0.006764</v>
      </c>
      <c r="F172" s="39" t="s">
        <v>495</v>
      </c>
      <c r="G172" s="42">
        <v>1.72</v>
      </c>
      <c r="H172" s="43">
        <v>0.006044</v>
      </c>
      <c r="I172" s="44">
        <v>12159.0</v>
      </c>
      <c r="J172" s="40"/>
      <c r="K172" s="45" t="s">
        <v>496</v>
      </c>
      <c r="L172" s="39" t="s">
        <v>51</v>
      </c>
      <c r="M172" s="46" t="s">
        <v>497</v>
      </c>
      <c r="N172" s="38">
        <v>16514.0</v>
      </c>
      <c r="O172" s="47" t="s">
        <v>65</v>
      </c>
      <c r="P172" s="47">
        <v>6.282260047002E12</v>
      </c>
      <c r="Q172" s="48" t="s">
        <v>498</v>
      </c>
      <c r="R172" s="47" t="s">
        <v>55</v>
      </c>
      <c r="S172" s="49"/>
      <c r="T172" s="47" t="s">
        <v>56</v>
      </c>
      <c r="U172" s="47" t="s">
        <v>57</v>
      </c>
      <c r="V172" s="47"/>
      <c r="W172" s="47">
        <v>1.0</v>
      </c>
      <c r="X172" s="50"/>
      <c r="Y172" s="47"/>
      <c r="Z172" s="47"/>
    </row>
    <row r="173" ht="15.75" customHeight="1">
      <c r="A173" s="38"/>
      <c r="B173" s="39"/>
      <c r="C173" s="39"/>
      <c r="D173" s="40"/>
      <c r="E173" s="41"/>
      <c r="F173" s="39" t="s">
        <v>499</v>
      </c>
      <c r="G173" s="42">
        <v>0.5</v>
      </c>
      <c r="H173" s="43">
        <v>7.2E-4</v>
      </c>
      <c r="I173" s="44">
        <v>12159.0</v>
      </c>
      <c r="J173" s="40"/>
      <c r="K173" s="45"/>
      <c r="L173" s="39"/>
      <c r="M173" s="46"/>
      <c r="N173" s="38"/>
      <c r="O173" s="47"/>
      <c r="P173" s="47"/>
      <c r="Q173" s="48"/>
      <c r="R173" s="47"/>
      <c r="S173" s="49"/>
      <c r="T173" s="47"/>
      <c r="U173" s="47"/>
      <c r="V173" s="47"/>
      <c r="W173" s="47">
        <v>1.0</v>
      </c>
      <c r="X173" s="50"/>
      <c r="Y173" s="47"/>
      <c r="Z173" s="47"/>
    </row>
    <row r="174" ht="15.75" customHeight="1">
      <c r="A174" s="38"/>
      <c r="B174" s="39" t="s">
        <v>500</v>
      </c>
      <c r="C174" s="39" t="s">
        <v>501</v>
      </c>
      <c r="D174" s="40">
        <v>0.7</v>
      </c>
      <c r="E174" s="41">
        <v>0.004891</v>
      </c>
      <c r="F174" s="39" t="s">
        <v>502</v>
      </c>
      <c r="G174" s="42">
        <v>0.7</v>
      </c>
      <c r="H174" s="43">
        <v>0.004891</v>
      </c>
      <c r="I174" s="44">
        <v>982.0</v>
      </c>
      <c r="J174" s="40"/>
      <c r="K174" s="45" t="s">
        <v>502</v>
      </c>
      <c r="L174" s="39" t="s">
        <v>51</v>
      </c>
      <c r="M174" s="46" t="s">
        <v>503</v>
      </c>
      <c r="N174" s="38">
        <v>17411.0</v>
      </c>
      <c r="O174" s="47" t="s">
        <v>53</v>
      </c>
      <c r="P174" s="47">
        <v>8.1314637235E10</v>
      </c>
      <c r="Q174" s="48" t="s">
        <v>504</v>
      </c>
      <c r="R174" s="47" t="s">
        <v>55</v>
      </c>
      <c r="S174" s="49"/>
      <c r="T174" s="47" t="s">
        <v>56</v>
      </c>
      <c r="U174" s="47" t="s">
        <v>57</v>
      </c>
      <c r="V174" s="47"/>
      <c r="W174" s="47">
        <v>1.0</v>
      </c>
      <c r="X174" s="50"/>
      <c r="Y174" s="47"/>
      <c r="Z174" s="47"/>
    </row>
    <row r="175" ht="15.75" customHeight="1">
      <c r="A175" s="38"/>
      <c r="B175" s="39" t="s">
        <v>505</v>
      </c>
      <c r="C175" s="39" t="s">
        <v>506</v>
      </c>
      <c r="D175" s="40">
        <v>0.54</v>
      </c>
      <c r="E175" s="41">
        <v>0.004556</v>
      </c>
      <c r="F175" s="39" t="s">
        <v>507</v>
      </c>
      <c r="G175" s="42">
        <v>0.17</v>
      </c>
      <c r="H175" s="43">
        <v>0.002156</v>
      </c>
      <c r="I175" s="44">
        <v>2944.0</v>
      </c>
      <c r="J175" s="40"/>
      <c r="K175" s="45" t="s">
        <v>508</v>
      </c>
      <c r="L175" s="39" t="s">
        <v>51</v>
      </c>
      <c r="M175" s="46" t="s">
        <v>509</v>
      </c>
      <c r="N175" s="38">
        <v>17415.0</v>
      </c>
      <c r="O175" s="47" t="s">
        <v>53</v>
      </c>
      <c r="P175" s="47">
        <v>8.7777708689E10</v>
      </c>
      <c r="Q175" s="48" t="s">
        <v>510</v>
      </c>
      <c r="R175" s="47" t="s">
        <v>55</v>
      </c>
      <c r="S175" s="49"/>
      <c r="T175" s="47" t="s">
        <v>56</v>
      </c>
      <c r="U175" s="47" t="s">
        <v>57</v>
      </c>
      <c r="V175" s="47"/>
      <c r="W175" s="47">
        <v>1.0</v>
      </c>
      <c r="X175" s="50"/>
      <c r="Y175" s="47"/>
      <c r="Z175" s="47"/>
    </row>
    <row r="176" ht="15.75" customHeight="1">
      <c r="A176" s="38"/>
      <c r="B176" s="39"/>
      <c r="C176" s="39"/>
      <c r="D176" s="40"/>
      <c r="E176" s="41"/>
      <c r="F176" s="39" t="s">
        <v>511</v>
      </c>
      <c r="G176" s="42">
        <v>0.37</v>
      </c>
      <c r="H176" s="43">
        <v>0.0024</v>
      </c>
      <c r="I176" s="44">
        <v>2944.0</v>
      </c>
      <c r="J176" s="40"/>
      <c r="K176" s="45"/>
      <c r="L176" s="39"/>
      <c r="M176" s="46"/>
      <c r="N176" s="38"/>
      <c r="O176" s="47"/>
      <c r="P176" s="47"/>
      <c r="Q176" s="48"/>
      <c r="R176" s="47"/>
      <c r="S176" s="49"/>
      <c r="T176" s="47"/>
      <c r="U176" s="47"/>
      <c r="V176" s="47"/>
      <c r="W176" s="47">
        <v>1.0</v>
      </c>
      <c r="X176" s="50"/>
      <c r="Y176" s="47"/>
      <c r="Z176" s="47"/>
    </row>
    <row r="177" ht="15.75" customHeight="1">
      <c r="A177" s="38"/>
      <c r="B177" s="39" t="s">
        <v>512</v>
      </c>
      <c r="C177" s="39" t="s">
        <v>513</v>
      </c>
      <c r="D177" s="40">
        <v>3.47</v>
      </c>
      <c r="E177" s="41">
        <v>0.051807</v>
      </c>
      <c r="F177" s="39" t="s">
        <v>514</v>
      </c>
      <c r="G177" s="42">
        <v>1.94</v>
      </c>
      <c r="H177" s="43">
        <v>0.011028</v>
      </c>
      <c r="I177" s="44">
        <v>13183.0</v>
      </c>
      <c r="J177" s="40"/>
      <c r="K177" s="45" t="s">
        <v>515</v>
      </c>
      <c r="L177" s="39" t="s">
        <v>51</v>
      </c>
      <c r="M177" s="46" t="s">
        <v>516</v>
      </c>
      <c r="N177" s="38">
        <v>16518.0</v>
      </c>
      <c r="O177" s="47" t="s">
        <v>65</v>
      </c>
      <c r="P177" s="47">
        <v>6.281381212509E12</v>
      </c>
      <c r="Q177" s="48" t="s">
        <v>517</v>
      </c>
      <c r="R177" s="47" t="s">
        <v>55</v>
      </c>
      <c r="S177" s="49"/>
      <c r="T177" s="47" t="s">
        <v>56</v>
      </c>
      <c r="U177" s="47" t="s">
        <v>57</v>
      </c>
      <c r="V177" s="47"/>
      <c r="W177" s="47">
        <v>1.0</v>
      </c>
      <c r="X177" s="50"/>
      <c r="Y177" s="47"/>
      <c r="Z177" s="47"/>
    </row>
    <row r="178" ht="15.75" customHeight="1">
      <c r="A178" s="38"/>
      <c r="B178" s="39"/>
      <c r="C178" s="39"/>
      <c r="D178" s="40"/>
      <c r="E178" s="41"/>
      <c r="F178" s="39" t="s">
        <v>518</v>
      </c>
      <c r="G178" s="42">
        <v>0.6</v>
      </c>
      <c r="H178" s="43">
        <v>0.037754</v>
      </c>
      <c r="I178" s="44">
        <v>13183.0</v>
      </c>
      <c r="J178" s="40"/>
      <c r="K178" s="45"/>
      <c r="L178" s="39"/>
      <c r="M178" s="46"/>
      <c r="N178" s="38"/>
      <c r="O178" s="47"/>
      <c r="P178" s="47"/>
      <c r="Q178" s="48"/>
      <c r="R178" s="47"/>
      <c r="S178" s="49"/>
      <c r="T178" s="47"/>
      <c r="U178" s="47"/>
      <c r="V178" s="47"/>
      <c r="W178" s="47">
        <v>1.0</v>
      </c>
      <c r="X178" s="50"/>
      <c r="Y178" s="47"/>
      <c r="Z178" s="47"/>
    </row>
    <row r="179" ht="15.75" customHeight="1">
      <c r="A179" s="38"/>
      <c r="B179" s="39"/>
      <c r="C179" s="39"/>
      <c r="D179" s="40"/>
      <c r="E179" s="41"/>
      <c r="F179" s="39" t="s">
        <v>519</v>
      </c>
      <c r="G179" s="42">
        <v>0.93</v>
      </c>
      <c r="H179" s="43">
        <v>0.003025</v>
      </c>
      <c r="I179" s="44">
        <v>13183.0</v>
      </c>
      <c r="J179" s="40"/>
      <c r="K179" s="45"/>
      <c r="L179" s="39"/>
      <c r="M179" s="46"/>
      <c r="N179" s="38"/>
      <c r="O179" s="47"/>
      <c r="P179" s="47"/>
      <c r="Q179" s="48"/>
      <c r="R179" s="47"/>
      <c r="S179" s="49"/>
      <c r="T179" s="47"/>
      <c r="U179" s="47"/>
      <c r="V179" s="47"/>
      <c r="W179" s="47">
        <v>1.0</v>
      </c>
      <c r="X179" s="50"/>
      <c r="Y179" s="47"/>
      <c r="Z179" s="47"/>
    </row>
    <row r="180" ht="15.75" customHeight="1">
      <c r="A180" s="38"/>
      <c r="B180" s="39" t="s">
        <v>520</v>
      </c>
      <c r="C180" s="39" t="s">
        <v>521</v>
      </c>
      <c r="D180" s="40">
        <v>2.98</v>
      </c>
      <c r="E180" s="41">
        <v>0.013036</v>
      </c>
      <c r="F180" s="39" t="s">
        <v>522</v>
      </c>
      <c r="G180" s="42">
        <v>0.5</v>
      </c>
      <c r="H180" s="43">
        <v>8.4E-4</v>
      </c>
      <c r="I180" s="44">
        <v>47.0</v>
      </c>
      <c r="J180" s="40"/>
      <c r="K180" s="45" t="s">
        <v>523</v>
      </c>
      <c r="L180" s="39" t="s">
        <v>51</v>
      </c>
      <c r="M180" s="46" t="s">
        <v>524</v>
      </c>
      <c r="N180" s="38">
        <v>13820.0</v>
      </c>
      <c r="O180" s="47" t="s">
        <v>72</v>
      </c>
      <c r="P180" s="47">
        <v>8.1299422172E10</v>
      </c>
      <c r="Q180" s="48" t="s">
        <v>525</v>
      </c>
      <c r="R180" s="47" t="s">
        <v>55</v>
      </c>
      <c r="S180" s="49"/>
      <c r="T180" s="47" t="s">
        <v>56</v>
      </c>
      <c r="U180" s="47" t="s">
        <v>57</v>
      </c>
      <c r="V180" s="47"/>
      <c r="W180" s="47">
        <v>1.0</v>
      </c>
      <c r="X180" s="50"/>
      <c r="Y180" s="47"/>
      <c r="Z180" s="47"/>
    </row>
    <row r="181" ht="15.75" customHeight="1">
      <c r="A181" s="38"/>
      <c r="B181" s="39"/>
      <c r="C181" s="39"/>
      <c r="D181" s="40"/>
      <c r="E181" s="41"/>
      <c r="F181" s="39" t="s">
        <v>526</v>
      </c>
      <c r="G181" s="42">
        <v>0.97</v>
      </c>
      <c r="H181" s="43">
        <v>0.005976</v>
      </c>
      <c r="I181" s="44">
        <v>47.0</v>
      </c>
      <c r="J181" s="40"/>
      <c r="K181" s="45"/>
      <c r="L181" s="39"/>
      <c r="M181" s="46"/>
      <c r="N181" s="38"/>
      <c r="O181" s="47"/>
      <c r="P181" s="47"/>
      <c r="Q181" s="48"/>
      <c r="R181" s="47"/>
      <c r="S181" s="49"/>
      <c r="T181" s="47"/>
      <c r="U181" s="47"/>
      <c r="V181" s="47"/>
      <c r="W181" s="47">
        <v>1.0</v>
      </c>
      <c r="X181" s="50"/>
      <c r="Y181" s="47"/>
      <c r="Z181" s="47"/>
    </row>
    <row r="182" ht="15.75" customHeight="1">
      <c r="A182" s="38"/>
      <c r="B182" s="39"/>
      <c r="C182" s="39"/>
      <c r="D182" s="40"/>
      <c r="E182" s="41"/>
      <c r="F182" s="39" t="s">
        <v>527</v>
      </c>
      <c r="G182" s="42">
        <v>1.51</v>
      </c>
      <c r="H182" s="43">
        <v>0.00622</v>
      </c>
      <c r="I182" s="44">
        <v>47.0</v>
      </c>
      <c r="J182" s="40"/>
      <c r="K182" s="45"/>
      <c r="L182" s="39"/>
      <c r="M182" s="46"/>
      <c r="N182" s="38"/>
      <c r="O182" s="47"/>
      <c r="P182" s="47"/>
      <c r="Q182" s="48"/>
      <c r="R182" s="47"/>
      <c r="S182" s="49"/>
      <c r="T182" s="47"/>
      <c r="U182" s="47"/>
      <c r="V182" s="47"/>
      <c r="W182" s="47">
        <v>1.0</v>
      </c>
      <c r="X182" s="50"/>
      <c r="Y182" s="47"/>
      <c r="Z182" s="47"/>
    </row>
    <row r="183" ht="15.75" customHeight="1">
      <c r="A183" s="38"/>
      <c r="B183" s="39" t="s">
        <v>528</v>
      </c>
      <c r="C183" s="39" t="s">
        <v>529</v>
      </c>
      <c r="D183" s="40">
        <v>16.58</v>
      </c>
      <c r="E183" s="41">
        <v>0.063716</v>
      </c>
      <c r="F183" s="39" t="s">
        <v>530</v>
      </c>
      <c r="G183" s="42">
        <v>0.34</v>
      </c>
      <c r="H183" s="43">
        <v>0.00236</v>
      </c>
      <c r="I183" s="44">
        <v>11803.0</v>
      </c>
      <c r="J183" s="40"/>
      <c r="K183" s="45" t="s">
        <v>531</v>
      </c>
      <c r="L183" s="39" t="s">
        <v>51</v>
      </c>
      <c r="M183" s="46" t="s">
        <v>532</v>
      </c>
      <c r="N183" s="38">
        <v>16517.0</v>
      </c>
      <c r="O183" s="47" t="s">
        <v>65</v>
      </c>
      <c r="P183" s="47">
        <v>6.281294178128E12</v>
      </c>
      <c r="Q183" s="48" t="s">
        <v>533</v>
      </c>
      <c r="R183" s="47" t="s">
        <v>55</v>
      </c>
      <c r="S183" s="49"/>
      <c r="T183" s="47" t="s">
        <v>56</v>
      </c>
      <c r="U183" s="47" t="s">
        <v>57</v>
      </c>
      <c r="V183" s="47"/>
      <c r="W183" s="47">
        <v>1.0</v>
      </c>
      <c r="X183" s="50"/>
      <c r="Y183" s="47"/>
      <c r="Z183" s="47"/>
    </row>
    <row r="184" ht="15.75" customHeight="1">
      <c r="A184" s="38"/>
      <c r="B184" s="39"/>
      <c r="C184" s="39"/>
      <c r="D184" s="40"/>
      <c r="E184" s="41"/>
      <c r="F184" s="39" t="s">
        <v>534</v>
      </c>
      <c r="G184" s="42">
        <v>16.24</v>
      </c>
      <c r="H184" s="43">
        <v>0.061356</v>
      </c>
      <c r="I184" s="44">
        <v>11803.0</v>
      </c>
      <c r="J184" s="40"/>
      <c r="K184" s="45"/>
      <c r="L184" s="39"/>
      <c r="M184" s="46"/>
      <c r="N184" s="38"/>
      <c r="O184" s="47"/>
      <c r="P184" s="47"/>
      <c r="Q184" s="48"/>
      <c r="R184" s="47"/>
      <c r="S184" s="49"/>
      <c r="T184" s="47"/>
      <c r="U184" s="47"/>
      <c r="V184" s="47"/>
      <c r="W184" s="47">
        <v>1.0</v>
      </c>
      <c r="X184" s="50"/>
      <c r="Y184" s="47"/>
      <c r="Z184" s="47"/>
    </row>
    <row r="185" ht="15.75" customHeight="1">
      <c r="A185" s="38"/>
      <c r="B185" s="39" t="s">
        <v>535</v>
      </c>
      <c r="C185" s="39" t="s">
        <v>536</v>
      </c>
      <c r="D185" s="40">
        <v>1.69</v>
      </c>
      <c r="E185" s="41">
        <v>0.007259</v>
      </c>
      <c r="F185" s="39" t="s">
        <v>537</v>
      </c>
      <c r="G185" s="42">
        <v>0.13</v>
      </c>
      <c r="H185" s="43">
        <v>8.91E-4</v>
      </c>
      <c r="I185" s="44">
        <v>455.0</v>
      </c>
      <c r="J185" s="40"/>
      <c r="K185" s="45" t="s">
        <v>538</v>
      </c>
      <c r="L185" s="39" t="s">
        <v>51</v>
      </c>
      <c r="M185" s="46" t="s">
        <v>539</v>
      </c>
      <c r="N185" s="38">
        <v>17413.0</v>
      </c>
      <c r="O185" s="47" t="s">
        <v>53</v>
      </c>
      <c r="P185" s="47">
        <v>8.1212834867E10</v>
      </c>
      <c r="Q185" s="48" t="s">
        <v>540</v>
      </c>
      <c r="R185" s="47" t="s">
        <v>55</v>
      </c>
      <c r="S185" s="49"/>
      <c r="T185" s="47" t="s">
        <v>56</v>
      </c>
      <c r="U185" s="47" t="s">
        <v>57</v>
      </c>
      <c r="V185" s="47"/>
      <c r="W185" s="47">
        <v>1.0</v>
      </c>
      <c r="X185" s="50"/>
      <c r="Y185" s="47"/>
      <c r="Z185" s="47"/>
    </row>
    <row r="186" ht="15.75" customHeight="1">
      <c r="A186" s="38"/>
      <c r="B186" s="39"/>
      <c r="C186" s="39"/>
      <c r="D186" s="40"/>
      <c r="E186" s="41"/>
      <c r="F186" s="39" t="s">
        <v>541</v>
      </c>
      <c r="G186" s="42">
        <v>0.28</v>
      </c>
      <c r="H186" s="43">
        <v>0.00196</v>
      </c>
      <c r="I186" s="44">
        <v>455.0</v>
      </c>
      <c r="J186" s="40"/>
      <c r="K186" s="45"/>
      <c r="L186" s="39"/>
      <c r="M186" s="46"/>
      <c r="N186" s="38"/>
      <c r="O186" s="47"/>
      <c r="P186" s="47"/>
      <c r="Q186" s="48"/>
      <c r="R186" s="47"/>
      <c r="S186" s="49"/>
      <c r="T186" s="47"/>
      <c r="U186" s="47"/>
      <c r="V186" s="47"/>
      <c r="W186" s="47">
        <v>1.0</v>
      </c>
      <c r="X186" s="50"/>
      <c r="Y186" s="47"/>
      <c r="Z186" s="47"/>
    </row>
    <row r="187" ht="15.75" customHeight="1">
      <c r="A187" s="38"/>
      <c r="B187" s="39"/>
      <c r="C187" s="39"/>
      <c r="D187" s="40"/>
      <c r="E187" s="41"/>
      <c r="F187" s="39" t="s">
        <v>542</v>
      </c>
      <c r="G187" s="42">
        <v>1.28</v>
      </c>
      <c r="H187" s="43">
        <v>0.004408</v>
      </c>
      <c r="I187" s="44">
        <v>455.0</v>
      </c>
      <c r="J187" s="40"/>
      <c r="K187" s="45"/>
      <c r="L187" s="39"/>
      <c r="M187" s="46"/>
      <c r="N187" s="38"/>
      <c r="O187" s="47"/>
      <c r="P187" s="47"/>
      <c r="Q187" s="48"/>
      <c r="R187" s="47"/>
      <c r="S187" s="49"/>
      <c r="T187" s="47"/>
      <c r="U187" s="47"/>
      <c r="V187" s="47"/>
      <c r="W187" s="47">
        <v>1.0</v>
      </c>
      <c r="X187" s="50"/>
      <c r="Y187" s="47"/>
      <c r="Z187" s="47"/>
    </row>
    <row r="188" ht="15.75" customHeight="1">
      <c r="A188" s="38"/>
      <c r="B188" s="39" t="s">
        <v>543</v>
      </c>
      <c r="C188" s="39" t="s">
        <v>544</v>
      </c>
      <c r="D188" s="40">
        <v>1.89</v>
      </c>
      <c r="E188" s="41">
        <v>0.006904</v>
      </c>
      <c r="F188" s="39" t="s">
        <v>545</v>
      </c>
      <c r="G188" s="42">
        <v>0.08</v>
      </c>
      <c r="H188" s="43">
        <v>2.04E-4</v>
      </c>
      <c r="I188" s="44">
        <v>13565.0</v>
      </c>
      <c r="J188" s="40"/>
      <c r="K188" s="45" t="s">
        <v>546</v>
      </c>
      <c r="L188" s="39" t="s">
        <v>51</v>
      </c>
      <c r="M188" s="46" t="s">
        <v>547</v>
      </c>
      <c r="N188" s="38">
        <v>13870.0</v>
      </c>
      <c r="O188" s="47" t="s">
        <v>72</v>
      </c>
      <c r="P188" s="47">
        <v>6.281212537641E12</v>
      </c>
      <c r="Q188" s="48" t="s">
        <v>548</v>
      </c>
      <c r="R188" s="47" t="s">
        <v>55</v>
      </c>
      <c r="S188" s="49"/>
      <c r="T188" s="47" t="s">
        <v>56</v>
      </c>
      <c r="U188" s="47" t="s">
        <v>57</v>
      </c>
      <c r="V188" s="47"/>
      <c r="W188" s="47">
        <v>1.0</v>
      </c>
      <c r="X188" s="50"/>
      <c r="Y188" s="47"/>
      <c r="Z188" s="47"/>
    </row>
    <row r="189" ht="15.75" customHeight="1">
      <c r="A189" s="38"/>
      <c r="B189" s="39"/>
      <c r="C189" s="39"/>
      <c r="D189" s="40"/>
      <c r="E189" s="41"/>
      <c r="F189" s="39" t="s">
        <v>549</v>
      </c>
      <c r="G189" s="42">
        <v>1.52</v>
      </c>
      <c r="H189" s="43">
        <v>0.006186</v>
      </c>
      <c r="I189" s="44">
        <v>13565.0</v>
      </c>
      <c r="J189" s="40"/>
      <c r="K189" s="45"/>
      <c r="L189" s="39"/>
      <c r="M189" s="46"/>
      <c r="N189" s="38"/>
      <c r="O189" s="47"/>
      <c r="P189" s="47"/>
      <c r="Q189" s="48"/>
      <c r="R189" s="47"/>
      <c r="S189" s="49"/>
      <c r="T189" s="47"/>
      <c r="U189" s="47"/>
      <c r="V189" s="47"/>
      <c r="W189" s="47">
        <v>1.0</v>
      </c>
      <c r="X189" s="50"/>
      <c r="Y189" s="47"/>
      <c r="Z189" s="47"/>
    </row>
    <row r="190" ht="15.75" customHeight="1">
      <c r="A190" s="38"/>
      <c r="B190" s="39"/>
      <c r="C190" s="39"/>
      <c r="D190" s="40"/>
      <c r="E190" s="41"/>
      <c r="F190" s="39" t="s">
        <v>550</v>
      </c>
      <c r="G190" s="42">
        <v>0.29</v>
      </c>
      <c r="H190" s="43">
        <v>5.14E-4</v>
      </c>
      <c r="I190" s="44">
        <v>13565.0</v>
      </c>
      <c r="J190" s="40"/>
      <c r="K190" s="45"/>
      <c r="L190" s="39"/>
      <c r="M190" s="46"/>
      <c r="N190" s="38"/>
      <c r="O190" s="47"/>
      <c r="P190" s="47"/>
      <c r="Q190" s="48"/>
      <c r="R190" s="47"/>
      <c r="S190" s="49"/>
      <c r="T190" s="47"/>
      <c r="U190" s="47"/>
      <c r="V190" s="47"/>
      <c r="W190" s="47">
        <v>1.0</v>
      </c>
      <c r="X190" s="50"/>
      <c r="Y190" s="47"/>
      <c r="Z190" s="47"/>
    </row>
    <row r="191" ht="15.75" customHeight="1">
      <c r="A191" s="38"/>
      <c r="B191" s="39" t="s">
        <v>551</v>
      </c>
      <c r="C191" s="39" t="s">
        <v>552</v>
      </c>
      <c r="D191" s="40">
        <v>4.27</v>
      </c>
      <c r="E191" s="41">
        <v>0.014162</v>
      </c>
      <c r="F191" s="39" t="s">
        <v>553</v>
      </c>
      <c r="G191" s="42">
        <v>0.29</v>
      </c>
      <c r="H191" s="43">
        <v>0.002104</v>
      </c>
      <c r="I191" s="44">
        <v>12628.0</v>
      </c>
      <c r="J191" s="40"/>
      <c r="K191" s="45" t="s">
        <v>554</v>
      </c>
      <c r="L191" s="39" t="s">
        <v>51</v>
      </c>
      <c r="M191" s="46" t="s">
        <v>555</v>
      </c>
      <c r="N191" s="38">
        <v>17432.0</v>
      </c>
      <c r="O191" s="47" t="s">
        <v>53</v>
      </c>
      <c r="P191" s="47">
        <v>6.281258881173E12</v>
      </c>
      <c r="Q191" s="48" t="s">
        <v>556</v>
      </c>
      <c r="R191" s="47" t="s">
        <v>55</v>
      </c>
      <c r="S191" s="49"/>
      <c r="T191" s="47" t="s">
        <v>56</v>
      </c>
      <c r="U191" s="47" t="s">
        <v>57</v>
      </c>
      <c r="V191" s="47"/>
      <c r="W191" s="47">
        <v>1.0</v>
      </c>
      <c r="X191" s="50"/>
      <c r="Y191" s="47"/>
      <c r="Z191" s="47"/>
    </row>
    <row r="192" ht="15.75" customHeight="1">
      <c r="A192" s="38"/>
      <c r="B192" s="39"/>
      <c r="C192" s="39"/>
      <c r="D192" s="40"/>
      <c r="E192" s="41"/>
      <c r="F192" s="39" t="s">
        <v>557</v>
      </c>
      <c r="G192" s="42">
        <v>3.75</v>
      </c>
      <c r="H192" s="43">
        <v>0.011174</v>
      </c>
      <c r="I192" s="44">
        <v>12628.0</v>
      </c>
      <c r="J192" s="40"/>
      <c r="K192" s="45"/>
      <c r="L192" s="39"/>
      <c r="M192" s="46"/>
      <c r="N192" s="38"/>
      <c r="O192" s="47"/>
      <c r="P192" s="47"/>
      <c r="Q192" s="48"/>
      <c r="R192" s="47"/>
      <c r="S192" s="49"/>
      <c r="T192" s="47"/>
      <c r="U192" s="47"/>
      <c r="V192" s="47"/>
      <c r="W192" s="47">
        <v>1.0</v>
      </c>
      <c r="X192" s="50"/>
      <c r="Y192" s="47"/>
      <c r="Z192" s="47"/>
    </row>
    <row r="193" ht="15.75" customHeight="1">
      <c r="A193" s="38"/>
      <c r="B193" s="39"/>
      <c r="C193" s="39"/>
      <c r="D193" s="40"/>
      <c r="E193" s="41"/>
      <c r="F193" s="39" t="s">
        <v>558</v>
      </c>
      <c r="G193" s="42">
        <v>0.23</v>
      </c>
      <c r="H193" s="43">
        <v>8.84E-4</v>
      </c>
      <c r="I193" s="44">
        <v>12628.0</v>
      </c>
      <c r="J193" s="40"/>
      <c r="K193" s="45"/>
      <c r="L193" s="39"/>
      <c r="M193" s="46"/>
      <c r="N193" s="38"/>
      <c r="O193" s="47"/>
      <c r="P193" s="47"/>
      <c r="Q193" s="48"/>
      <c r="R193" s="47"/>
      <c r="S193" s="49"/>
      <c r="T193" s="47"/>
      <c r="U193" s="47"/>
      <c r="V193" s="47"/>
      <c r="W193" s="47">
        <v>1.0</v>
      </c>
      <c r="X193" s="50"/>
      <c r="Y193" s="47"/>
      <c r="Z193" s="47"/>
    </row>
    <row r="194" ht="15.75" customHeight="1">
      <c r="A194" s="38"/>
      <c r="B194" s="39" t="s">
        <v>559</v>
      </c>
      <c r="C194" s="39" t="s">
        <v>560</v>
      </c>
      <c r="D194" s="40">
        <v>1.87</v>
      </c>
      <c r="E194" s="41">
        <v>0.005049</v>
      </c>
      <c r="F194" s="39" t="s">
        <v>561</v>
      </c>
      <c r="G194" s="42">
        <v>0.74</v>
      </c>
      <c r="H194" s="43">
        <v>0.00125</v>
      </c>
      <c r="I194" s="44">
        <v>1455.0</v>
      </c>
      <c r="J194" s="40"/>
      <c r="K194" s="45" t="s">
        <v>562</v>
      </c>
      <c r="L194" s="39" t="s">
        <v>51</v>
      </c>
      <c r="M194" s="46" t="s">
        <v>563</v>
      </c>
      <c r="N194" s="38">
        <v>17411.0</v>
      </c>
      <c r="O194" s="47" t="s">
        <v>53</v>
      </c>
      <c r="P194" s="47">
        <v>8.1314967799E10</v>
      </c>
      <c r="Q194" s="48" t="s">
        <v>564</v>
      </c>
      <c r="R194" s="47" t="s">
        <v>55</v>
      </c>
      <c r="S194" s="49"/>
      <c r="T194" s="47" t="s">
        <v>56</v>
      </c>
      <c r="U194" s="47" t="s">
        <v>57</v>
      </c>
      <c r="V194" s="47"/>
      <c r="W194" s="47">
        <v>1.0</v>
      </c>
      <c r="X194" s="50"/>
      <c r="Y194" s="47"/>
      <c r="Z194" s="47"/>
    </row>
    <row r="195" ht="15.75" customHeight="1">
      <c r="A195" s="38"/>
      <c r="B195" s="39"/>
      <c r="C195" s="39"/>
      <c r="D195" s="40"/>
      <c r="E195" s="41"/>
      <c r="F195" s="39" t="s">
        <v>565</v>
      </c>
      <c r="G195" s="42">
        <v>1.13</v>
      </c>
      <c r="H195" s="43">
        <v>0.003799</v>
      </c>
      <c r="I195" s="44">
        <v>1455.0</v>
      </c>
      <c r="J195" s="40"/>
      <c r="K195" s="45"/>
      <c r="L195" s="39"/>
      <c r="M195" s="46"/>
      <c r="N195" s="38"/>
      <c r="O195" s="47"/>
      <c r="P195" s="47"/>
      <c r="Q195" s="48"/>
      <c r="R195" s="47"/>
      <c r="S195" s="49"/>
      <c r="T195" s="47"/>
      <c r="U195" s="47"/>
      <c r="V195" s="47"/>
      <c r="W195" s="47">
        <v>1.0</v>
      </c>
      <c r="X195" s="50"/>
      <c r="Y195" s="47"/>
      <c r="Z195" s="47"/>
    </row>
    <row r="196" ht="15.75" customHeight="1">
      <c r="A196" s="38"/>
      <c r="B196" s="39" t="s">
        <v>566</v>
      </c>
      <c r="C196" s="39" t="s">
        <v>567</v>
      </c>
      <c r="D196" s="40">
        <v>0.78</v>
      </c>
      <c r="E196" s="41">
        <v>0.002318</v>
      </c>
      <c r="F196" s="39" t="s">
        <v>568</v>
      </c>
      <c r="G196" s="42">
        <v>0.78</v>
      </c>
      <c r="H196" s="43">
        <v>0.002318</v>
      </c>
      <c r="I196" s="44">
        <v>15012.0</v>
      </c>
      <c r="J196" s="40"/>
      <c r="K196" s="45" t="s">
        <v>568</v>
      </c>
      <c r="L196" s="39" t="s">
        <v>51</v>
      </c>
      <c r="M196" s="46" t="s">
        <v>569</v>
      </c>
      <c r="N196" s="38">
        <v>16426.0</v>
      </c>
      <c r="O196" s="47" t="s">
        <v>65</v>
      </c>
      <c r="P196" s="47">
        <v>6.281317508983E12</v>
      </c>
      <c r="Q196" s="48" t="s">
        <v>570</v>
      </c>
      <c r="R196" s="47" t="s">
        <v>55</v>
      </c>
      <c r="S196" s="49"/>
      <c r="T196" s="47" t="s">
        <v>56</v>
      </c>
      <c r="U196" s="47" t="s">
        <v>57</v>
      </c>
      <c r="V196" s="47"/>
      <c r="W196" s="47">
        <v>1.0</v>
      </c>
      <c r="X196" s="50"/>
      <c r="Y196" s="47"/>
      <c r="Z196" s="47"/>
    </row>
    <row r="197" ht="15.75" customHeight="1">
      <c r="A197" s="38"/>
      <c r="B197" s="39" t="s">
        <v>571</v>
      </c>
      <c r="C197" s="39" t="s">
        <v>572</v>
      </c>
      <c r="D197" s="40">
        <v>0.3</v>
      </c>
      <c r="E197" s="41">
        <v>8.17E-4</v>
      </c>
      <c r="F197" s="39" t="s">
        <v>573</v>
      </c>
      <c r="G197" s="42">
        <v>0.05</v>
      </c>
      <c r="H197" s="43">
        <v>4.21E-4</v>
      </c>
      <c r="I197" s="44">
        <v>3142.0</v>
      </c>
      <c r="J197" s="40"/>
      <c r="K197" s="45" t="s">
        <v>574</v>
      </c>
      <c r="L197" s="39" t="s">
        <v>51</v>
      </c>
      <c r="M197" s="46" t="s">
        <v>575</v>
      </c>
      <c r="N197" s="38">
        <v>16455.0</v>
      </c>
      <c r="O197" s="47" t="s">
        <v>65</v>
      </c>
      <c r="P197" s="47">
        <v>8.1297257101E10</v>
      </c>
      <c r="Q197" s="48" t="s">
        <v>576</v>
      </c>
      <c r="R197" s="47" t="s">
        <v>55</v>
      </c>
      <c r="S197" s="49"/>
      <c r="T197" s="47" t="s">
        <v>56</v>
      </c>
      <c r="U197" s="47" t="s">
        <v>57</v>
      </c>
      <c r="V197" s="47"/>
      <c r="W197" s="47">
        <v>1.0</v>
      </c>
      <c r="X197" s="50"/>
      <c r="Y197" s="47"/>
      <c r="Z197" s="47"/>
    </row>
    <row r="198" ht="15.75" customHeight="1">
      <c r="A198" s="38"/>
      <c r="B198" s="39"/>
      <c r="C198" s="39"/>
      <c r="D198" s="40"/>
      <c r="E198" s="41"/>
      <c r="F198" s="39" t="s">
        <v>577</v>
      </c>
      <c r="G198" s="42">
        <v>0.25</v>
      </c>
      <c r="H198" s="43">
        <v>3.96E-4</v>
      </c>
      <c r="I198" s="44">
        <v>3142.0</v>
      </c>
      <c r="J198" s="40"/>
      <c r="K198" s="45"/>
      <c r="L198" s="39"/>
      <c r="M198" s="46"/>
      <c r="N198" s="38"/>
      <c r="O198" s="47"/>
      <c r="P198" s="47"/>
      <c r="Q198" s="48"/>
      <c r="R198" s="47"/>
      <c r="S198" s="49"/>
      <c r="T198" s="47"/>
      <c r="U198" s="47"/>
      <c r="V198" s="47"/>
      <c r="W198" s="47">
        <v>1.0</v>
      </c>
      <c r="X198" s="50"/>
      <c r="Y198" s="47"/>
      <c r="Z198" s="47"/>
    </row>
    <row r="199" ht="15.75" customHeight="1">
      <c r="A199" s="38"/>
      <c r="B199" s="39" t="s">
        <v>578</v>
      </c>
      <c r="C199" s="39" t="s">
        <v>579</v>
      </c>
      <c r="D199" s="40">
        <v>6.29</v>
      </c>
      <c r="E199" s="41">
        <v>0.00434</v>
      </c>
      <c r="F199" s="39" t="s">
        <v>580</v>
      </c>
      <c r="G199" s="42">
        <v>4.62</v>
      </c>
      <c r="H199" s="43">
        <v>0.001024</v>
      </c>
      <c r="I199" s="44">
        <v>1139.0</v>
      </c>
      <c r="J199" s="40"/>
      <c r="K199" s="45" t="s">
        <v>581</v>
      </c>
      <c r="L199" s="39" t="s">
        <v>51</v>
      </c>
      <c r="M199" s="46" t="s">
        <v>582</v>
      </c>
      <c r="N199" s="38">
        <v>16512.0</v>
      </c>
      <c r="O199" s="47" t="s">
        <v>65</v>
      </c>
      <c r="P199" s="47">
        <v>8.119988989E9</v>
      </c>
      <c r="Q199" s="48" t="s">
        <v>583</v>
      </c>
      <c r="R199" s="47" t="s">
        <v>55</v>
      </c>
      <c r="S199" s="49"/>
      <c r="T199" s="47" t="s">
        <v>56</v>
      </c>
      <c r="U199" s="47" t="s">
        <v>57</v>
      </c>
      <c r="V199" s="47"/>
      <c r="W199" s="47">
        <v>1.0</v>
      </c>
      <c r="X199" s="50"/>
      <c r="Y199" s="47"/>
      <c r="Z199" s="47"/>
    </row>
    <row r="200" ht="15.75" customHeight="1">
      <c r="A200" s="38"/>
      <c r="B200" s="39"/>
      <c r="C200" s="39"/>
      <c r="D200" s="40"/>
      <c r="E200" s="41"/>
      <c r="F200" s="39" t="s">
        <v>584</v>
      </c>
      <c r="G200" s="42">
        <v>1.67</v>
      </c>
      <c r="H200" s="43">
        <v>0.003316</v>
      </c>
      <c r="I200" s="44">
        <v>1139.0</v>
      </c>
      <c r="J200" s="40"/>
      <c r="K200" s="45"/>
      <c r="L200" s="39"/>
      <c r="M200" s="46"/>
      <c r="N200" s="38"/>
      <c r="O200" s="47"/>
      <c r="P200" s="47"/>
      <c r="Q200" s="48"/>
      <c r="R200" s="47"/>
      <c r="S200" s="49"/>
      <c r="T200" s="47"/>
      <c r="U200" s="47"/>
      <c r="V200" s="47"/>
      <c r="W200" s="47">
        <v>1.0</v>
      </c>
      <c r="X200" s="50"/>
      <c r="Y200" s="47"/>
      <c r="Z200" s="47"/>
    </row>
    <row r="201" ht="15.75" customHeight="1">
      <c r="A201" s="38"/>
      <c r="B201" s="39" t="s">
        <v>585</v>
      </c>
      <c r="C201" s="39" t="s">
        <v>586</v>
      </c>
      <c r="D201" s="40">
        <v>1.23</v>
      </c>
      <c r="E201" s="41">
        <v>0.00353</v>
      </c>
      <c r="F201" s="39" t="s">
        <v>587</v>
      </c>
      <c r="G201" s="42">
        <v>1.23</v>
      </c>
      <c r="H201" s="43">
        <v>0.00353</v>
      </c>
      <c r="I201" s="44">
        <v>15548.0</v>
      </c>
      <c r="J201" s="40"/>
      <c r="K201" s="45" t="s">
        <v>587</v>
      </c>
      <c r="L201" s="39" t="s">
        <v>51</v>
      </c>
      <c r="M201" s="46" t="s">
        <v>588</v>
      </c>
      <c r="N201" s="38">
        <v>16516.0</v>
      </c>
      <c r="O201" s="47" t="s">
        <v>65</v>
      </c>
      <c r="P201" s="47">
        <v>6.282298501719E12</v>
      </c>
      <c r="Q201" s="48" t="s">
        <v>589</v>
      </c>
      <c r="R201" s="47" t="s">
        <v>55</v>
      </c>
      <c r="S201" s="49"/>
      <c r="T201" s="47" t="s">
        <v>56</v>
      </c>
      <c r="U201" s="47" t="s">
        <v>57</v>
      </c>
      <c r="V201" s="47"/>
      <c r="W201" s="47">
        <v>1.0</v>
      </c>
      <c r="X201" s="50"/>
      <c r="Y201" s="47"/>
      <c r="Z201" s="47"/>
    </row>
    <row r="202" ht="15.75" customHeight="1">
      <c r="A202" s="38"/>
      <c r="B202" s="39" t="s">
        <v>590</v>
      </c>
      <c r="C202" s="39" t="s">
        <v>591</v>
      </c>
      <c r="D202" s="40">
        <v>0.85</v>
      </c>
      <c r="E202" s="41">
        <v>0.00378</v>
      </c>
      <c r="F202" s="39" t="s">
        <v>592</v>
      </c>
      <c r="G202" s="42">
        <v>0.85</v>
      </c>
      <c r="H202" s="43">
        <v>0.00378</v>
      </c>
      <c r="I202" s="44">
        <v>15948.0</v>
      </c>
      <c r="J202" s="40"/>
      <c r="K202" s="45" t="s">
        <v>592</v>
      </c>
      <c r="L202" s="39" t="s">
        <v>51</v>
      </c>
      <c r="M202" s="46" t="s">
        <v>593</v>
      </c>
      <c r="N202" s="38">
        <v>16426.0</v>
      </c>
      <c r="O202" s="47" t="s">
        <v>65</v>
      </c>
      <c r="P202" s="47">
        <v>6.28118080183E11</v>
      </c>
      <c r="Q202" s="48" t="s">
        <v>594</v>
      </c>
      <c r="R202" s="47" t="s">
        <v>55</v>
      </c>
      <c r="S202" s="49"/>
      <c r="T202" s="47" t="s">
        <v>56</v>
      </c>
      <c r="U202" s="47" t="s">
        <v>57</v>
      </c>
      <c r="V202" s="47"/>
      <c r="W202" s="47">
        <v>1.0</v>
      </c>
      <c r="X202" s="50"/>
      <c r="Y202" s="47"/>
      <c r="Z202" s="47"/>
    </row>
    <row r="203" ht="15.75" customHeight="1">
      <c r="A203" s="38"/>
      <c r="B203" s="39" t="s">
        <v>595</v>
      </c>
      <c r="C203" s="39" t="s">
        <v>596</v>
      </c>
      <c r="D203" s="40">
        <v>8.34</v>
      </c>
      <c r="E203" s="41">
        <v>0.023098</v>
      </c>
      <c r="F203" s="39" t="s">
        <v>597</v>
      </c>
      <c r="G203" s="42">
        <v>7.69</v>
      </c>
      <c r="H203" s="43">
        <v>0.019774</v>
      </c>
      <c r="I203" s="44">
        <v>103.0</v>
      </c>
      <c r="J203" s="40"/>
      <c r="K203" s="45" t="s">
        <v>598</v>
      </c>
      <c r="L203" s="39" t="s">
        <v>51</v>
      </c>
      <c r="M203" s="46" t="s">
        <v>599</v>
      </c>
      <c r="N203" s="38">
        <v>17411.0</v>
      </c>
      <c r="O203" s="47" t="s">
        <v>53</v>
      </c>
      <c r="P203" s="47">
        <v>6.281295719194E12</v>
      </c>
      <c r="Q203" s="48" t="s">
        <v>600</v>
      </c>
      <c r="R203" s="47" t="s">
        <v>55</v>
      </c>
      <c r="S203" s="49"/>
      <c r="T203" s="47" t="s">
        <v>56</v>
      </c>
      <c r="U203" s="47" t="s">
        <v>57</v>
      </c>
      <c r="V203" s="47"/>
      <c r="W203" s="47">
        <v>1.0</v>
      </c>
      <c r="X203" s="50"/>
      <c r="Y203" s="47"/>
      <c r="Z203" s="47"/>
    </row>
    <row r="204" ht="15.75" customHeight="1">
      <c r="A204" s="38"/>
      <c r="B204" s="39"/>
      <c r="C204" s="39"/>
      <c r="D204" s="40"/>
      <c r="E204" s="41"/>
      <c r="F204" s="39" t="s">
        <v>601</v>
      </c>
      <c r="G204" s="42">
        <v>0.18</v>
      </c>
      <c r="H204" s="43">
        <v>6.48E-4</v>
      </c>
      <c r="I204" s="44">
        <v>103.0</v>
      </c>
      <c r="J204" s="40"/>
      <c r="K204" s="45"/>
      <c r="L204" s="39"/>
      <c r="M204" s="46"/>
      <c r="N204" s="38"/>
      <c r="O204" s="47"/>
      <c r="P204" s="47"/>
      <c r="Q204" s="48"/>
      <c r="R204" s="47"/>
      <c r="S204" s="49"/>
      <c r="T204" s="47"/>
      <c r="U204" s="47"/>
      <c r="V204" s="47"/>
      <c r="W204" s="47">
        <v>1.0</v>
      </c>
      <c r="X204" s="50"/>
      <c r="Y204" s="47"/>
      <c r="Z204" s="47"/>
    </row>
    <row r="205" ht="15.75" customHeight="1">
      <c r="A205" s="38"/>
      <c r="B205" s="39"/>
      <c r="C205" s="39"/>
      <c r="D205" s="40"/>
      <c r="E205" s="41"/>
      <c r="F205" s="39" t="s">
        <v>602</v>
      </c>
      <c r="G205" s="42">
        <v>0.29</v>
      </c>
      <c r="H205" s="43">
        <v>0.001056</v>
      </c>
      <c r="I205" s="44">
        <v>103.0</v>
      </c>
      <c r="J205" s="40"/>
      <c r="K205" s="45"/>
      <c r="L205" s="39"/>
      <c r="M205" s="46"/>
      <c r="N205" s="38"/>
      <c r="O205" s="47"/>
      <c r="P205" s="47"/>
      <c r="Q205" s="48"/>
      <c r="R205" s="47"/>
      <c r="S205" s="49"/>
      <c r="T205" s="47"/>
      <c r="U205" s="47"/>
      <c r="V205" s="47"/>
      <c r="W205" s="47">
        <v>1.0</v>
      </c>
      <c r="X205" s="50"/>
      <c r="Y205" s="47"/>
      <c r="Z205" s="47"/>
    </row>
    <row r="206" ht="15.75" customHeight="1">
      <c r="A206" s="38"/>
      <c r="B206" s="39"/>
      <c r="C206" s="39"/>
      <c r="D206" s="40"/>
      <c r="E206" s="41"/>
      <c r="F206" s="39" t="s">
        <v>603</v>
      </c>
      <c r="G206" s="42">
        <v>0.18</v>
      </c>
      <c r="H206" s="43">
        <v>0.00162</v>
      </c>
      <c r="I206" s="44">
        <v>103.0</v>
      </c>
      <c r="J206" s="40"/>
      <c r="K206" s="45"/>
      <c r="L206" s="39"/>
      <c r="M206" s="46"/>
      <c r="N206" s="38"/>
      <c r="O206" s="47"/>
      <c r="P206" s="47"/>
      <c r="Q206" s="48"/>
      <c r="R206" s="47"/>
      <c r="S206" s="49"/>
      <c r="T206" s="47"/>
      <c r="U206" s="47"/>
      <c r="V206" s="47"/>
      <c r="W206" s="47">
        <v>1.0</v>
      </c>
      <c r="X206" s="50"/>
      <c r="Y206" s="47"/>
      <c r="Z206" s="47"/>
    </row>
    <row r="207" ht="15.75" customHeight="1">
      <c r="A207" s="38"/>
      <c r="B207" s="39" t="s">
        <v>604</v>
      </c>
      <c r="C207" s="39" t="s">
        <v>605</v>
      </c>
      <c r="D207" s="40">
        <v>2.08</v>
      </c>
      <c r="E207" s="41">
        <v>0.009973</v>
      </c>
      <c r="F207" s="39" t="s">
        <v>606</v>
      </c>
      <c r="G207" s="42">
        <v>0.12</v>
      </c>
      <c r="H207" s="43">
        <v>8.4E-4</v>
      </c>
      <c r="I207" s="44">
        <v>8423.0</v>
      </c>
      <c r="J207" s="40"/>
      <c r="K207" s="45" t="s">
        <v>607</v>
      </c>
      <c r="L207" s="39" t="s">
        <v>51</v>
      </c>
      <c r="M207" s="46" t="s">
        <v>608</v>
      </c>
      <c r="N207" s="38">
        <v>13840.0</v>
      </c>
      <c r="O207" s="47" t="s">
        <v>72</v>
      </c>
      <c r="P207" s="47">
        <v>8.1398912227E10</v>
      </c>
      <c r="Q207" s="48" t="s">
        <v>609</v>
      </c>
      <c r="R207" s="47" t="s">
        <v>55</v>
      </c>
      <c r="S207" s="49"/>
      <c r="T207" s="47" t="s">
        <v>56</v>
      </c>
      <c r="U207" s="47" t="s">
        <v>57</v>
      </c>
      <c r="V207" s="47"/>
      <c r="W207" s="47">
        <v>1.0</v>
      </c>
      <c r="X207" s="50"/>
      <c r="Y207" s="47"/>
      <c r="Z207" s="47"/>
    </row>
    <row r="208" ht="15.75" customHeight="1">
      <c r="A208" s="38"/>
      <c r="B208" s="39"/>
      <c r="C208" s="39"/>
      <c r="D208" s="40"/>
      <c r="E208" s="41"/>
      <c r="F208" s="39" t="s">
        <v>610</v>
      </c>
      <c r="G208" s="42">
        <v>1.61</v>
      </c>
      <c r="H208" s="43">
        <v>0.006817</v>
      </c>
      <c r="I208" s="44">
        <v>8423.0</v>
      </c>
      <c r="J208" s="40"/>
      <c r="K208" s="45"/>
      <c r="L208" s="39"/>
      <c r="M208" s="46"/>
      <c r="N208" s="38"/>
      <c r="O208" s="47"/>
      <c r="P208" s="47"/>
      <c r="Q208" s="48"/>
      <c r="R208" s="47"/>
      <c r="S208" s="49"/>
      <c r="T208" s="47"/>
      <c r="U208" s="47"/>
      <c r="V208" s="47"/>
      <c r="W208" s="47">
        <v>1.0</v>
      </c>
      <c r="X208" s="50"/>
      <c r="Y208" s="47"/>
      <c r="Z208" s="47"/>
    </row>
    <row r="209" ht="15.75" customHeight="1">
      <c r="A209" s="38"/>
      <c r="B209" s="39"/>
      <c r="C209" s="39"/>
      <c r="D209" s="40"/>
      <c r="E209" s="41"/>
      <c r="F209" s="39" t="s">
        <v>611</v>
      </c>
      <c r="G209" s="42">
        <v>0.35</v>
      </c>
      <c r="H209" s="43">
        <v>0.002316</v>
      </c>
      <c r="I209" s="44">
        <v>8423.0</v>
      </c>
      <c r="J209" s="40"/>
      <c r="K209" s="45"/>
      <c r="L209" s="39"/>
      <c r="M209" s="46"/>
      <c r="N209" s="38"/>
      <c r="O209" s="47"/>
      <c r="P209" s="47"/>
      <c r="Q209" s="48"/>
      <c r="R209" s="47"/>
      <c r="S209" s="49"/>
      <c r="T209" s="47"/>
      <c r="U209" s="47"/>
      <c r="V209" s="47"/>
      <c r="W209" s="47">
        <v>1.0</v>
      </c>
      <c r="X209" s="50"/>
      <c r="Y209" s="47"/>
      <c r="Z209" s="47"/>
    </row>
    <row r="210" ht="15.75" customHeight="1">
      <c r="A210" s="38"/>
      <c r="B210" s="39" t="s">
        <v>612</v>
      </c>
      <c r="C210" s="39" t="s">
        <v>613</v>
      </c>
      <c r="D210" s="40">
        <v>0.73</v>
      </c>
      <c r="E210" s="41">
        <v>0.005294</v>
      </c>
      <c r="F210" s="39" t="s">
        <v>614</v>
      </c>
      <c r="G210" s="42">
        <v>0.73</v>
      </c>
      <c r="H210" s="43">
        <v>0.005294</v>
      </c>
      <c r="I210" s="44">
        <v>11186.0</v>
      </c>
      <c r="J210" s="40"/>
      <c r="K210" s="45" t="s">
        <v>614</v>
      </c>
      <c r="L210" s="39" t="s">
        <v>51</v>
      </c>
      <c r="M210" s="46" t="s">
        <v>615</v>
      </c>
      <c r="N210" s="38">
        <v>17414.0</v>
      </c>
      <c r="O210" s="47" t="s">
        <v>53</v>
      </c>
      <c r="P210" s="47">
        <v>6.281213640831E12</v>
      </c>
      <c r="Q210" s="48" t="s">
        <v>616</v>
      </c>
      <c r="R210" s="47" t="s">
        <v>55</v>
      </c>
      <c r="S210" s="49"/>
      <c r="T210" s="47" t="s">
        <v>56</v>
      </c>
      <c r="U210" s="47" t="s">
        <v>57</v>
      </c>
      <c r="V210" s="47"/>
      <c r="W210" s="47">
        <v>1.0</v>
      </c>
      <c r="X210" s="50"/>
      <c r="Y210" s="47"/>
      <c r="Z210" s="47"/>
    </row>
    <row r="211" ht="15.75" customHeight="1">
      <c r="A211" s="38"/>
      <c r="B211" s="39" t="s">
        <v>617</v>
      </c>
      <c r="C211" s="39" t="s">
        <v>618</v>
      </c>
      <c r="D211" s="40">
        <v>1.26</v>
      </c>
      <c r="E211" s="41">
        <v>0.003355</v>
      </c>
      <c r="F211" s="39" t="s">
        <v>619</v>
      </c>
      <c r="G211" s="42">
        <v>1.26</v>
      </c>
      <c r="H211" s="43">
        <v>0.003355</v>
      </c>
      <c r="I211" s="44">
        <v>17176.0</v>
      </c>
      <c r="J211" s="40"/>
      <c r="K211" s="45" t="s">
        <v>619</v>
      </c>
      <c r="L211" s="39" t="s">
        <v>51</v>
      </c>
      <c r="M211" s="46" t="s">
        <v>620</v>
      </c>
      <c r="N211" s="38">
        <v>16516.0</v>
      </c>
      <c r="O211" s="47" t="s">
        <v>65</v>
      </c>
      <c r="P211" s="47">
        <v>6.281281385101E12</v>
      </c>
      <c r="Q211" s="48" t="s">
        <v>621</v>
      </c>
      <c r="R211" s="47" t="s">
        <v>55</v>
      </c>
      <c r="S211" s="49"/>
      <c r="T211" s="47" t="s">
        <v>56</v>
      </c>
      <c r="U211" s="47" t="s">
        <v>57</v>
      </c>
      <c r="V211" s="47"/>
      <c r="W211" s="47">
        <v>1.0</v>
      </c>
      <c r="X211" s="50"/>
      <c r="Y211" s="47"/>
      <c r="Z211" s="47"/>
    </row>
    <row r="212" ht="15.75" customHeight="1">
      <c r="A212" s="38"/>
      <c r="B212" s="39" t="s">
        <v>622</v>
      </c>
      <c r="C212" s="39" t="s">
        <v>623</v>
      </c>
      <c r="D212" s="40">
        <v>0.11</v>
      </c>
      <c r="E212" s="41">
        <v>8.82E-4</v>
      </c>
      <c r="F212" s="39" t="s">
        <v>624</v>
      </c>
      <c r="G212" s="42">
        <v>0.11</v>
      </c>
      <c r="H212" s="43">
        <v>8.82E-4</v>
      </c>
      <c r="I212" s="44">
        <v>11878.0</v>
      </c>
      <c r="J212" s="40"/>
      <c r="K212" s="45" t="s">
        <v>624</v>
      </c>
      <c r="L212" s="39" t="s">
        <v>51</v>
      </c>
      <c r="M212" s="46" t="s">
        <v>625</v>
      </c>
      <c r="N212" s="38">
        <v>16422.0</v>
      </c>
      <c r="O212" s="47" t="s">
        <v>65</v>
      </c>
      <c r="P212" s="47">
        <v>6.285271176263E12</v>
      </c>
      <c r="Q212" s="48" t="s">
        <v>626</v>
      </c>
      <c r="R212" s="47" t="s">
        <v>55</v>
      </c>
      <c r="S212" s="49"/>
      <c r="T212" s="47" t="s">
        <v>56</v>
      </c>
      <c r="U212" s="47" t="s">
        <v>57</v>
      </c>
      <c r="V212" s="47"/>
      <c r="W212" s="47">
        <v>1.0</v>
      </c>
      <c r="X212" s="50"/>
      <c r="Y212" s="47"/>
      <c r="Z212" s="47"/>
    </row>
    <row r="213" ht="15.75" customHeight="1">
      <c r="A213" s="38"/>
      <c r="B213" s="39" t="s">
        <v>627</v>
      </c>
      <c r="C213" s="39" t="s">
        <v>628</v>
      </c>
      <c r="D213" s="40">
        <v>0.27</v>
      </c>
      <c r="E213" s="41">
        <v>6.24E-4</v>
      </c>
      <c r="F213" s="39" t="s">
        <v>629</v>
      </c>
      <c r="G213" s="42">
        <v>0.27</v>
      </c>
      <c r="H213" s="43">
        <v>6.24E-4</v>
      </c>
      <c r="I213" s="44">
        <v>355.0</v>
      </c>
      <c r="J213" s="40"/>
      <c r="K213" s="45" t="s">
        <v>629</v>
      </c>
      <c r="L213" s="39" t="s">
        <v>51</v>
      </c>
      <c r="M213" s="46" t="s">
        <v>630</v>
      </c>
      <c r="N213" s="38">
        <v>16514.0</v>
      </c>
      <c r="O213" s="47" t="s">
        <v>65</v>
      </c>
      <c r="P213" s="47">
        <v>6.281381219328E12</v>
      </c>
      <c r="Q213" s="48" t="s">
        <v>631</v>
      </c>
      <c r="R213" s="47" t="s">
        <v>55</v>
      </c>
      <c r="S213" s="49"/>
      <c r="T213" s="47" t="s">
        <v>56</v>
      </c>
      <c r="U213" s="47" t="s">
        <v>57</v>
      </c>
      <c r="V213" s="47"/>
      <c r="W213" s="47">
        <v>1.0</v>
      </c>
      <c r="X213" s="50"/>
      <c r="Y213" s="47"/>
      <c r="Z213" s="47"/>
    </row>
    <row r="214" ht="15.75" customHeight="1">
      <c r="A214" s="38"/>
      <c r="B214" s="39" t="s">
        <v>632</v>
      </c>
      <c r="C214" s="39" t="s">
        <v>633</v>
      </c>
      <c r="D214" s="40">
        <v>0.64</v>
      </c>
      <c r="E214" s="41">
        <v>0.004764</v>
      </c>
      <c r="F214" s="39" t="s">
        <v>634</v>
      </c>
      <c r="G214" s="42">
        <v>0.64</v>
      </c>
      <c r="H214" s="43">
        <v>0.004764</v>
      </c>
      <c r="I214" s="44">
        <v>676.0</v>
      </c>
      <c r="J214" s="40"/>
      <c r="K214" s="45" t="s">
        <v>634</v>
      </c>
      <c r="L214" s="39" t="s">
        <v>51</v>
      </c>
      <c r="M214" s="46" t="s">
        <v>635</v>
      </c>
      <c r="N214" s="38">
        <v>16436.0</v>
      </c>
      <c r="O214" s="47" t="s">
        <v>65</v>
      </c>
      <c r="P214" s="47">
        <v>8.161913409E9</v>
      </c>
      <c r="Q214" s="48" t="s">
        <v>636</v>
      </c>
      <c r="R214" s="47" t="s">
        <v>55</v>
      </c>
      <c r="S214" s="49"/>
      <c r="T214" s="47" t="s">
        <v>56</v>
      </c>
      <c r="U214" s="47" t="s">
        <v>57</v>
      </c>
      <c r="V214" s="47"/>
      <c r="W214" s="47">
        <v>1.0</v>
      </c>
      <c r="X214" s="50"/>
      <c r="Y214" s="47"/>
      <c r="Z214" s="47"/>
    </row>
    <row r="215" ht="15.75" customHeight="1">
      <c r="A215" s="38"/>
      <c r="B215" s="39"/>
      <c r="C215" s="39"/>
      <c r="D215" s="40"/>
      <c r="E215" s="41"/>
      <c r="F215" s="39"/>
      <c r="G215" s="42"/>
      <c r="H215" s="43"/>
      <c r="I215" s="44"/>
      <c r="J215" s="40"/>
      <c r="K215" s="45"/>
      <c r="L215" s="39"/>
      <c r="M215" s="46"/>
      <c r="N215" s="38"/>
      <c r="O215" s="47"/>
      <c r="P215" s="47"/>
      <c r="Q215" s="48"/>
      <c r="R215" s="47"/>
      <c r="S215" s="49"/>
      <c r="T215" s="47"/>
      <c r="U215" s="47"/>
      <c r="V215" s="47"/>
      <c r="W215" s="47"/>
      <c r="X215" s="50"/>
      <c r="Y215" s="47"/>
      <c r="Z215" s="47"/>
    </row>
    <row r="216" ht="15.75" customHeight="1">
      <c r="A216" s="38"/>
      <c r="B216" s="39"/>
      <c r="C216" s="39"/>
      <c r="D216" s="40"/>
      <c r="E216" s="41"/>
      <c r="F216" s="39"/>
      <c r="G216" s="42"/>
      <c r="H216" s="43"/>
      <c r="I216" s="44"/>
      <c r="J216" s="40"/>
      <c r="K216" s="45"/>
      <c r="L216" s="39"/>
      <c r="M216" s="46"/>
      <c r="N216" s="38"/>
      <c r="O216" s="47"/>
      <c r="P216" s="47"/>
      <c r="Q216" s="48"/>
      <c r="R216" s="47"/>
      <c r="S216" s="49"/>
      <c r="T216" s="47"/>
      <c r="U216" s="47"/>
      <c r="V216" s="47"/>
      <c r="W216" s="47"/>
      <c r="X216" s="50"/>
      <c r="Y216" s="47"/>
      <c r="Z216" s="47"/>
    </row>
    <row r="217" ht="15.75" customHeight="1">
      <c r="A217" s="38"/>
      <c r="B217" s="39"/>
      <c r="C217" s="39"/>
      <c r="D217" s="40"/>
      <c r="E217" s="41"/>
      <c r="F217" s="39"/>
      <c r="G217" s="42"/>
      <c r="H217" s="43"/>
      <c r="I217" s="44"/>
      <c r="J217" s="40"/>
      <c r="K217" s="45"/>
      <c r="L217" s="39"/>
      <c r="M217" s="46"/>
      <c r="N217" s="38"/>
      <c r="O217" s="47"/>
      <c r="P217" s="47"/>
      <c r="Q217" s="48"/>
      <c r="R217" s="47"/>
      <c r="S217" s="49"/>
      <c r="T217" s="47"/>
      <c r="U217" s="47"/>
      <c r="V217" s="47"/>
      <c r="W217" s="47"/>
      <c r="X217" s="50"/>
      <c r="Y217" s="47"/>
      <c r="Z217" s="47"/>
    </row>
    <row r="218" ht="15.75" customHeight="1">
      <c r="A218" s="38"/>
      <c r="B218" s="39"/>
      <c r="C218" s="39"/>
      <c r="D218" s="40"/>
      <c r="E218" s="41"/>
      <c r="F218" s="39"/>
      <c r="G218" s="42"/>
      <c r="H218" s="43"/>
      <c r="I218" s="44"/>
      <c r="J218" s="40"/>
      <c r="K218" s="45"/>
      <c r="L218" s="39"/>
      <c r="M218" s="46"/>
      <c r="N218" s="38"/>
      <c r="O218" s="47"/>
      <c r="P218" s="47"/>
      <c r="Q218" s="48"/>
      <c r="R218" s="47"/>
      <c r="S218" s="49"/>
      <c r="T218" s="47"/>
      <c r="U218" s="47"/>
      <c r="V218" s="47"/>
      <c r="W218" s="47"/>
      <c r="X218" s="50"/>
      <c r="Y218" s="47"/>
      <c r="Z218" s="47"/>
    </row>
    <row r="219" ht="15.75" customHeight="1">
      <c r="A219" s="38"/>
      <c r="B219" s="39"/>
      <c r="C219" s="39"/>
      <c r="D219" s="40"/>
      <c r="E219" s="41"/>
      <c r="F219" s="39"/>
      <c r="G219" s="42"/>
      <c r="H219" s="43"/>
      <c r="I219" s="44"/>
      <c r="J219" s="40"/>
      <c r="K219" s="45"/>
      <c r="L219" s="39"/>
      <c r="M219" s="46"/>
      <c r="N219" s="38"/>
      <c r="O219" s="47"/>
      <c r="P219" s="47"/>
      <c r="Q219" s="48"/>
      <c r="R219" s="47"/>
      <c r="S219" s="49"/>
      <c r="T219" s="47"/>
      <c r="U219" s="47"/>
      <c r="V219" s="47"/>
      <c r="W219" s="47"/>
      <c r="X219" s="50"/>
      <c r="Y219" s="47"/>
      <c r="Z219" s="47"/>
    </row>
    <row r="220" ht="15.75" customHeight="1">
      <c r="A220" s="38"/>
      <c r="B220" s="39"/>
      <c r="C220" s="39"/>
      <c r="D220" s="40"/>
      <c r="E220" s="41"/>
      <c r="F220" s="39"/>
      <c r="G220" s="42"/>
      <c r="H220" s="43"/>
      <c r="I220" s="44"/>
      <c r="J220" s="40"/>
      <c r="K220" s="45"/>
      <c r="L220" s="39"/>
      <c r="M220" s="46"/>
      <c r="N220" s="38"/>
      <c r="O220" s="47"/>
      <c r="P220" s="47"/>
      <c r="Q220" s="48"/>
      <c r="R220" s="47"/>
      <c r="S220" s="49"/>
      <c r="T220" s="47"/>
      <c r="U220" s="47"/>
      <c r="V220" s="47"/>
      <c r="W220" s="47"/>
      <c r="X220" s="50"/>
      <c r="Y220" s="47"/>
      <c r="Z220" s="47"/>
    </row>
    <row r="221" ht="15.75" customHeight="1">
      <c r="A221" s="38"/>
      <c r="B221" s="39"/>
      <c r="C221" s="39"/>
      <c r="D221" s="40"/>
      <c r="E221" s="41"/>
      <c r="F221" s="39"/>
      <c r="G221" s="42"/>
      <c r="H221" s="43"/>
      <c r="I221" s="44"/>
      <c r="J221" s="40"/>
      <c r="K221" s="45"/>
      <c r="L221" s="39"/>
      <c r="M221" s="46"/>
      <c r="N221" s="38"/>
      <c r="O221" s="47"/>
      <c r="P221" s="47"/>
      <c r="Q221" s="48"/>
      <c r="R221" s="47"/>
      <c r="S221" s="49"/>
      <c r="T221" s="47"/>
      <c r="U221" s="47"/>
      <c r="V221" s="47"/>
      <c r="W221" s="47"/>
      <c r="X221" s="50"/>
      <c r="Y221" s="47"/>
      <c r="Z221" s="47"/>
    </row>
    <row r="222" ht="15.75" customHeight="1">
      <c r="A222" s="38"/>
      <c r="B222" s="39"/>
      <c r="C222" s="39"/>
      <c r="D222" s="40"/>
      <c r="E222" s="41"/>
      <c r="F222" s="39"/>
      <c r="G222" s="42"/>
      <c r="H222" s="43"/>
      <c r="I222" s="44"/>
      <c r="J222" s="40"/>
      <c r="K222" s="45"/>
      <c r="L222" s="39"/>
      <c r="M222" s="46"/>
      <c r="N222" s="38"/>
      <c r="O222" s="47"/>
      <c r="P222" s="47"/>
      <c r="Q222" s="48"/>
      <c r="R222" s="47"/>
      <c r="S222" s="49"/>
      <c r="T222" s="47"/>
      <c r="U222" s="47"/>
      <c r="V222" s="47"/>
      <c r="W222" s="47"/>
      <c r="X222" s="50"/>
      <c r="Y222" s="47"/>
      <c r="Z222" s="47"/>
    </row>
    <row r="223" ht="15.75" customHeight="1">
      <c r="A223" s="38"/>
      <c r="B223" s="39"/>
      <c r="C223" s="39"/>
      <c r="D223" s="40"/>
      <c r="E223" s="41"/>
      <c r="F223" s="39"/>
      <c r="G223" s="42"/>
      <c r="H223" s="43"/>
      <c r="I223" s="44"/>
      <c r="J223" s="40"/>
      <c r="K223" s="45"/>
      <c r="L223" s="39"/>
      <c r="M223" s="46"/>
      <c r="N223" s="38"/>
      <c r="O223" s="47"/>
      <c r="P223" s="47"/>
      <c r="Q223" s="48"/>
      <c r="R223" s="47"/>
      <c r="S223" s="49"/>
      <c r="T223" s="47"/>
      <c r="U223" s="47"/>
      <c r="V223" s="47"/>
      <c r="W223" s="47"/>
      <c r="X223" s="50"/>
      <c r="Y223" s="47"/>
      <c r="Z223" s="47"/>
    </row>
    <row r="224" ht="15.75" customHeight="1">
      <c r="A224" s="38"/>
      <c r="B224" s="39"/>
      <c r="C224" s="39"/>
      <c r="D224" s="40"/>
      <c r="E224" s="41"/>
      <c r="F224" s="39"/>
      <c r="G224" s="42"/>
      <c r="H224" s="43"/>
      <c r="I224" s="44"/>
      <c r="J224" s="40"/>
      <c r="K224" s="45"/>
      <c r="L224" s="39"/>
      <c r="M224" s="46"/>
      <c r="N224" s="38"/>
      <c r="O224" s="47"/>
      <c r="P224" s="47"/>
      <c r="Q224" s="48"/>
      <c r="R224" s="47"/>
      <c r="S224" s="49"/>
      <c r="T224" s="47"/>
      <c r="U224" s="47"/>
      <c r="V224" s="47"/>
      <c r="W224" s="47"/>
      <c r="X224" s="50"/>
      <c r="Y224" s="47"/>
      <c r="Z224" s="47"/>
    </row>
    <row r="225" ht="15.75" customHeight="1">
      <c r="A225" s="38"/>
      <c r="B225" s="39"/>
      <c r="C225" s="39"/>
      <c r="D225" s="40"/>
      <c r="E225" s="41"/>
      <c r="F225" s="39"/>
      <c r="G225" s="42"/>
      <c r="H225" s="43"/>
      <c r="I225" s="44"/>
      <c r="J225" s="40"/>
      <c r="K225" s="45"/>
      <c r="L225" s="39"/>
      <c r="M225" s="46"/>
      <c r="N225" s="38"/>
      <c r="O225" s="47"/>
      <c r="P225" s="47"/>
      <c r="Q225" s="48"/>
      <c r="R225" s="47"/>
      <c r="S225" s="49"/>
      <c r="T225" s="47"/>
      <c r="U225" s="47"/>
      <c r="V225" s="47"/>
      <c r="W225" s="47"/>
      <c r="X225" s="50"/>
      <c r="Y225" s="47"/>
      <c r="Z225" s="47"/>
    </row>
    <row r="226" ht="15.75" customHeight="1">
      <c r="A226" s="38"/>
      <c r="B226" s="39"/>
      <c r="C226" s="39"/>
      <c r="D226" s="40"/>
      <c r="E226" s="41"/>
      <c r="F226" s="39"/>
      <c r="G226" s="42"/>
      <c r="H226" s="43"/>
      <c r="I226" s="44"/>
      <c r="J226" s="40"/>
      <c r="K226" s="45"/>
      <c r="L226" s="39"/>
      <c r="M226" s="46"/>
      <c r="N226" s="38"/>
      <c r="O226" s="47"/>
      <c r="P226" s="47"/>
      <c r="Q226" s="48"/>
      <c r="R226" s="47"/>
      <c r="S226" s="49"/>
      <c r="T226" s="47"/>
      <c r="U226" s="47"/>
      <c r="V226" s="47"/>
      <c r="W226" s="47"/>
      <c r="X226" s="50"/>
      <c r="Y226" s="47"/>
      <c r="Z226" s="47"/>
    </row>
    <row r="227" ht="15.75" customHeight="1">
      <c r="A227" s="38"/>
      <c r="B227" s="39"/>
      <c r="C227" s="39"/>
      <c r="D227" s="40"/>
      <c r="E227" s="41"/>
      <c r="F227" s="39"/>
      <c r="G227" s="42"/>
      <c r="H227" s="43"/>
      <c r="I227" s="44"/>
      <c r="J227" s="40"/>
      <c r="K227" s="45"/>
      <c r="L227" s="39"/>
      <c r="M227" s="46"/>
      <c r="N227" s="38"/>
      <c r="O227" s="47"/>
      <c r="P227" s="47"/>
      <c r="Q227" s="48"/>
      <c r="R227" s="47"/>
      <c r="S227" s="49"/>
      <c r="T227" s="47"/>
      <c r="U227" s="47"/>
      <c r="V227" s="47"/>
      <c r="W227" s="47"/>
      <c r="X227" s="50"/>
      <c r="Y227" s="47"/>
      <c r="Z227" s="47"/>
    </row>
    <row r="228" ht="15.75" customHeight="1">
      <c r="A228" s="38"/>
      <c r="B228" s="39"/>
      <c r="C228" s="39"/>
      <c r="D228" s="40"/>
      <c r="E228" s="41"/>
      <c r="F228" s="39"/>
      <c r="G228" s="42"/>
      <c r="H228" s="43"/>
      <c r="I228" s="44"/>
      <c r="J228" s="40"/>
      <c r="K228" s="45"/>
      <c r="L228" s="39"/>
      <c r="M228" s="46"/>
      <c r="N228" s="38"/>
      <c r="O228" s="47"/>
      <c r="P228" s="47"/>
      <c r="Q228" s="48"/>
      <c r="R228" s="47"/>
      <c r="S228" s="49"/>
      <c r="T228" s="47"/>
      <c r="U228" s="47"/>
      <c r="V228" s="47"/>
      <c r="W228" s="47"/>
      <c r="X228" s="50"/>
      <c r="Y228" s="47"/>
      <c r="Z228" s="47"/>
    </row>
    <row r="229" ht="15.75" customHeight="1">
      <c r="A229" s="38"/>
      <c r="B229" s="39"/>
      <c r="C229" s="39"/>
      <c r="D229" s="40"/>
      <c r="E229" s="41"/>
      <c r="F229" s="39"/>
      <c r="G229" s="42"/>
      <c r="H229" s="43"/>
      <c r="I229" s="44"/>
      <c r="J229" s="40"/>
      <c r="K229" s="45"/>
      <c r="L229" s="39"/>
      <c r="M229" s="46"/>
      <c r="N229" s="38"/>
      <c r="O229" s="47"/>
      <c r="P229" s="47"/>
      <c r="Q229" s="48"/>
      <c r="R229" s="47"/>
      <c r="S229" s="49"/>
      <c r="T229" s="47"/>
      <c r="U229" s="47"/>
      <c r="V229" s="47"/>
      <c r="W229" s="47"/>
      <c r="X229" s="50"/>
      <c r="Y229" s="47"/>
      <c r="Z229" s="47"/>
    </row>
    <row r="230" ht="15.75" customHeight="1">
      <c r="A230" s="38"/>
      <c r="B230" s="39"/>
      <c r="C230" s="39"/>
      <c r="D230" s="40"/>
      <c r="E230" s="41"/>
      <c r="F230" s="39"/>
      <c r="G230" s="42"/>
      <c r="H230" s="43"/>
      <c r="I230" s="44"/>
      <c r="J230" s="40"/>
      <c r="K230" s="45"/>
      <c r="L230" s="39"/>
      <c r="M230" s="46"/>
      <c r="N230" s="38"/>
      <c r="O230" s="47"/>
      <c r="P230" s="47"/>
      <c r="Q230" s="48"/>
      <c r="R230" s="47"/>
      <c r="S230" s="49"/>
      <c r="T230" s="47"/>
      <c r="U230" s="47"/>
      <c r="V230" s="47"/>
      <c r="W230" s="47"/>
      <c r="X230" s="50"/>
      <c r="Y230" s="47"/>
      <c r="Z230" s="47"/>
    </row>
    <row r="231" ht="15.75" customHeight="1">
      <c r="A231" s="38"/>
      <c r="B231" s="39"/>
      <c r="C231" s="39"/>
      <c r="D231" s="40"/>
      <c r="E231" s="41"/>
      <c r="F231" s="39"/>
      <c r="G231" s="42"/>
      <c r="H231" s="43"/>
      <c r="I231" s="44"/>
      <c r="J231" s="40"/>
      <c r="K231" s="45"/>
      <c r="L231" s="39"/>
      <c r="M231" s="46"/>
      <c r="N231" s="38"/>
      <c r="O231" s="47"/>
      <c r="P231" s="47"/>
      <c r="Q231" s="48"/>
      <c r="R231" s="47"/>
      <c r="S231" s="49"/>
      <c r="T231" s="47"/>
      <c r="U231" s="47"/>
      <c r="V231" s="47"/>
      <c r="W231" s="47"/>
      <c r="X231" s="50"/>
      <c r="Y231" s="47"/>
      <c r="Z231" s="47"/>
    </row>
    <row r="232" ht="15.75" customHeight="1">
      <c r="A232" s="38"/>
      <c r="B232" s="39"/>
      <c r="C232" s="39"/>
      <c r="D232" s="40"/>
      <c r="E232" s="41"/>
      <c r="F232" s="39"/>
      <c r="G232" s="42"/>
      <c r="H232" s="43"/>
      <c r="I232" s="44"/>
      <c r="J232" s="40"/>
      <c r="K232" s="45"/>
      <c r="L232" s="39"/>
      <c r="M232" s="46"/>
      <c r="N232" s="38"/>
      <c r="O232" s="47"/>
      <c r="P232" s="47"/>
      <c r="Q232" s="48"/>
      <c r="R232" s="47"/>
      <c r="S232" s="49"/>
      <c r="T232" s="47"/>
      <c r="U232" s="47"/>
      <c r="V232" s="47"/>
      <c r="W232" s="47"/>
      <c r="X232" s="50"/>
      <c r="Y232" s="47"/>
      <c r="Z232" s="47"/>
    </row>
    <row r="233" ht="15.75" customHeight="1">
      <c r="A233" s="38"/>
      <c r="B233" s="39"/>
      <c r="C233" s="39"/>
      <c r="D233" s="40"/>
      <c r="E233" s="41"/>
      <c r="F233" s="39"/>
      <c r="G233" s="42"/>
      <c r="H233" s="43"/>
      <c r="I233" s="44"/>
      <c r="J233" s="40"/>
      <c r="K233" s="45"/>
      <c r="L233" s="39"/>
      <c r="M233" s="46"/>
      <c r="N233" s="38"/>
      <c r="O233" s="47"/>
      <c r="P233" s="47"/>
      <c r="Q233" s="48"/>
      <c r="R233" s="47"/>
      <c r="S233" s="49"/>
      <c r="T233" s="47"/>
      <c r="U233" s="47"/>
      <c r="V233" s="47"/>
      <c r="W233" s="47"/>
      <c r="X233" s="50"/>
      <c r="Y233" s="47"/>
      <c r="Z233" s="47"/>
    </row>
    <row r="234" ht="15.75" customHeight="1">
      <c r="A234" s="38"/>
      <c r="B234" s="39"/>
      <c r="C234" s="39"/>
      <c r="D234" s="40"/>
      <c r="E234" s="41"/>
      <c r="F234" s="39"/>
      <c r="G234" s="42"/>
      <c r="H234" s="43"/>
      <c r="I234" s="44"/>
      <c r="J234" s="40"/>
      <c r="K234" s="45"/>
      <c r="L234" s="39"/>
      <c r="M234" s="46"/>
      <c r="N234" s="38"/>
      <c r="O234" s="47"/>
      <c r="P234" s="47"/>
      <c r="Q234" s="48"/>
      <c r="R234" s="47"/>
      <c r="S234" s="49"/>
      <c r="T234" s="47"/>
      <c r="U234" s="47"/>
      <c r="V234" s="47"/>
      <c r="W234" s="47"/>
      <c r="X234" s="50"/>
      <c r="Y234" s="47"/>
      <c r="Z234" s="47"/>
    </row>
    <row r="235" ht="15.75" customHeight="1">
      <c r="A235" s="38"/>
      <c r="B235" s="39"/>
      <c r="C235" s="39"/>
      <c r="D235" s="40"/>
      <c r="E235" s="41"/>
      <c r="F235" s="39"/>
      <c r="G235" s="42"/>
      <c r="H235" s="43"/>
      <c r="I235" s="44"/>
      <c r="J235" s="40"/>
      <c r="K235" s="45"/>
      <c r="L235" s="39"/>
      <c r="M235" s="46"/>
      <c r="N235" s="38"/>
      <c r="O235" s="47"/>
      <c r="P235" s="47"/>
      <c r="Q235" s="48"/>
      <c r="R235" s="47"/>
      <c r="S235" s="49"/>
      <c r="T235" s="47"/>
      <c r="U235" s="47"/>
      <c r="V235" s="47"/>
      <c r="W235" s="47"/>
      <c r="X235" s="50"/>
      <c r="Y235" s="47"/>
      <c r="Z235" s="47"/>
    </row>
    <row r="236" ht="15.75" customHeight="1">
      <c r="A236" s="38"/>
      <c r="B236" s="39"/>
      <c r="C236" s="39"/>
      <c r="D236" s="40"/>
      <c r="E236" s="41"/>
      <c r="F236" s="39"/>
      <c r="G236" s="42"/>
      <c r="H236" s="43"/>
      <c r="I236" s="44"/>
      <c r="J236" s="40"/>
      <c r="K236" s="45"/>
      <c r="L236" s="39"/>
      <c r="M236" s="46"/>
      <c r="N236" s="38"/>
      <c r="O236" s="47"/>
      <c r="P236" s="47"/>
      <c r="Q236" s="48"/>
      <c r="R236" s="47"/>
      <c r="S236" s="49"/>
      <c r="T236" s="47"/>
      <c r="U236" s="47"/>
      <c r="V236" s="47"/>
      <c r="W236" s="47"/>
      <c r="X236" s="50"/>
      <c r="Y236" s="47"/>
      <c r="Z236" s="47"/>
    </row>
    <row r="237" ht="15.75" customHeight="1">
      <c r="A237" s="38"/>
      <c r="B237" s="39"/>
      <c r="C237" s="39"/>
      <c r="D237" s="40"/>
      <c r="E237" s="41"/>
      <c r="F237" s="39"/>
      <c r="G237" s="42"/>
      <c r="H237" s="43"/>
      <c r="I237" s="44"/>
      <c r="J237" s="40"/>
      <c r="K237" s="45"/>
      <c r="L237" s="39"/>
      <c r="M237" s="46"/>
      <c r="N237" s="38"/>
      <c r="O237" s="47"/>
      <c r="P237" s="47"/>
      <c r="Q237" s="48"/>
      <c r="R237" s="47"/>
      <c r="S237" s="49"/>
      <c r="T237" s="47"/>
      <c r="U237" s="47"/>
      <c r="V237" s="47"/>
      <c r="W237" s="47"/>
      <c r="X237" s="50"/>
      <c r="Y237" s="47"/>
      <c r="Z237" s="47"/>
    </row>
    <row r="238" ht="15.75" customHeight="1">
      <c r="A238" s="38"/>
      <c r="B238" s="39"/>
      <c r="C238" s="39"/>
      <c r="D238" s="40"/>
      <c r="E238" s="41"/>
      <c r="F238" s="39"/>
      <c r="G238" s="42"/>
      <c r="H238" s="43"/>
      <c r="I238" s="44"/>
      <c r="J238" s="40"/>
      <c r="K238" s="45"/>
      <c r="L238" s="39"/>
      <c r="M238" s="46"/>
      <c r="N238" s="38"/>
      <c r="O238" s="47"/>
      <c r="P238" s="47"/>
      <c r="Q238" s="48"/>
      <c r="R238" s="47"/>
      <c r="S238" s="49"/>
      <c r="T238" s="47"/>
      <c r="U238" s="47"/>
      <c r="V238" s="47"/>
      <c r="W238" s="47"/>
      <c r="X238" s="50"/>
      <c r="Y238" s="47"/>
      <c r="Z238" s="47"/>
    </row>
    <row r="239" ht="15.75" customHeight="1">
      <c r="A239" s="38"/>
      <c r="B239" s="39"/>
      <c r="C239" s="39"/>
      <c r="D239" s="40"/>
      <c r="E239" s="41"/>
      <c r="F239" s="39"/>
      <c r="G239" s="42"/>
      <c r="H239" s="43"/>
      <c r="I239" s="44"/>
      <c r="J239" s="40"/>
      <c r="K239" s="45"/>
      <c r="L239" s="39"/>
      <c r="M239" s="46"/>
      <c r="N239" s="38"/>
      <c r="O239" s="47"/>
      <c r="P239" s="47"/>
      <c r="Q239" s="48"/>
      <c r="R239" s="47"/>
      <c r="S239" s="49"/>
      <c r="T239" s="47"/>
      <c r="U239" s="47"/>
      <c r="V239" s="47"/>
      <c r="W239" s="47"/>
      <c r="X239" s="50"/>
      <c r="Y239" s="47"/>
      <c r="Z239" s="47"/>
    </row>
    <row r="240" ht="15.75" customHeight="1">
      <c r="A240" s="38"/>
      <c r="B240" s="39"/>
      <c r="C240" s="39"/>
      <c r="D240" s="40"/>
      <c r="E240" s="41"/>
      <c r="F240" s="39"/>
      <c r="G240" s="42"/>
      <c r="H240" s="43"/>
      <c r="I240" s="44"/>
      <c r="J240" s="40"/>
      <c r="K240" s="45"/>
      <c r="L240" s="39"/>
      <c r="M240" s="46"/>
      <c r="N240" s="38"/>
      <c r="O240" s="47"/>
      <c r="P240" s="47"/>
      <c r="Q240" s="48"/>
      <c r="R240" s="47"/>
      <c r="S240" s="49"/>
      <c r="T240" s="47"/>
      <c r="U240" s="47"/>
      <c r="V240" s="47"/>
      <c r="W240" s="47"/>
      <c r="X240" s="50"/>
      <c r="Y240" s="47"/>
      <c r="Z240" s="47"/>
    </row>
    <row r="241" ht="15.75" customHeight="1">
      <c r="A241" s="38"/>
      <c r="B241" s="39"/>
      <c r="C241" s="39"/>
      <c r="D241" s="40"/>
      <c r="E241" s="41"/>
      <c r="F241" s="39"/>
      <c r="G241" s="42"/>
      <c r="H241" s="43"/>
      <c r="I241" s="44"/>
      <c r="J241" s="40"/>
      <c r="K241" s="45"/>
      <c r="L241" s="39"/>
      <c r="M241" s="46"/>
      <c r="N241" s="38"/>
      <c r="O241" s="47"/>
      <c r="P241" s="47"/>
      <c r="Q241" s="48"/>
      <c r="R241" s="47"/>
      <c r="S241" s="49"/>
      <c r="T241" s="47"/>
      <c r="U241" s="47"/>
      <c r="V241" s="47"/>
      <c r="W241" s="47"/>
      <c r="X241" s="50"/>
      <c r="Y241" s="47"/>
      <c r="Z241" s="47"/>
    </row>
    <row r="242" ht="15.75" customHeight="1">
      <c r="A242" s="38"/>
      <c r="B242" s="39"/>
      <c r="C242" s="39"/>
      <c r="D242" s="40"/>
      <c r="E242" s="41"/>
      <c r="F242" s="39"/>
      <c r="G242" s="42"/>
      <c r="H242" s="43"/>
      <c r="I242" s="44"/>
      <c r="J242" s="40"/>
      <c r="K242" s="45"/>
      <c r="L242" s="39"/>
      <c r="M242" s="46"/>
      <c r="N242" s="38"/>
      <c r="O242" s="47"/>
      <c r="P242" s="47"/>
      <c r="Q242" s="48"/>
      <c r="R242" s="47"/>
      <c r="S242" s="49"/>
      <c r="T242" s="47"/>
      <c r="U242" s="47"/>
      <c r="V242" s="47"/>
      <c r="W242" s="47"/>
      <c r="X242" s="50"/>
      <c r="Y242" s="47"/>
      <c r="Z242" s="47"/>
    </row>
    <row r="243" ht="15.75" customHeight="1">
      <c r="A243" s="38"/>
      <c r="B243" s="39"/>
      <c r="C243" s="39"/>
      <c r="D243" s="40"/>
      <c r="E243" s="41"/>
      <c r="F243" s="39"/>
      <c r="G243" s="42"/>
      <c r="H243" s="43"/>
      <c r="I243" s="44"/>
      <c r="J243" s="40"/>
      <c r="K243" s="45"/>
      <c r="L243" s="39"/>
      <c r="M243" s="46"/>
      <c r="N243" s="38"/>
      <c r="O243" s="47"/>
      <c r="P243" s="47"/>
      <c r="Q243" s="48"/>
      <c r="R243" s="47"/>
      <c r="S243" s="49"/>
      <c r="T243" s="47"/>
      <c r="U243" s="47"/>
      <c r="V243" s="47"/>
      <c r="W243" s="47"/>
      <c r="X243" s="50"/>
      <c r="Y243" s="47"/>
      <c r="Z243" s="47"/>
    </row>
    <row r="244" ht="15.75" customHeight="1">
      <c r="A244" s="38"/>
      <c r="B244" s="39"/>
      <c r="C244" s="39"/>
      <c r="D244" s="40"/>
      <c r="E244" s="41"/>
      <c r="F244" s="39"/>
      <c r="G244" s="42"/>
      <c r="H244" s="43"/>
      <c r="I244" s="44"/>
      <c r="J244" s="40"/>
      <c r="K244" s="45"/>
      <c r="L244" s="39"/>
      <c r="M244" s="46"/>
      <c r="N244" s="38"/>
      <c r="O244" s="47"/>
      <c r="P244" s="47"/>
      <c r="Q244" s="48"/>
      <c r="R244" s="47"/>
      <c r="S244" s="49"/>
      <c r="T244" s="47"/>
      <c r="U244" s="47"/>
      <c r="V244" s="47"/>
      <c r="W244" s="47"/>
      <c r="X244" s="50"/>
      <c r="Y244" s="47"/>
      <c r="Z244" s="47"/>
    </row>
    <row r="245" ht="15.75" customHeight="1">
      <c r="A245" s="38"/>
      <c r="B245" s="39"/>
      <c r="C245" s="39"/>
      <c r="D245" s="40"/>
      <c r="E245" s="41"/>
      <c r="F245" s="39"/>
      <c r="G245" s="42"/>
      <c r="H245" s="43"/>
      <c r="I245" s="44"/>
      <c r="J245" s="40"/>
      <c r="K245" s="45"/>
      <c r="L245" s="39"/>
      <c r="M245" s="46"/>
      <c r="N245" s="38"/>
      <c r="O245" s="47"/>
      <c r="P245" s="47"/>
      <c r="Q245" s="48"/>
      <c r="R245" s="47"/>
      <c r="S245" s="49"/>
      <c r="T245" s="47"/>
      <c r="U245" s="47"/>
      <c r="V245" s="47"/>
      <c r="W245" s="47"/>
      <c r="X245" s="50"/>
      <c r="Y245" s="47"/>
      <c r="Z245" s="47"/>
    </row>
    <row r="246" ht="15.75" customHeight="1">
      <c r="A246" s="38"/>
      <c r="B246" s="39"/>
      <c r="C246" s="39"/>
      <c r="D246" s="40"/>
      <c r="E246" s="41"/>
      <c r="F246" s="39"/>
      <c r="G246" s="42"/>
      <c r="H246" s="43"/>
      <c r="I246" s="44"/>
      <c r="J246" s="40"/>
      <c r="K246" s="45"/>
      <c r="L246" s="39"/>
      <c r="M246" s="46"/>
      <c r="N246" s="38"/>
      <c r="O246" s="47"/>
      <c r="P246" s="47"/>
      <c r="Q246" s="48"/>
      <c r="R246" s="47"/>
      <c r="S246" s="49"/>
      <c r="T246" s="47"/>
      <c r="U246" s="47"/>
      <c r="V246" s="47"/>
      <c r="W246" s="47"/>
      <c r="X246" s="50"/>
      <c r="Y246" s="47"/>
      <c r="Z246" s="47"/>
    </row>
    <row r="247" ht="15.75" customHeight="1">
      <c r="A247" s="38"/>
      <c r="B247" s="39"/>
      <c r="C247" s="39"/>
      <c r="D247" s="40"/>
      <c r="E247" s="41"/>
      <c r="F247" s="39"/>
      <c r="G247" s="42"/>
      <c r="H247" s="43"/>
      <c r="I247" s="44"/>
      <c r="J247" s="40"/>
      <c r="K247" s="45"/>
      <c r="L247" s="39"/>
      <c r="M247" s="46"/>
      <c r="N247" s="38"/>
      <c r="O247" s="47"/>
      <c r="P247" s="47"/>
      <c r="Q247" s="48"/>
      <c r="R247" s="47"/>
      <c r="S247" s="49"/>
      <c r="T247" s="47"/>
      <c r="U247" s="47"/>
      <c r="V247" s="47"/>
      <c r="W247" s="47"/>
      <c r="X247" s="50"/>
      <c r="Y247" s="47"/>
      <c r="Z247" s="47"/>
    </row>
    <row r="248" ht="15.75" customHeight="1">
      <c r="A248" s="38"/>
      <c r="B248" s="39"/>
      <c r="C248" s="39"/>
      <c r="D248" s="40"/>
      <c r="E248" s="41"/>
      <c r="F248" s="39"/>
      <c r="G248" s="42"/>
      <c r="H248" s="43"/>
      <c r="I248" s="44"/>
      <c r="J248" s="40"/>
      <c r="K248" s="45"/>
      <c r="L248" s="39"/>
      <c r="M248" s="46"/>
      <c r="N248" s="38"/>
      <c r="O248" s="47"/>
      <c r="P248" s="47"/>
      <c r="Q248" s="48"/>
      <c r="R248" s="47"/>
      <c r="S248" s="49"/>
      <c r="T248" s="47"/>
      <c r="U248" s="47"/>
      <c r="V248" s="47"/>
      <c r="W248" s="47"/>
      <c r="X248" s="50"/>
      <c r="Y248" s="47"/>
      <c r="Z248" s="47"/>
    </row>
    <row r="249" ht="15.75" customHeight="1">
      <c r="A249" s="38"/>
      <c r="B249" s="39"/>
      <c r="C249" s="39"/>
      <c r="D249" s="40"/>
      <c r="E249" s="41"/>
      <c r="F249" s="39"/>
      <c r="G249" s="42"/>
      <c r="H249" s="43"/>
      <c r="I249" s="44"/>
      <c r="J249" s="40"/>
      <c r="K249" s="45"/>
      <c r="L249" s="39"/>
      <c r="M249" s="46"/>
      <c r="N249" s="38"/>
      <c r="O249" s="47"/>
      <c r="P249" s="47"/>
      <c r="Q249" s="48"/>
      <c r="R249" s="47"/>
      <c r="S249" s="49"/>
      <c r="T249" s="47"/>
      <c r="U249" s="47"/>
      <c r="V249" s="47"/>
      <c r="W249" s="47"/>
      <c r="X249" s="50"/>
      <c r="Y249" s="47"/>
      <c r="Z249" s="47"/>
    </row>
    <row r="250" ht="15.75" customHeight="1">
      <c r="A250" s="38"/>
      <c r="B250" s="39"/>
      <c r="C250" s="39"/>
      <c r="D250" s="40"/>
      <c r="E250" s="41"/>
      <c r="F250" s="39"/>
      <c r="G250" s="42"/>
      <c r="H250" s="43"/>
      <c r="I250" s="44"/>
      <c r="J250" s="40"/>
      <c r="K250" s="45"/>
      <c r="L250" s="39"/>
      <c r="M250" s="46"/>
      <c r="N250" s="38"/>
      <c r="O250" s="47"/>
      <c r="P250" s="47"/>
      <c r="Q250" s="48"/>
      <c r="R250" s="47"/>
      <c r="S250" s="49"/>
      <c r="T250" s="47"/>
      <c r="U250" s="47"/>
      <c r="V250" s="47"/>
      <c r="W250" s="47"/>
      <c r="X250" s="50"/>
      <c r="Y250" s="47"/>
      <c r="Z250" s="47"/>
    </row>
    <row r="251" ht="15.75" customHeight="1">
      <c r="A251" s="38"/>
      <c r="B251" s="39"/>
      <c r="C251" s="39"/>
      <c r="D251" s="40"/>
      <c r="E251" s="41"/>
      <c r="F251" s="39"/>
      <c r="G251" s="42"/>
      <c r="H251" s="43"/>
      <c r="I251" s="44"/>
      <c r="J251" s="40"/>
      <c r="K251" s="45"/>
      <c r="L251" s="39"/>
      <c r="M251" s="46"/>
      <c r="N251" s="38"/>
      <c r="O251" s="47"/>
      <c r="P251" s="47"/>
      <c r="Q251" s="48"/>
      <c r="R251" s="47"/>
      <c r="S251" s="49"/>
      <c r="T251" s="47"/>
      <c r="U251" s="47"/>
      <c r="V251" s="47"/>
      <c r="W251" s="47"/>
      <c r="X251" s="50"/>
      <c r="Y251" s="47"/>
      <c r="Z251" s="47"/>
    </row>
    <row r="252" ht="15.75" customHeight="1">
      <c r="A252" s="38"/>
      <c r="B252" s="39"/>
      <c r="C252" s="39"/>
      <c r="D252" s="40"/>
      <c r="E252" s="41"/>
      <c r="F252" s="39"/>
      <c r="G252" s="42"/>
      <c r="H252" s="43"/>
      <c r="I252" s="44"/>
      <c r="J252" s="40"/>
      <c r="K252" s="45"/>
      <c r="L252" s="39"/>
      <c r="M252" s="46"/>
      <c r="N252" s="38"/>
      <c r="O252" s="47"/>
      <c r="P252" s="47"/>
      <c r="Q252" s="48"/>
      <c r="R252" s="47"/>
      <c r="S252" s="49"/>
      <c r="T252" s="47"/>
      <c r="U252" s="47"/>
      <c r="V252" s="47"/>
      <c r="W252" s="47"/>
      <c r="X252" s="50"/>
      <c r="Y252" s="47"/>
      <c r="Z252" s="47"/>
    </row>
    <row r="253" ht="15.75" customHeight="1">
      <c r="A253" s="38"/>
      <c r="B253" s="39"/>
      <c r="C253" s="39"/>
      <c r="D253" s="40"/>
      <c r="E253" s="41"/>
      <c r="F253" s="39"/>
      <c r="G253" s="42"/>
      <c r="H253" s="43"/>
      <c r="I253" s="44"/>
      <c r="J253" s="40"/>
      <c r="K253" s="45"/>
      <c r="L253" s="39"/>
      <c r="M253" s="46"/>
      <c r="N253" s="38"/>
      <c r="O253" s="47"/>
      <c r="P253" s="47"/>
      <c r="Q253" s="48"/>
      <c r="R253" s="47"/>
      <c r="S253" s="49"/>
      <c r="T253" s="47"/>
      <c r="U253" s="47"/>
      <c r="V253" s="47"/>
      <c r="W253" s="47"/>
      <c r="X253" s="50"/>
      <c r="Y253" s="47"/>
      <c r="Z253" s="47"/>
    </row>
    <row r="254" ht="15.75" customHeight="1">
      <c r="A254" s="38"/>
      <c r="B254" s="39"/>
      <c r="C254" s="39"/>
      <c r="D254" s="40"/>
      <c r="E254" s="41"/>
      <c r="F254" s="39"/>
      <c r="G254" s="42"/>
      <c r="H254" s="43"/>
      <c r="I254" s="44"/>
      <c r="J254" s="40"/>
      <c r="K254" s="45"/>
      <c r="L254" s="39"/>
      <c r="M254" s="46"/>
      <c r="N254" s="38"/>
      <c r="O254" s="47"/>
      <c r="P254" s="47"/>
      <c r="Q254" s="48"/>
      <c r="R254" s="47"/>
      <c r="S254" s="49"/>
      <c r="T254" s="47"/>
      <c r="U254" s="47"/>
      <c r="V254" s="47"/>
      <c r="W254" s="47"/>
      <c r="X254" s="50"/>
      <c r="Y254" s="47"/>
      <c r="Z254" s="47"/>
    </row>
    <row r="255" ht="15.75" customHeight="1">
      <c r="A255" s="38"/>
      <c r="B255" s="39"/>
      <c r="C255" s="39"/>
      <c r="D255" s="40"/>
      <c r="E255" s="41"/>
      <c r="F255" s="39"/>
      <c r="G255" s="42"/>
      <c r="H255" s="43"/>
      <c r="I255" s="44"/>
      <c r="J255" s="40"/>
      <c r="K255" s="45"/>
      <c r="L255" s="39"/>
      <c r="M255" s="46"/>
      <c r="N255" s="38"/>
      <c r="O255" s="47"/>
      <c r="P255" s="47"/>
      <c r="Q255" s="48"/>
      <c r="R255" s="47"/>
      <c r="S255" s="49"/>
      <c r="T255" s="47"/>
      <c r="U255" s="47"/>
      <c r="V255" s="47"/>
      <c r="W255" s="47"/>
      <c r="X255" s="50"/>
      <c r="Y255" s="47"/>
      <c r="Z255" s="47"/>
    </row>
    <row r="256" ht="15.75" customHeight="1">
      <c r="A256" s="38"/>
      <c r="B256" s="39"/>
      <c r="C256" s="39"/>
      <c r="D256" s="40"/>
      <c r="E256" s="41"/>
      <c r="F256" s="39"/>
      <c r="G256" s="42"/>
      <c r="H256" s="43"/>
      <c r="I256" s="44"/>
      <c r="J256" s="40"/>
      <c r="K256" s="45"/>
      <c r="L256" s="39"/>
      <c r="M256" s="46"/>
      <c r="N256" s="38"/>
      <c r="O256" s="47"/>
      <c r="P256" s="47"/>
      <c r="Q256" s="48"/>
      <c r="R256" s="47"/>
      <c r="S256" s="49"/>
      <c r="T256" s="47"/>
      <c r="U256" s="47"/>
      <c r="V256" s="47"/>
      <c r="W256" s="47"/>
      <c r="X256" s="50"/>
      <c r="Y256" s="47"/>
      <c r="Z256" s="47"/>
    </row>
    <row r="257" ht="15.75" customHeight="1">
      <c r="A257" s="38"/>
      <c r="B257" s="39"/>
      <c r="C257" s="39"/>
      <c r="D257" s="40"/>
      <c r="E257" s="41"/>
      <c r="F257" s="39"/>
      <c r="G257" s="42"/>
      <c r="H257" s="43"/>
      <c r="I257" s="44"/>
      <c r="J257" s="40"/>
      <c r="K257" s="45"/>
      <c r="L257" s="39"/>
      <c r="M257" s="46"/>
      <c r="N257" s="38"/>
      <c r="O257" s="47"/>
      <c r="P257" s="47"/>
      <c r="Q257" s="48"/>
      <c r="R257" s="47"/>
      <c r="S257" s="49"/>
      <c r="T257" s="47"/>
      <c r="U257" s="47"/>
      <c r="V257" s="47"/>
      <c r="W257" s="47"/>
      <c r="X257" s="50"/>
      <c r="Y257" s="47"/>
      <c r="Z257" s="47"/>
    </row>
    <row r="258" ht="15.75" customHeight="1">
      <c r="A258" s="38"/>
      <c r="B258" s="39"/>
      <c r="C258" s="39"/>
      <c r="D258" s="40"/>
      <c r="E258" s="41"/>
      <c r="F258" s="39"/>
      <c r="G258" s="42"/>
      <c r="H258" s="43"/>
      <c r="I258" s="44"/>
      <c r="J258" s="40"/>
      <c r="K258" s="45"/>
      <c r="L258" s="39"/>
      <c r="M258" s="46"/>
      <c r="N258" s="38"/>
      <c r="O258" s="47"/>
      <c r="P258" s="47"/>
      <c r="Q258" s="48"/>
      <c r="R258" s="47"/>
      <c r="S258" s="49"/>
      <c r="T258" s="47"/>
      <c r="U258" s="47"/>
      <c r="V258" s="47"/>
      <c r="W258" s="47"/>
      <c r="X258" s="50"/>
      <c r="Y258" s="47"/>
      <c r="Z258" s="47"/>
    </row>
    <row r="259" ht="15.75" customHeight="1">
      <c r="A259" s="38"/>
      <c r="B259" s="39"/>
      <c r="C259" s="39"/>
      <c r="D259" s="40"/>
      <c r="E259" s="41"/>
      <c r="F259" s="39"/>
      <c r="G259" s="42"/>
      <c r="H259" s="43"/>
      <c r="I259" s="44"/>
      <c r="J259" s="40"/>
      <c r="K259" s="45"/>
      <c r="L259" s="39"/>
      <c r="M259" s="46"/>
      <c r="N259" s="38"/>
      <c r="O259" s="47"/>
      <c r="P259" s="47"/>
      <c r="Q259" s="48"/>
      <c r="R259" s="47"/>
      <c r="S259" s="49"/>
      <c r="T259" s="47"/>
      <c r="U259" s="47"/>
      <c r="V259" s="47"/>
      <c r="W259" s="47"/>
      <c r="X259" s="50"/>
      <c r="Y259" s="47"/>
      <c r="Z259" s="47"/>
    </row>
    <row r="260" ht="15.75" customHeight="1">
      <c r="A260" s="38"/>
      <c r="B260" s="39"/>
      <c r="C260" s="39"/>
      <c r="D260" s="40"/>
      <c r="E260" s="41"/>
      <c r="F260" s="39"/>
      <c r="G260" s="42"/>
      <c r="H260" s="43"/>
      <c r="I260" s="44"/>
      <c r="J260" s="40"/>
      <c r="K260" s="45"/>
      <c r="L260" s="39"/>
      <c r="M260" s="46"/>
      <c r="N260" s="38"/>
      <c r="O260" s="47"/>
      <c r="P260" s="47"/>
      <c r="Q260" s="48"/>
      <c r="R260" s="47"/>
      <c r="S260" s="49"/>
      <c r="T260" s="47"/>
      <c r="U260" s="47"/>
      <c r="V260" s="47"/>
      <c r="W260" s="47"/>
      <c r="X260" s="50"/>
      <c r="Y260" s="47"/>
      <c r="Z260" s="47"/>
    </row>
    <row r="261" ht="15.75" customHeight="1">
      <c r="A261" s="38"/>
      <c r="B261" s="39"/>
      <c r="C261" s="39"/>
      <c r="D261" s="40"/>
      <c r="E261" s="41"/>
      <c r="F261" s="39"/>
      <c r="G261" s="42"/>
      <c r="H261" s="43"/>
      <c r="I261" s="44"/>
      <c r="J261" s="40"/>
      <c r="K261" s="45"/>
      <c r="L261" s="39"/>
      <c r="M261" s="46"/>
      <c r="N261" s="38"/>
      <c r="O261" s="47"/>
      <c r="P261" s="47"/>
      <c r="Q261" s="48"/>
      <c r="R261" s="47"/>
      <c r="S261" s="49"/>
      <c r="T261" s="47"/>
      <c r="U261" s="47"/>
      <c r="V261" s="47"/>
      <c r="W261" s="47"/>
      <c r="X261" s="50"/>
      <c r="Y261" s="47"/>
      <c r="Z261" s="47"/>
    </row>
    <row r="262" ht="15.75" customHeight="1">
      <c r="A262" s="38"/>
      <c r="B262" s="39"/>
      <c r="C262" s="39"/>
      <c r="D262" s="40"/>
      <c r="E262" s="41"/>
      <c r="F262" s="39"/>
      <c r="G262" s="42"/>
      <c r="H262" s="43"/>
      <c r="I262" s="44"/>
      <c r="J262" s="40"/>
      <c r="K262" s="45"/>
      <c r="L262" s="39"/>
      <c r="M262" s="46"/>
      <c r="N262" s="38"/>
      <c r="O262" s="47"/>
      <c r="P262" s="47"/>
      <c r="Q262" s="48"/>
      <c r="R262" s="47"/>
      <c r="S262" s="49"/>
      <c r="T262" s="47"/>
      <c r="U262" s="47"/>
      <c r="V262" s="47"/>
      <c r="W262" s="47"/>
      <c r="X262" s="50"/>
      <c r="Y262" s="47"/>
      <c r="Z262" s="47"/>
    </row>
    <row r="263" ht="15.75" customHeight="1">
      <c r="A263" s="38"/>
      <c r="B263" s="39"/>
      <c r="C263" s="39"/>
      <c r="D263" s="40"/>
      <c r="E263" s="41"/>
      <c r="F263" s="39"/>
      <c r="G263" s="42"/>
      <c r="H263" s="43"/>
      <c r="I263" s="44"/>
      <c r="J263" s="40"/>
      <c r="K263" s="45"/>
      <c r="L263" s="39"/>
      <c r="M263" s="46"/>
      <c r="N263" s="38"/>
      <c r="O263" s="47"/>
      <c r="P263" s="47"/>
      <c r="Q263" s="48"/>
      <c r="R263" s="47"/>
      <c r="S263" s="49"/>
      <c r="T263" s="47"/>
      <c r="U263" s="47"/>
      <c r="V263" s="47"/>
      <c r="W263" s="47"/>
      <c r="X263" s="50"/>
      <c r="Y263" s="47"/>
      <c r="Z263" s="47"/>
    </row>
    <row r="264" ht="15.75" customHeight="1">
      <c r="A264" s="38"/>
      <c r="B264" s="39"/>
      <c r="C264" s="39"/>
      <c r="D264" s="40"/>
      <c r="E264" s="41"/>
      <c r="F264" s="39"/>
      <c r="G264" s="42"/>
      <c r="H264" s="43"/>
      <c r="I264" s="44"/>
      <c r="J264" s="40"/>
      <c r="K264" s="45"/>
      <c r="L264" s="39"/>
      <c r="M264" s="46"/>
      <c r="N264" s="38"/>
      <c r="O264" s="47"/>
      <c r="P264" s="47"/>
      <c r="Q264" s="48"/>
      <c r="R264" s="47"/>
      <c r="S264" s="49"/>
      <c r="T264" s="47"/>
      <c r="U264" s="47"/>
      <c r="V264" s="47"/>
      <c r="W264" s="47"/>
      <c r="X264" s="50"/>
      <c r="Y264" s="47"/>
      <c r="Z264" s="47"/>
    </row>
    <row r="265" ht="15.75" customHeight="1">
      <c r="A265" s="38"/>
      <c r="B265" s="39"/>
      <c r="C265" s="39"/>
      <c r="D265" s="40"/>
      <c r="E265" s="41"/>
      <c r="F265" s="39"/>
      <c r="G265" s="42"/>
      <c r="H265" s="43"/>
      <c r="I265" s="44"/>
      <c r="J265" s="40"/>
      <c r="K265" s="45"/>
      <c r="L265" s="39"/>
      <c r="M265" s="46"/>
      <c r="N265" s="38"/>
      <c r="O265" s="47"/>
      <c r="P265" s="47"/>
      <c r="Q265" s="48"/>
      <c r="R265" s="47"/>
      <c r="S265" s="49"/>
      <c r="T265" s="47"/>
      <c r="U265" s="47"/>
      <c r="V265" s="47"/>
      <c r="W265" s="47"/>
      <c r="X265" s="50"/>
      <c r="Y265" s="47"/>
      <c r="Z265" s="47"/>
    </row>
    <row r="266" ht="15.75" customHeight="1">
      <c r="A266" s="38"/>
      <c r="B266" s="39"/>
      <c r="C266" s="39"/>
      <c r="D266" s="40"/>
      <c r="E266" s="41"/>
      <c r="F266" s="39"/>
      <c r="G266" s="42"/>
      <c r="H266" s="43"/>
      <c r="I266" s="44"/>
      <c r="J266" s="40"/>
      <c r="K266" s="45"/>
      <c r="L266" s="39"/>
      <c r="M266" s="46"/>
      <c r="N266" s="38"/>
      <c r="O266" s="47"/>
      <c r="P266" s="47"/>
      <c r="Q266" s="48"/>
      <c r="R266" s="47"/>
      <c r="S266" s="49"/>
      <c r="T266" s="47"/>
      <c r="U266" s="47"/>
      <c r="V266" s="47"/>
      <c r="W266" s="47"/>
      <c r="X266" s="50"/>
      <c r="Y266" s="47"/>
      <c r="Z266" s="47"/>
    </row>
    <row r="267" ht="15.75" customHeight="1">
      <c r="A267" s="38"/>
      <c r="B267" s="39"/>
      <c r="C267" s="39"/>
      <c r="D267" s="40"/>
      <c r="E267" s="41"/>
      <c r="F267" s="39"/>
      <c r="G267" s="42"/>
      <c r="H267" s="43"/>
      <c r="I267" s="44"/>
      <c r="J267" s="40"/>
      <c r="K267" s="45"/>
      <c r="L267" s="39"/>
      <c r="M267" s="46"/>
      <c r="N267" s="38"/>
      <c r="O267" s="47"/>
      <c r="P267" s="47"/>
      <c r="Q267" s="48"/>
      <c r="R267" s="47"/>
      <c r="S267" s="49"/>
      <c r="T267" s="47"/>
      <c r="U267" s="47"/>
      <c r="V267" s="47"/>
      <c r="W267" s="47"/>
      <c r="X267" s="50"/>
      <c r="Y267" s="47"/>
      <c r="Z267" s="47"/>
    </row>
    <row r="268" ht="15.75" customHeight="1">
      <c r="A268" s="38"/>
      <c r="B268" s="39"/>
      <c r="C268" s="39"/>
      <c r="D268" s="40"/>
      <c r="E268" s="41"/>
      <c r="F268" s="39"/>
      <c r="G268" s="42"/>
      <c r="H268" s="43"/>
      <c r="I268" s="44"/>
      <c r="J268" s="40"/>
      <c r="K268" s="45"/>
      <c r="L268" s="39"/>
      <c r="M268" s="46"/>
      <c r="N268" s="38"/>
      <c r="O268" s="47"/>
      <c r="P268" s="47"/>
      <c r="Q268" s="48"/>
      <c r="R268" s="47"/>
      <c r="S268" s="49"/>
      <c r="T268" s="47"/>
      <c r="U268" s="47"/>
      <c r="V268" s="47"/>
      <c r="W268" s="47"/>
      <c r="X268" s="50"/>
      <c r="Y268" s="47"/>
      <c r="Z268" s="47"/>
    </row>
    <row r="269" ht="15.75" customHeight="1">
      <c r="A269" s="38"/>
      <c r="B269" s="39"/>
      <c r="C269" s="39"/>
      <c r="D269" s="40"/>
      <c r="E269" s="41"/>
      <c r="F269" s="39"/>
      <c r="G269" s="42"/>
      <c r="H269" s="43"/>
      <c r="I269" s="44"/>
      <c r="J269" s="40"/>
      <c r="K269" s="45"/>
      <c r="L269" s="39"/>
      <c r="M269" s="46"/>
      <c r="N269" s="38"/>
      <c r="O269" s="47"/>
      <c r="P269" s="47"/>
      <c r="Q269" s="48"/>
      <c r="R269" s="47"/>
      <c r="S269" s="49"/>
      <c r="T269" s="47"/>
      <c r="U269" s="47"/>
      <c r="V269" s="47"/>
      <c r="W269" s="47"/>
      <c r="X269" s="50"/>
      <c r="Y269" s="47"/>
      <c r="Z269" s="47"/>
    </row>
    <row r="270" ht="15.75" customHeight="1">
      <c r="A270" s="38"/>
      <c r="B270" s="39"/>
      <c r="C270" s="39"/>
      <c r="D270" s="40"/>
      <c r="E270" s="41"/>
      <c r="F270" s="39"/>
      <c r="G270" s="42"/>
      <c r="H270" s="43"/>
      <c r="I270" s="44"/>
      <c r="J270" s="40"/>
      <c r="K270" s="45"/>
      <c r="L270" s="39"/>
      <c r="M270" s="46"/>
      <c r="N270" s="38"/>
      <c r="O270" s="47"/>
      <c r="P270" s="47"/>
      <c r="Q270" s="48"/>
      <c r="R270" s="47"/>
      <c r="S270" s="49"/>
      <c r="T270" s="47"/>
      <c r="U270" s="47"/>
      <c r="V270" s="47"/>
      <c r="W270" s="47"/>
      <c r="X270" s="50"/>
      <c r="Y270" s="47"/>
      <c r="Z270" s="47"/>
    </row>
    <row r="271" ht="15.75" customHeight="1">
      <c r="A271" s="38"/>
      <c r="B271" s="39"/>
      <c r="C271" s="39"/>
      <c r="D271" s="40"/>
      <c r="E271" s="41"/>
      <c r="F271" s="39"/>
      <c r="G271" s="42"/>
      <c r="H271" s="43"/>
      <c r="I271" s="44"/>
      <c r="J271" s="40"/>
      <c r="K271" s="45"/>
      <c r="L271" s="39"/>
      <c r="M271" s="46"/>
      <c r="N271" s="38"/>
      <c r="O271" s="47"/>
      <c r="P271" s="47"/>
      <c r="Q271" s="48"/>
      <c r="R271" s="47"/>
      <c r="S271" s="49"/>
      <c r="T271" s="47"/>
      <c r="U271" s="47"/>
      <c r="V271" s="47"/>
      <c r="W271" s="47"/>
      <c r="X271" s="50"/>
      <c r="Y271" s="47"/>
      <c r="Z271" s="47"/>
    </row>
    <row r="272" ht="15.75" customHeight="1">
      <c r="A272" s="38"/>
      <c r="B272" s="39"/>
      <c r="C272" s="39"/>
      <c r="D272" s="40"/>
      <c r="E272" s="41"/>
      <c r="F272" s="39"/>
      <c r="G272" s="42"/>
      <c r="H272" s="43"/>
      <c r="I272" s="44"/>
      <c r="J272" s="40"/>
      <c r="K272" s="45"/>
      <c r="L272" s="39"/>
      <c r="M272" s="46"/>
      <c r="N272" s="38"/>
      <c r="O272" s="47"/>
      <c r="P272" s="47"/>
      <c r="Q272" s="48"/>
      <c r="R272" s="47"/>
      <c r="S272" s="49"/>
      <c r="T272" s="47"/>
      <c r="U272" s="47"/>
      <c r="V272" s="47"/>
      <c r="W272" s="47"/>
      <c r="X272" s="50"/>
      <c r="Y272" s="47"/>
      <c r="Z272" s="47"/>
    </row>
    <row r="273" ht="15.75" customHeight="1">
      <c r="A273" s="38"/>
      <c r="B273" s="39"/>
      <c r="C273" s="39"/>
      <c r="D273" s="40"/>
      <c r="E273" s="41"/>
      <c r="F273" s="39"/>
      <c r="G273" s="42"/>
      <c r="H273" s="43"/>
      <c r="I273" s="44"/>
      <c r="J273" s="40"/>
      <c r="K273" s="45"/>
      <c r="L273" s="39"/>
      <c r="M273" s="46"/>
      <c r="N273" s="38"/>
      <c r="O273" s="47"/>
      <c r="P273" s="47"/>
      <c r="Q273" s="48"/>
      <c r="R273" s="47"/>
      <c r="S273" s="49"/>
      <c r="T273" s="47"/>
      <c r="U273" s="47"/>
      <c r="V273" s="47"/>
      <c r="W273" s="47"/>
      <c r="X273" s="50"/>
      <c r="Y273" s="47"/>
      <c r="Z273" s="47"/>
    </row>
    <row r="274" ht="15.75" customHeight="1">
      <c r="A274" s="38"/>
      <c r="B274" s="39"/>
      <c r="C274" s="39"/>
      <c r="D274" s="40"/>
      <c r="E274" s="41"/>
      <c r="F274" s="39"/>
      <c r="G274" s="42"/>
      <c r="H274" s="43"/>
      <c r="I274" s="44"/>
      <c r="J274" s="40"/>
      <c r="K274" s="45"/>
      <c r="L274" s="39"/>
      <c r="M274" s="46"/>
      <c r="N274" s="38"/>
      <c r="O274" s="47"/>
      <c r="P274" s="47"/>
      <c r="Q274" s="48"/>
      <c r="R274" s="47"/>
      <c r="S274" s="49"/>
      <c r="T274" s="47"/>
      <c r="U274" s="47"/>
      <c r="V274" s="47"/>
      <c r="W274" s="47"/>
      <c r="X274" s="50"/>
      <c r="Y274" s="47"/>
      <c r="Z274" s="47"/>
    </row>
    <row r="275" ht="15.75" customHeight="1">
      <c r="A275" s="38"/>
      <c r="B275" s="39"/>
      <c r="C275" s="39"/>
      <c r="D275" s="40"/>
      <c r="E275" s="41"/>
      <c r="F275" s="39"/>
      <c r="G275" s="42"/>
      <c r="H275" s="43"/>
      <c r="I275" s="44"/>
      <c r="J275" s="40"/>
      <c r="K275" s="45"/>
      <c r="L275" s="39"/>
      <c r="M275" s="46"/>
      <c r="N275" s="38"/>
      <c r="O275" s="47"/>
      <c r="P275" s="47"/>
      <c r="Q275" s="48"/>
      <c r="R275" s="47"/>
      <c r="S275" s="49"/>
      <c r="T275" s="47"/>
      <c r="U275" s="47"/>
      <c r="V275" s="47"/>
      <c r="W275" s="47"/>
      <c r="X275" s="50"/>
      <c r="Y275" s="47"/>
      <c r="Z275" s="47"/>
    </row>
    <row r="276" ht="15.75" customHeight="1">
      <c r="A276" s="38"/>
      <c r="B276" s="39"/>
      <c r="C276" s="39"/>
      <c r="D276" s="40"/>
      <c r="E276" s="41"/>
      <c r="F276" s="39"/>
      <c r="G276" s="42"/>
      <c r="H276" s="43"/>
      <c r="I276" s="44"/>
      <c r="J276" s="40"/>
      <c r="K276" s="45"/>
      <c r="L276" s="39"/>
      <c r="M276" s="46"/>
      <c r="N276" s="38"/>
      <c r="O276" s="47"/>
      <c r="P276" s="47"/>
      <c r="Q276" s="48"/>
      <c r="R276" s="47"/>
      <c r="S276" s="49"/>
      <c r="T276" s="47"/>
      <c r="U276" s="47"/>
      <c r="V276" s="47"/>
      <c r="W276" s="47"/>
      <c r="X276" s="50"/>
      <c r="Y276" s="47"/>
      <c r="Z276" s="47"/>
    </row>
    <row r="277" ht="15.75" customHeight="1">
      <c r="A277" s="38"/>
      <c r="B277" s="39"/>
      <c r="C277" s="39"/>
      <c r="D277" s="40"/>
      <c r="E277" s="41"/>
      <c r="F277" s="39"/>
      <c r="G277" s="42"/>
      <c r="H277" s="43"/>
      <c r="I277" s="44"/>
      <c r="J277" s="40"/>
      <c r="K277" s="45"/>
      <c r="L277" s="39"/>
      <c r="M277" s="46"/>
      <c r="N277" s="38"/>
      <c r="O277" s="47"/>
      <c r="P277" s="47"/>
      <c r="Q277" s="48"/>
      <c r="R277" s="47"/>
      <c r="S277" s="49"/>
      <c r="T277" s="47"/>
      <c r="U277" s="47"/>
      <c r="V277" s="47"/>
      <c r="W277" s="47"/>
      <c r="X277" s="50"/>
      <c r="Y277" s="47"/>
      <c r="Z277" s="47"/>
    </row>
    <row r="278" ht="15.75" customHeight="1">
      <c r="A278" s="38"/>
      <c r="B278" s="39"/>
      <c r="C278" s="39"/>
      <c r="D278" s="40"/>
      <c r="E278" s="41"/>
      <c r="F278" s="39"/>
      <c r="G278" s="42"/>
      <c r="H278" s="43"/>
      <c r="I278" s="44"/>
      <c r="J278" s="40"/>
      <c r="K278" s="45"/>
      <c r="L278" s="39"/>
      <c r="M278" s="46"/>
      <c r="N278" s="38"/>
      <c r="O278" s="47"/>
      <c r="P278" s="47"/>
      <c r="Q278" s="48"/>
      <c r="R278" s="47"/>
      <c r="S278" s="49"/>
      <c r="T278" s="47"/>
      <c r="U278" s="47"/>
      <c r="V278" s="47"/>
      <c r="W278" s="47"/>
      <c r="X278" s="50"/>
      <c r="Y278" s="47"/>
      <c r="Z278" s="47"/>
    </row>
    <row r="279" ht="15.75" customHeight="1">
      <c r="A279" s="38"/>
      <c r="B279" s="39"/>
      <c r="C279" s="39"/>
      <c r="D279" s="40"/>
      <c r="E279" s="41"/>
      <c r="F279" s="39"/>
      <c r="G279" s="42"/>
      <c r="H279" s="43"/>
      <c r="I279" s="44"/>
      <c r="J279" s="40"/>
      <c r="K279" s="45"/>
      <c r="L279" s="39"/>
      <c r="M279" s="46"/>
      <c r="N279" s="38"/>
      <c r="O279" s="47"/>
      <c r="P279" s="47"/>
      <c r="Q279" s="48"/>
      <c r="R279" s="47"/>
      <c r="S279" s="49"/>
      <c r="T279" s="47"/>
      <c r="U279" s="47"/>
      <c r="V279" s="47"/>
      <c r="W279" s="47"/>
      <c r="X279" s="50"/>
      <c r="Y279" s="47"/>
      <c r="Z279" s="47"/>
    </row>
    <row r="280" ht="15.75" customHeight="1">
      <c r="A280" s="38"/>
      <c r="B280" s="39"/>
      <c r="C280" s="39"/>
      <c r="D280" s="40"/>
      <c r="E280" s="41"/>
      <c r="F280" s="39"/>
      <c r="G280" s="42"/>
      <c r="H280" s="43"/>
      <c r="I280" s="44"/>
      <c r="J280" s="40"/>
      <c r="K280" s="45"/>
      <c r="L280" s="39"/>
      <c r="M280" s="46"/>
      <c r="N280" s="38"/>
      <c r="O280" s="47"/>
      <c r="P280" s="47"/>
      <c r="Q280" s="48"/>
      <c r="R280" s="47"/>
      <c r="S280" s="49"/>
      <c r="T280" s="47"/>
      <c r="U280" s="47"/>
      <c r="V280" s="47"/>
      <c r="W280" s="47"/>
      <c r="X280" s="50"/>
      <c r="Y280" s="47"/>
      <c r="Z280" s="47"/>
    </row>
    <row r="281" ht="15.75" customHeight="1">
      <c r="A281" s="38"/>
      <c r="B281" s="39"/>
      <c r="C281" s="39"/>
      <c r="D281" s="40"/>
      <c r="E281" s="41"/>
      <c r="F281" s="39"/>
      <c r="G281" s="42"/>
      <c r="H281" s="43"/>
      <c r="I281" s="44"/>
      <c r="J281" s="40"/>
      <c r="K281" s="45"/>
      <c r="L281" s="39"/>
      <c r="M281" s="46"/>
      <c r="N281" s="38"/>
      <c r="O281" s="47"/>
      <c r="P281" s="47"/>
      <c r="Q281" s="48"/>
      <c r="R281" s="47"/>
      <c r="S281" s="49"/>
      <c r="T281" s="47"/>
      <c r="U281" s="47"/>
      <c r="V281" s="47"/>
      <c r="W281" s="47"/>
      <c r="X281" s="50"/>
      <c r="Y281" s="47"/>
      <c r="Z281" s="47"/>
    </row>
    <row r="282" ht="15.75" customHeight="1">
      <c r="A282" s="38"/>
      <c r="B282" s="39"/>
      <c r="C282" s="39"/>
      <c r="D282" s="40"/>
      <c r="E282" s="41"/>
      <c r="F282" s="39"/>
      <c r="G282" s="42"/>
      <c r="H282" s="43"/>
      <c r="I282" s="44"/>
      <c r="J282" s="40"/>
      <c r="K282" s="45"/>
      <c r="L282" s="39"/>
      <c r="M282" s="46"/>
      <c r="N282" s="38"/>
      <c r="O282" s="47"/>
      <c r="P282" s="47"/>
      <c r="Q282" s="48"/>
      <c r="R282" s="47"/>
      <c r="S282" s="49"/>
      <c r="T282" s="47"/>
      <c r="U282" s="47"/>
      <c r="V282" s="47"/>
      <c r="W282" s="47"/>
      <c r="X282" s="50"/>
      <c r="Y282" s="47"/>
      <c r="Z282" s="47"/>
    </row>
    <row r="283" ht="15.75" customHeight="1">
      <c r="A283" s="38"/>
      <c r="B283" s="39"/>
      <c r="C283" s="39"/>
      <c r="D283" s="40"/>
      <c r="E283" s="41"/>
      <c r="F283" s="39"/>
      <c r="G283" s="42"/>
      <c r="H283" s="43"/>
      <c r="I283" s="44"/>
      <c r="J283" s="40"/>
      <c r="K283" s="45"/>
      <c r="L283" s="39"/>
      <c r="M283" s="46"/>
      <c r="N283" s="38"/>
      <c r="O283" s="47"/>
      <c r="P283" s="47"/>
      <c r="Q283" s="48"/>
      <c r="R283" s="47"/>
      <c r="S283" s="49"/>
      <c r="T283" s="47"/>
      <c r="U283" s="47"/>
      <c r="V283" s="47"/>
      <c r="W283" s="47"/>
      <c r="X283" s="50"/>
      <c r="Y283" s="47"/>
      <c r="Z283" s="47"/>
    </row>
    <row r="284" ht="15.75" customHeight="1">
      <c r="A284" s="38"/>
      <c r="B284" s="39"/>
      <c r="C284" s="39"/>
      <c r="D284" s="40"/>
      <c r="E284" s="41"/>
      <c r="F284" s="39"/>
      <c r="G284" s="42"/>
      <c r="H284" s="43"/>
      <c r="I284" s="44"/>
      <c r="J284" s="40"/>
      <c r="K284" s="45"/>
      <c r="L284" s="39"/>
      <c r="M284" s="46"/>
      <c r="N284" s="38"/>
      <c r="O284" s="47"/>
      <c r="P284" s="47"/>
      <c r="Q284" s="48"/>
      <c r="R284" s="47"/>
      <c r="S284" s="49"/>
      <c r="T284" s="47"/>
      <c r="U284" s="47"/>
      <c r="V284" s="47"/>
      <c r="W284" s="47"/>
      <c r="X284" s="50"/>
      <c r="Y284" s="47"/>
      <c r="Z284" s="47"/>
    </row>
    <row r="285" ht="15.75" customHeight="1">
      <c r="A285" s="38"/>
      <c r="B285" s="39"/>
      <c r="C285" s="39"/>
      <c r="D285" s="40"/>
      <c r="E285" s="41"/>
      <c r="F285" s="39"/>
      <c r="G285" s="42"/>
      <c r="H285" s="43"/>
      <c r="I285" s="44"/>
      <c r="J285" s="40"/>
      <c r="K285" s="45"/>
      <c r="L285" s="39"/>
      <c r="M285" s="46"/>
      <c r="N285" s="38"/>
      <c r="O285" s="47"/>
      <c r="P285" s="47"/>
      <c r="Q285" s="48"/>
      <c r="R285" s="47"/>
      <c r="S285" s="49"/>
      <c r="T285" s="47"/>
      <c r="U285" s="47"/>
      <c r="V285" s="47"/>
      <c r="W285" s="47"/>
      <c r="X285" s="50"/>
      <c r="Y285" s="47"/>
      <c r="Z285" s="47"/>
    </row>
    <row r="286" ht="15.75" customHeight="1">
      <c r="A286" s="38"/>
      <c r="B286" s="39"/>
      <c r="C286" s="39"/>
      <c r="D286" s="40"/>
      <c r="E286" s="41"/>
      <c r="F286" s="39"/>
      <c r="G286" s="42"/>
      <c r="H286" s="43"/>
      <c r="I286" s="44"/>
      <c r="J286" s="40"/>
      <c r="K286" s="45"/>
      <c r="L286" s="39"/>
      <c r="M286" s="46"/>
      <c r="N286" s="38"/>
      <c r="O286" s="47"/>
      <c r="P286" s="47"/>
      <c r="Q286" s="48"/>
      <c r="R286" s="47"/>
      <c r="S286" s="49"/>
      <c r="T286" s="47"/>
      <c r="U286" s="47"/>
      <c r="V286" s="47"/>
      <c r="W286" s="47"/>
      <c r="X286" s="50"/>
      <c r="Y286" s="47"/>
      <c r="Z286" s="47"/>
    </row>
    <row r="287" ht="15.75" customHeight="1">
      <c r="A287" s="38"/>
      <c r="B287" s="39"/>
      <c r="C287" s="39"/>
      <c r="D287" s="40"/>
      <c r="E287" s="41"/>
      <c r="F287" s="39"/>
      <c r="G287" s="42"/>
      <c r="H287" s="43"/>
      <c r="I287" s="44"/>
      <c r="J287" s="40"/>
      <c r="K287" s="45"/>
      <c r="L287" s="39"/>
      <c r="M287" s="46"/>
      <c r="N287" s="38"/>
      <c r="O287" s="47"/>
      <c r="P287" s="47"/>
      <c r="Q287" s="48"/>
      <c r="R287" s="47"/>
      <c r="S287" s="49"/>
      <c r="T287" s="47"/>
      <c r="U287" s="47"/>
      <c r="V287" s="47"/>
      <c r="W287" s="47"/>
      <c r="X287" s="50"/>
      <c r="Y287" s="47"/>
      <c r="Z287" s="47"/>
    </row>
    <row r="288" ht="15.75" customHeight="1">
      <c r="A288" s="38"/>
      <c r="B288" s="39"/>
      <c r="C288" s="39"/>
      <c r="D288" s="40"/>
      <c r="E288" s="41"/>
      <c r="F288" s="39"/>
      <c r="G288" s="42"/>
      <c r="H288" s="43"/>
      <c r="I288" s="44"/>
      <c r="J288" s="40"/>
      <c r="K288" s="45"/>
      <c r="L288" s="39"/>
      <c r="M288" s="46"/>
      <c r="N288" s="38"/>
      <c r="O288" s="47"/>
      <c r="P288" s="47"/>
      <c r="Q288" s="48"/>
      <c r="R288" s="47"/>
      <c r="S288" s="49"/>
      <c r="T288" s="47"/>
      <c r="U288" s="47"/>
      <c r="V288" s="47"/>
      <c r="W288" s="47"/>
      <c r="X288" s="50"/>
      <c r="Y288" s="47"/>
      <c r="Z288" s="47"/>
    </row>
    <row r="289" ht="15.75" customHeight="1">
      <c r="A289" s="38"/>
      <c r="B289" s="39"/>
      <c r="C289" s="39"/>
      <c r="D289" s="40"/>
      <c r="E289" s="41"/>
      <c r="F289" s="39"/>
      <c r="G289" s="42"/>
      <c r="H289" s="43"/>
      <c r="I289" s="44"/>
      <c r="J289" s="40"/>
      <c r="K289" s="45"/>
      <c r="L289" s="39"/>
      <c r="M289" s="46"/>
      <c r="N289" s="38"/>
      <c r="O289" s="47"/>
      <c r="P289" s="47"/>
      <c r="Q289" s="48"/>
      <c r="R289" s="47"/>
      <c r="S289" s="49"/>
      <c r="T289" s="47"/>
      <c r="U289" s="47"/>
      <c r="V289" s="47"/>
      <c r="W289" s="47"/>
      <c r="X289" s="50"/>
      <c r="Y289" s="47"/>
      <c r="Z289" s="47"/>
    </row>
    <row r="290" ht="15.75" customHeight="1">
      <c r="A290" s="38"/>
      <c r="B290" s="39"/>
      <c r="C290" s="39"/>
      <c r="D290" s="40"/>
      <c r="E290" s="41"/>
      <c r="F290" s="39"/>
      <c r="G290" s="42"/>
      <c r="H290" s="43"/>
      <c r="I290" s="44"/>
      <c r="J290" s="40"/>
      <c r="K290" s="45"/>
      <c r="L290" s="39"/>
      <c r="M290" s="46"/>
      <c r="N290" s="38"/>
      <c r="O290" s="47"/>
      <c r="P290" s="47"/>
      <c r="Q290" s="48"/>
      <c r="R290" s="47"/>
      <c r="S290" s="49"/>
      <c r="T290" s="47"/>
      <c r="U290" s="47"/>
      <c r="V290" s="47"/>
      <c r="W290" s="47"/>
      <c r="X290" s="50"/>
      <c r="Y290" s="47"/>
      <c r="Z290" s="47"/>
    </row>
    <row r="291" ht="15.75" customHeight="1">
      <c r="A291" s="38"/>
      <c r="B291" s="39"/>
      <c r="C291" s="39"/>
      <c r="D291" s="40"/>
      <c r="E291" s="41"/>
      <c r="F291" s="39"/>
      <c r="G291" s="42"/>
      <c r="H291" s="43"/>
      <c r="I291" s="44"/>
      <c r="J291" s="40"/>
      <c r="K291" s="45"/>
      <c r="L291" s="39"/>
      <c r="M291" s="46"/>
      <c r="N291" s="38"/>
      <c r="O291" s="47"/>
      <c r="P291" s="47"/>
      <c r="Q291" s="48"/>
      <c r="R291" s="47"/>
      <c r="S291" s="49"/>
      <c r="T291" s="47"/>
      <c r="U291" s="47"/>
      <c r="V291" s="47"/>
      <c r="W291" s="47"/>
      <c r="X291" s="50"/>
      <c r="Y291" s="47"/>
      <c r="Z291" s="47"/>
    </row>
    <row r="292" ht="15.75" customHeight="1">
      <c r="A292" s="38"/>
      <c r="B292" s="39"/>
      <c r="C292" s="39"/>
      <c r="D292" s="40"/>
      <c r="E292" s="41"/>
      <c r="F292" s="39"/>
      <c r="G292" s="42"/>
      <c r="H292" s="43"/>
      <c r="I292" s="44"/>
      <c r="J292" s="40"/>
      <c r="K292" s="45"/>
      <c r="L292" s="39"/>
      <c r="M292" s="46"/>
      <c r="N292" s="38"/>
      <c r="O292" s="47"/>
      <c r="P292" s="47"/>
      <c r="Q292" s="48"/>
      <c r="R292" s="47"/>
      <c r="S292" s="49"/>
      <c r="T292" s="47"/>
      <c r="U292" s="47"/>
      <c r="V292" s="47"/>
      <c r="W292" s="47"/>
      <c r="X292" s="50"/>
      <c r="Y292" s="47"/>
      <c r="Z292" s="47"/>
    </row>
    <row r="293" ht="15.75" customHeight="1">
      <c r="A293" s="38"/>
      <c r="B293" s="39"/>
      <c r="C293" s="39"/>
      <c r="D293" s="40"/>
      <c r="E293" s="41"/>
      <c r="F293" s="39"/>
      <c r="G293" s="42"/>
      <c r="H293" s="43"/>
      <c r="I293" s="44"/>
      <c r="J293" s="40"/>
      <c r="K293" s="45"/>
      <c r="L293" s="39"/>
      <c r="M293" s="46"/>
      <c r="N293" s="38"/>
      <c r="O293" s="47"/>
      <c r="P293" s="47"/>
      <c r="Q293" s="48"/>
      <c r="R293" s="47"/>
      <c r="S293" s="49"/>
      <c r="T293" s="47"/>
      <c r="U293" s="47"/>
      <c r="V293" s="47"/>
      <c r="W293" s="47"/>
      <c r="X293" s="50"/>
      <c r="Y293" s="47"/>
      <c r="Z293" s="47"/>
    </row>
    <row r="294" ht="15.75" customHeight="1">
      <c r="A294" s="38"/>
      <c r="B294" s="39"/>
      <c r="C294" s="39"/>
      <c r="D294" s="40"/>
      <c r="E294" s="41"/>
      <c r="F294" s="39"/>
      <c r="G294" s="42"/>
      <c r="H294" s="43"/>
      <c r="I294" s="44"/>
      <c r="J294" s="40"/>
      <c r="K294" s="45"/>
      <c r="L294" s="39"/>
      <c r="M294" s="46"/>
      <c r="N294" s="38"/>
      <c r="O294" s="47"/>
      <c r="P294" s="47"/>
      <c r="Q294" s="48"/>
      <c r="R294" s="47"/>
      <c r="S294" s="49"/>
      <c r="T294" s="47"/>
      <c r="U294" s="47"/>
      <c r="V294" s="47"/>
      <c r="W294" s="47"/>
      <c r="X294" s="50"/>
      <c r="Y294" s="47"/>
      <c r="Z294" s="47"/>
    </row>
    <row r="295" ht="15.75" customHeight="1">
      <c r="A295" s="38"/>
      <c r="B295" s="39"/>
      <c r="C295" s="39"/>
      <c r="D295" s="40"/>
      <c r="E295" s="41"/>
      <c r="F295" s="39"/>
      <c r="G295" s="42"/>
      <c r="H295" s="43"/>
      <c r="I295" s="44"/>
      <c r="J295" s="55"/>
      <c r="K295" s="56"/>
      <c r="L295" s="58"/>
      <c r="N295" s="58"/>
      <c r="S295" s="59"/>
      <c r="Y295" s="47"/>
      <c r="Z295" s="47"/>
    </row>
    <row r="296" ht="15.75" customHeight="1">
      <c r="A296" s="38"/>
      <c r="B296" s="39"/>
      <c r="C296" s="39"/>
      <c r="D296" s="40"/>
      <c r="E296" s="41"/>
      <c r="F296" s="39"/>
      <c r="G296" s="42"/>
      <c r="H296" s="43"/>
      <c r="I296" s="53"/>
      <c r="J296" s="55"/>
      <c r="K296" s="56"/>
      <c r="L296" s="58"/>
      <c r="N296" s="58"/>
      <c r="S296" s="59"/>
      <c r="Y296" s="47"/>
      <c r="Z296" s="47"/>
    </row>
    <row r="297" ht="15.75" customHeight="1">
      <c r="A297" s="38"/>
      <c r="B297" s="39"/>
      <c r="C297" s="39"/>
      <c r="D297" s="40"/>
      <c r="E297" s="41"/>
      <c r="F297" s="39"/>
      <c r="G297" s="42"/>
      <c r="H297" s="43"/>
      <c r="I297" s="53"/>
      <c r="J297" s="55"/>
      <c r="K297" s="56"/>
      <c r="L297" s="58"/>
      <c r="N297" s="58"/>
      <c r="S297" s="59"/>
      <c r="Y297" s="47"/>
      <c r="Z297" s="47"/>
    </row>
    <row r="298" ht="15.75" customHeight="1">
      <c r="A298" s="38"/>
      <c r="B298" s="39"/>
      <c r="C298" s="39"/>
      <c r="D298" s="40"/>
      <c r="E298" s="41"/>
      <c r="F298" s="39"/>
      <c r="G298" s="42"/>
      <c r="H298" s="43"/>
      <c r="I298" s="53"/>
      <c r="J298" s="55"/>
      <c r="K298" s="56"/>
      <c r="L298" s="58"/>
      <c r="N298" s="58"/>
      <c r="S298" s="59"/>
    </row>
    <row r="299" ht="15.75" customHeight="1">
      <c r="A299" s="38"/>
      <c r="B299" s="39"/>
      <c r="C299" s="39"/>
      <c r="D299" s="40"/>
      <c r="E299" s="41"/>
      <c r="F299" s="39"/>
      <c r="G299" s="42"/>
      <c r="H299" s="43"/>
      <c r="I299" s="53"/>
      <c r="J299" s="55"/>
      <c r="K299" s="56"/>
      <c r="L299" s="58"/>
      <c r="N299" s="58"/>
      <c r="S299" s="59"/>
    </row>
    <row r="300" ht="15.75" customHeight="1">
      <c r="A300" s="38"/>
      <c r="B300" s="39"/>
      <c r="C300" s="39"/>
      <c r="D300" s="40"/>
      <c r="E300" s="41"/>
      <c r="F300" s="39"/>
      <c r="G300" s="42"/>
      <c r="H300" s="43"/>
      <c r="I300" s="53"/>
      <c r="J300" s="55"/>
      <c r="K300" s="56"/>
      <c r="L300" s="58"/>
      <c r="N300" s="58"/>
      <c r="S300" s="59"/>
    </row>
    <row r="301" ht="15.75" customHeight="1">
      <c r="A301" s="58"/>
      <c r="B301" s="58"/>
      <c r="C301" s="58"/>
      <c r="D301" s="55"/>
      <c r="E301" s="60"/>
      <c r="F301" s="58"/>
      <c r="G301" s="61"/>
      <c r="H301" s="62"/>
      <c r="I301" s="53"/>
      <c r="J301" s="55"/>
      <c r="K301" s="56"/>
      <c r="L301" s="58"/>
      <c r="N301" s="58"/>
      <c r="S301" s="59"/>
    </row>
    <row r="302" ht="15.75" customHeight="1">
      <c r="A302" s="58"/>
      <c r="B302" s="58"/>
      <c r="C302" s="58"/>
      <c r="D302" s="55"/>
      <c r="E302" s="60"/>
      <c r="F302" s="58"/>
      <c r="G302" s="61"/>
      <c r="H302" s="62"/>
      <c r="I302" s="53"/>
      <c r="J302" s="55"/>
      <c r="K302" s="56"/>
      <c r="L302" s="58"/>
      <c r="N302" s="58"/>
      <c r="S302" s="59"/>
    </row>
    <row r="303" ht="15.75" customHeight="1">
      <c r="A303" s="58"/>
      <c r="B303" s="58"/>
      <c r="C303" s="58"/>
      <c r="D303" s="55"/>
      <c r="E303" s="60"/>
      <c r="F303" s="58"/>
      <c r="G303" s="61"/>
      <c r="H303" s="62"/>
      <c r="I303" s="53"/>
      <c r="J303" s="55"/>
      <c r="K303" s="56"/>
      <c r="L303" s="58"/>
      <c r="N303" s="58"/>
      <c r="S303" s="59"/>
    </row>
    <row r="304" ht="15.75" customHeight="1">
      <c r="A304" s="58"/>
      <c r="B304" s="58"/>
      <c r="C304" s="58"/>
      <c r="D304" s="55"/>
      <c r="E304" s="60"/>
      <c r="F304" s="58"/>
      <c r="G304" s="61"/>
      <c r="H304" s="62"/>
      <c r="I304" s="53"/>
      <c r="J304" s="55"/>
      <c r="K304" s="56"/>
      <c r="L304" s="58"/>
      <c r="N304" s="58"/>
      <c r="S304" s="59"/>
    </row>
    <row r="305" ht="15.75" customHeight="1">
      <c r="A305" s="58"/>
      <c r="B305" s="58"/>
      <c r="C305" s="58"/>
      <c r="D305" s="55"/>
      <c r="E305" s="60"/>
      <c r="F305" s="58"/>
      <c r="G305" s="61"/>
      <c r="H305" s="62"/>
      <c r="I305" s="53"/>
      <c r="J305" s="55"/>
      <c r="K305" s="56"/>
      <c r="L305" s="58"/>
      <c r="N305" s="58"/>
      <c r="S305" s="59"/>
    </row>
    <row r="306" ht="15.75" customHeight="1">
      <c r="A306" s="58"/>
      <c r="B306" s="58"/>
      <c r="C306" s="58"/>
      <c r="D306" s="55"/>
      <c r="E306" s="60"/>
      <c r="F306" s="58"/>
      <c r="G306" s="61"/>
      <c r="H306" s="62"/>
      <c r="I306" s="53"/>
      <c r="J306" s="55"/>
      <c r="K306" s="56"/>
      <c r="L306" s="58"/>
      <c r="N306" s="58"/>
      <c r="S306" s="59"/>
    </row>
    <row r="307" ht="15.75" customHeight="1">
      <c r="A307" s="58"/>
      <c r="B307" s="58"/>
      <c r="C307" s="58"/>
      <c r="D307" s="55"/>
      <c r="E307" s="60"/>
      <c r="F307" s="58"/>
      <c r="G307" s="61"/>
      <c r="H307" s="62"/>
      <c r="I307" s="53"/>
      <c r="J307" s="55"/>
      <c r="K307" s="56"/>
      <c r="L307" s="58"/>
      <c r="N307" s="58"/>
      <c r="S307" s="59"/>
    </row>
    <row r="308" ht="15.75" customHeight="1">
      <c r="A308" s="58"/>
      <c r="B308" s="58"/>
      <c r="C308" s="58"/>
      <c r="D308" s="55"/>
      <c r="E308" s="60"/>
      <c r="F308" s="58"/>
      <c r="G308" s="61"/>
      <c r="H308" s="62"/>
      <c r="I308" s="53"/>
      <c r="J308" s="55"/>
      <c r="K308" s="56"/>
      <c r="L308" s="58"/>
      <c r="N308" s="58"/>
      <c r="S308" s="59"/>
    </row>
    <row r="309" ht="15.75" customHeight="1">
      <c r="A309" s="58"/>
      <c r="B309" s="58"/>
      <c r="C309" s="58"/>
      <c r="D309" s="55"/>
      <c r="E309" s="60"/>
      <c r="F309" s="58"/>
      <c r="G309" s="61"/>
      <c r="H309" s="62"/>
      <c r="I309" s="53"/>
      <c r="J309" s="55"/>
      <c r="K309" s="56"/>
      <c r="L309" s="58"/>
      <c r="N309" s="58"/>
      <c r="S309" s="59"/>
    </row>
    <row r="310" ht="15.75" customHeight="1">
      <c r="A310" s="58"/>
      <c r="B310" s="58"/>
      <c r="C310" s="58"/>
      <c r="D310" s="55"/>
      <c r="E310" s="60"/>
      <c r="F310" s="58"/>
      <c r="G310" s="61"/>
      <c r="H310" s="62"/>
      <c r="I310" s="53"/>
      <c r="J310" s="55"/>
      <c r="K310" s="56"/>
      <c r="L310" s="58"/>
      <c r="N310" s="58"/>
      <c r="S310" s="59"/>
    </row>
    <row r="311" ht="15.75" customHeight="1">
      <c r="A311" s="58"/>
      <c r="B311" s="58"/>
      <c r="C311" s="58"/>
      <c r="D311" s="55"/>
      <c r="E311" s="60"/>
      <c r="F311" s="58"/>
      <c r="G311" s="61"/>
      <c r="H311" s="62"/>
      <c r="I311" s="53"/>
      <c r="J311" s="55"/>
      <c r="K311" s="56"/>
      <c r="L311" s="58"/>
      <c r="N311" s="58"/>
      <c r="S311" s="59"/>
    </row>
    <row r="312" ht="15.75" customHeight="1">
      <c r="A312" s="58"/>
      <c r="B312" s="58"/>
      <c r="C312" s="58"/>
      <c r="D312" s="55"/>
      <c r="E312" s="60"/>
      <c r="F312" s="58"/>
      <c r="G312" s="61"/>
      <c r="H312" s="62"/>
      <c r="I312" s="53"/>
      <c r="J312" s="55"/>
      <c r="K312" s="56"/>
      <c r="L312" s="58"/>
      <c r="N312" s="58"/>
      <c r="S312" s="59"/>
    </row>
    <row r="313" ht="15.75" customHeight="1">
      <c r="A313" s="58"/>
      <c r="B313" s="58"/>
      <c r="C313" s="58"/>
      <c r="D313" s="55"/>
      <c r="E313" s="60"/>
      <c r="F313" s="58"/>
      <c r="G313" s="61"/>
      <c r="H313" s="62"/>
      <c r="I313" s="53"/>
      <c r="J313" s="55"/>
      <c r="K313" s="56"/>
      <c r="L313" s="58"/>
      <c r="N313" s="58"/>
      <c r="S313" s="59"/>
    </row>
    <row r="314" ht="15.75" customHeight="1">
      <c r="A314" s="58"/>
      <c r="B314" s="58"/>
      <c r="C314" s="58"/>
      <c r="D314" s="55"/>
      <c r="E314" s="60"/>
      <c r="F314" s="58"/>
      <c r="G314" s="61"/>
      <c r="H314" s="62"/>
      <c r="I314" s="53"/>
      <c r="J314" s="55"/>
      <c r="K314" s="56"/>
      <c r="L314" s="58"/>
      <c r="N314" s="58"/>
      <c r="S314" s="59"/>
    </row>
    <row r="315" ht="15.75" customHeight="1">
      <c r="A315" s="58"/>
      <c r="B315" s="58"/>
      <c r="C315" s="58"/>
      <c r="D315" s="55"/>
      <c r="E315" s="60"/>
      <c r="F315" s="58"/>
      <c r="G315" s="61"/>
      <c r="H315" s="62"/>
      <c r="I315" s="53"/>
      <c r="J315" s="55"/>
      <c r="K315" s="56"/>
      <c r="L315" s="58"/>
      <c r="M315" s="63"/>
      <c r="N315" s="58"/>
      <c r="S315" s="59"/>
    </row>
    <row r="316" ht="15.75" customHeight="1">
      <c r="A316" s="58"/>
      <c r="B316" s="58"/>
      <c r="C316" s="58"/>
      <c r="D316" s="55"/>
      <c r="E316" s="60"/>
      <c r="F316" s="58"/>
      <c r="G316" s="61"/>
      <c r="H316" s="62"/>
      <c r="I316" s="53"/>
      <c r="J316" s="55"/>
      <c r="K316" s="56"/>
      <c r="L316" s="58"/>
      <c r="N316" s="58"/>
      <c r="S316" s="59"/>
    </row>
    <row r="317" ht="15.75" customHeight="1">
      <c r="A317" s="58"/>
      <c r="B317" s="58"/>
      <c r="C317" s="58"/>
      <c r="D317" s="55"/>
      <c r="E317" s="60"/>
      <c r="F317" s="58"/>
      <c r="G317" s="61"/>
      <c r="H317" s="62"/>
      <c r="I317" s="53"/>
      <c r="J317" s="55"/>
      <c r="K317" s="56"/>
      <c r="L317" s="58"/>
      <c r="M317" s="63"/>
      <c r="N317" s="58"/>
      <c r="S317" s="59"/>
    </row>
    <row r="318" ht="15.75" customHeight="1">
      <c r="A318" s="58"/>
      <c r="B318" s="58"/>
      <c r="C318" s="58"/>
      <c r="D318" s="55"/>
      <c r="E318" s="60"/>
      <c r="F318" s="58"/>
      <c r="G318" s="61"/>
      <c r="H318" s="62"/>
      <c r="I318" s="53"/>
      <c r="J318" s="55"/>
      <c r="K318" s="56"/>
      <c r="L318" s="58"/>
      <c r="N318" s="58"/>
      <c r="S318" s="59"/>
    </row>
    <row r="319" ht="15.75" customHeight="1">
      <c r="A319" s="58"/>
      <c r="B319" s="58"/>
      <c r="C319" s="58"/>
      <c r="D319" s="55"/>
      <c r="E319" s="60"/>
      <c r="F319" s="58"/>
      <c r="G319" s="61"/>
      <c r="H319" s="62"/>
      <c r="I319" s="53"/>
      <c r="J319" s="55"/>
      <c r="K319" s="56"/>
      <c r="L319" s="58"/>
      <c r="N319" s="58"/>
      <c r="S319" s="59"/>
    </row>
    <row r="320" ht="15.75" customHeight="1">
      <c r="A320" s="58"/>
      <c r="B320" s="58"/>
      <c r="C320" s="58"/>
      <c r="D320" s="55"/>
      <c r="E320" s="60"/>
      <c r="F320" s="58"/>
      <c r="G320" s="61"/>
      <c r="H320" s="62"/>
      <c r="I320" s="53"/>
      <c r="J320" s="55"/>
      <c r="K320" s="56"/>
      <c r="L320" s="58"/>
      <c r="N320" s="58"/>
      <c r="S320" s="59"/>
    </row>
    <row r="321" ht="15.75" customHeight="1">
      <c r="A321" s="58"/>
      <c r="B321" s="58"/>
      <c r="C321" s="58"/>
      <c r="D321" s="55"/>
      <c r="E321" s="60"/>
      <c r="F321" s="58"/>
      <c r="G321" s="61"/>
      <c r="H321" s="62"/>
      <c r="I321" s="53"/>
      <c r="J321" s="55"/>
      <c r="K321" s="56"/>
      <c r="L321" s="58"/>
      <c r="N321" s="58"/>
      <c r="S321" s="59"/>
    </row>
    <row r="322" ht="15.75" customHeight="1">
      <c r="A322" s="58"/>
      <c r="B322" s="58"/>
      <c r="C322" s="58"/>
      <c r="D322" s="55"/>
      <c r="E322" s="60"/>
      <c r="F322" s="58"/>
      <c r="G322" s="61"/>
      <c r="H322" s="62"/>
      <c r="I322" s="53"/>
      <c r="J322" s="55"/>
      <c r="K322" s="56"/>
      <c r="L322" s="58"/>
      <c r="N322" s="58"/>
      <c r="S322" s="59"/>
    </row>
    <row r="323" ht="15.75" customHeight="1">
      <c r="A323" s="58"/>
      <c r="B323" s="58"/>
      <c r="C323" s="58"/>
      <c r="D323" s="55"/>
      <c r="E323" s="60"/>
      <c r="F323" s="58"/>
      <c r="G323" s="61"/>
      <c r="H323" s="62"/>
      <c r="I323" s="53"/>
      <c r="J323" s="55"/>
      <c r="K323" s="56"/>
      <c r="L323" s="58"/>
      <c r="N323" s="58"/>
      <c r="S323" s="59"/>
    </row>
    <row r="324" ht="15.75" customHeight="1">
      <c r="A324" s="58"/>
      <c r="B324" s="58"/>
      <c r="C324" s="58"/>
      <c r="D324" s="55"/>
      <c r="E324" s="60"/>
      <c r="F324" s="58"/>
      <c r="G324" s="61"/>
      <c r="H324" s="62"/>
      <c r="I324" s="53"/>
      <c r="J324" s="55"/>
      <c r="K324" s="56"/>
      <c r="L324" s="58"/>
      <c r="N324" s="58"/>
      <c r="S324" s="59"/>
    </row>
    <row r="325" ht="15.75" customHeight="1">
      <c r="A325" s="58"/>
      <c r="B325" s="58"/>
      <c r="C325" s="58"/>
      <c r="D325" s="55"/>
      <c r="E325" s="60"/>
      <c r="F325" s="58"/>
      <c r="G325" s="61"/>
      <c r="H325" s="62"/>
      <c r="I325" s="53"/>
      <c r="J325" s="55"/>
      <c r="K325" s="56"/>
      <c r="L325" s="58"/>
      <c r="N325" s="58"/>
      <c r="S325" s="59"/>
    </row>
    <row r="326" ht="15.75" customHeight="1">
      <c r="A326" s="58"/>
      <c r="B326" s="58"/>
      <c r="C326" s="58"/>
      <c r="D326" s="55"/>
      <c r="E326" s="60"/>
      <c r="F326" s="58"/>
      <c r="G326" s="61"/>
      <c r="H326" s="62"/>
      <c r="I326" s="53"/>
      <c r="J326" s="55"/>
      <c r="K326" s="56"/>
      <c r="L326" s="58"/>
      <c r="N326" s="58"/>
      <c r="S326" s="59"/>
    </row>
    <row r="327" ht="15.75" customHeight="1">
      <c r="A327" s="58"/>
      <c r="B327" s="58"/>
      <c r="C327" s="58"/>
      <c r="D327" s="55"/>
      <c r="E327" s="60"/>
      <c r="F327" s="58"/>
      <c r="G327" s="61"/>
      <c r="H327" s="62"/>
      <c r="I327" s="53"/>
      <c r="J327" s="55"/>
      <c r="K327" s="56"/>
      <c r="L327" s="58"/>
      <c r="N327" s="58"/>
      <c r="S327" s="59"/>
    </row>
    <row r="328" ht="15.75" customHeight="1">
      <c r="A328" s="58"/>
      <c r="B328" s="58"/>
      <c r="C328" s="58"/>
      <c r="D328" s="55"/>
      <c r="E328" s="60"/>
      <c r="F328" s="58"/>
      <c r="G328" s="61"/>
      <c r="H328" s="62"/>
      <c r="I328" s="53"/>
      <c r="J328" s="55"/>
      <c r="K328" s="56"/>
      <c r="L328" s="58"/>
      <c r="N328" s="58"/>
      <c r="S328" s="59"/>
    </row>
    <row r="329" ht="15.75" customHeight="1">
      <c r="A329" s="58"/>
      <c r="B329" s="58"/>
      <c r="C329" s="58"/>
      <c r="D329" s="55"/>
      <c r="E329" s="60"/>
      <c r="F329" s="58"/>
      <c r="G329" s="61"/>
      <c r="H329" s="62"/>
      <c r="I329" s="53"/>
      <c r="J329" s="55"/>
      <c r="K329" s="56"/>
      <c r="L329" s="58"/>
      <c r="N329" s="58"/>
      <c r="S329" s="59"/>
    </row>
    <row r="330" ht="15.75" customHeight="1">
      <c r="A330" s="58"/>
      <c r="B330" s="58"/>
      <c r="C330" s="58"/>
      <c r="D330" s="55"/>
      <c r="E330" s="60"/>
      <c r="F330" s="58"/>
      <c r="G330" s="61"/>
      <c r="H330" s="62"/>
      <c r="I330" s="53"/>
      <c r="J330" s="55"/>
      <c r="K330" s="56"/>
      <c r="L330" s="58"/>
      <c r="N330" s="58"/>
      <c r="S330" s="59"/>
    </row>
    <row r="331" ht="15.75" customHeight="1">
      <c r="A331" s="58"/>
      <c r="B331" s="58"/>
      <c r="C331" s="58"/>
      <c r="D331" s="55"/>
      <c r="E331" s="60"/>
      <c r="F331" s="58"/>
      <c r="G331" s="61"/>
      <c r="H331" s="62"/>
      <c r="I331" s="53"/>
      <c r="J331" s="55"/>
      <c r="K331" s="56"/>
      <c r="L331" s="58"/>
      <c r="N331" s="58"/>
      <c r="S331" s="59"/>
    </row>
    <row r="332" ht="15.75" customHeight="1">
      <c r="A332" s="58"/>
      <c r="B332" s="58"/>
      <c r="C332" s="58"/>
      <c r="D332" s="55"/>
      <c r="E332" s="60"/>
      <c r="F332" s="58"/>
      <c r="G332" s="61"/>
      <c r="H332" s="62"/>
      <c r="I332" s="53"/>
      <c r="J332" s="55"/>
      <c r="K332" s="56"/>
      <c r="L332" s="58"/>
      <c r="N332" s="58"/>
      <c r="S332" s="59"/>
    </row>
    <row r="333" ht="15.75" customHeight="1">
      <c r="A333" s="58"/>
      <c r="B333" s="58"/>
      <c r="C333" s="58"/>
      <c r="D333" s="55"/>
      <c r="E333" s="60"/>
      <c r="F333" s="58"/>
      <c r="G333" s="61"/>
      <c r="H333" s="62"/>
      <c r="I333" s="53"/>
      <c r="J333" s="55"/>
      <c r="K333" s="56"/>
      <c r="L333" s="58"/>
      <c r="N333" s="58"/>
      <c r="S333" s="59"/>
    </row>
    <row r="334" ht="15.75" customHeight="1">
      <c r="A334" s="58"/>
      <c r="B334" s="58"/>
      <c r="C334" s="58"/>
      <c r="D334" s="55"/>
      <c r="E334" s="60"/>
      <c r="F334" s="58"/>
      <c r="G334" s="61"/>
      <c r="H334" s="62"/>
      <c r="I334" s="53"/>
      <c r="J334" s="55"/>
      <c r="K334" s="56"/>
      <c r="L334" s="58"/>
      <c r="N334" s="58"/>
      <c r="S334" s="59"/>
    </row>
    <row r="335" ht="15.75" customHeight="1">
      <c r="A335" s="58"/>
      <c r="B335" s="58"/>
      <c r="C335" s="58"/>
      <c r="D335" s="55"/>
      <c r="E335" s="60"/>
      <c r="F335" s="58"/>
      <c r="G335" s="61"/>
      <c r="H335" s="62"/>
      <c r="I335" s="53"/>
      <c r="J335" s="55"/>
      <c r="K335" s="56"/>
      <c r="L335" s="58"/>
      <c r="N335" s="58"/>
      <c r="S335" s="59"/>
    </row>
    <row r="336" ht="15.75" customHeight="1">
      <c r="A336" s="58"/>
      <c r="B336" s="58"/>
      <c r="C336" s="58"/>
      <c r="D336" s="55"/>
      <c r="E336" s="60"/>
      <c r="F336" s="58"/>
      <c r="G336" s="61"/>
      <c r="H336" s="62"/>
      <c r="I336" s="53"/>
      <c r="J336" s="55"/>
      <c r="K336" s="56"/>
      <c r="L336" s="58"/>
      <c r="N336" s="58"/>
      <c r="S336" s="59"/>
    </row>
    <row r="337" ht="15.75" customHeight="1">
      <c r="A337" s="58"/>
      <c r="B337" s="58"/>
      <c r="C337" s="58"/>
      <c r="D337" s="55"/>
      <c r="E337" s="60"/>
      <c r="F337" s="58"/>
      <c r="G337" s="61"/>
      <c r="H337" s="62"/>
      <c r="I337" s="53"/>
      <c r="J337" s="55"/>
      <c r="K337" s="56"/>
      <c r="L337" s="58"/>
      <c r="N337" s="58"/>
      <c r="S337" s="59"/>
    </row>
    <row r="338" ht="15.75" customHeight="1">
      <c r="A338" s="58"/>
      <c r="B338" s="58"/>
      <c r="C338" s="58"/>
      <c r="D338" s="55"/>
      <c r="E338" s="60"/>
      <c r="F338" s="58"/>
      <c r="G338" s="61"/>
      <c r="H338" s="62"/>
      <c r="I338" s="53"/>
      <c r="J338" s="55"/>
      <c r="K338" s="56"/>
      <c r="L338" s="58"/>
      <c r="N338" s="58"/>
      <c r="S338" s="59"/>
    </row>
    <row r="339" ht="15.75" customHeight="1">
      <c r="A339" s="58"/>
      <c r="B339" s="58"/>
      <c r="C339" s="58"/>
      <c r="D339" s="55"/>
      <c r="E339" s="60"/>
      <c r="F339" s="58"/>
      <c r="G339" s="61"/>
      <c r="H339" s="62"/>
      <c r="I339" s="53"/>
      <c r="J339" s="55"/>
      <c r="K339" s="56"/>
      <c r="L339" s="58"/>
      <c r="N339" s="58"/>
      <c r="S339" s="59"/>
    </row>
    <row r="340" ht="15.75" customHeight="1">
      <c r="A340" s="58"/>
      <c r="B340" s="58"/>
      <c r="C340" s="58"/>
      <c r="D340" s="55"/>
      <c r="E340" s="60"/>
      <c r="F340" s="58"/>
      <c r="G340" s="61"/>
      <c r="H340" s="62"/>
      <c r="I340" s="53"/>
      <c r="J340" s="55"/>
      <c r="K340" s="56"/>
      <c r="L340" s="58"/>
      <c r="N340" s="58"/>
      <c r="S340" s="59"/>
    </row>
    <row r="341" ht="15.75" customHeight="1">
      <c r="A341" s="58"/>
      <c r="B341" s="58"/>
      <c r="C341" s="58"/>
      <c r="D341" s="55"/>
      <c r="E341" s="60"/>
      <c r="F341" s="58"/>
      <c r="G341" s="61"/>
      <c r="H341" s="62"/>
      <c r="I341" s="53"/>
      <c r="J341" s="55"/>
      <c r="K341" s="56"/>
      <c r="L341" s="58"/>
      <c r="N341" s="58"/>
      <c r="S341" s="59"/>
    </row>
    <row r="342" ht="15.75" customHeight="1">
      <c r="A342" s="58"/>
      <c r="B342" s="58"/>
      <c r="C342" s="58"/>
      <c r="D342" s="55"/>
      <c r="E342" s="60"/>
      <c r="F342" s="58"/>
      <c r="G342" s="61"/>
      <c r="H342" s="62"/>
      <c r="I342" s="53"/>
      <c r="J342" s="55"/>
      <c r="K342" s="56"/>
      <c r="L342" s="58"/>
      <c r="M342" s="63"/>
      <c r="N342" s="58"/>
      <c r="S342" s="59"/>
    </row>
    <row r="343" ht="15.75" customHeight="1">
      <c r="A343" s="58"/>
      <c r="B343" s="58"/>
      <c r="C343" s="58"/>
      <c r="D343" s="55"/>
      <c r="E343" s="60"/>
      <c r="F343" s="58"/>
      <c r="G343" s="61"/>
      <c r="H343" s="62"/>
      <c r="I343" s="53"/>
      <c r="J343" s="55"/>
      <c r="K343" s="56"/>
      <c r="L343" s="58"/>
      <c r="N343" s="58"/>
      <c r="S343" s="59"/>
    </row>
    <row r="344" ht="15.75" customHeight="1">
      <c r="A344" s="58"/>
      <c r="B344" s="58"/>
      <c r="C344" s="58"/>
      <c r="D344" s="55"/>
      <c r="E344" s="60"/>
      <c r="F344" s="58"/>
      <c r="G344" s="61"/>
      <c r="H344" s="62"/>
      <c r="I344" s="53"/>
      <c r="J344" s="55"/>
      <c r="K344" s="56"/>
      <c r="L344" s="58"/>
      <c r="N344" s="58"/>
      <c r="S344" s="59"/>
    </row>
    <row r="345" ht="15.75" customHeight="1">
      <c r="A345" s="58"/>
      <c r="B345" s="58"/>
      <c r="C345" s="58"/>
      <c r="D345" s="55"/>
      <c r="E345" s="60"/>
      <c r="F345" s="58"/>
      <c r="G345" s="61"/>
      <c r="H345" s="62"/>
      <c r="I345" s="53"/>
      <c r="J345" s="55"/>
      <c r="K345" s="56"/>
      <c r="L345" s="58"/>
      <c r="N345" s="58"/>
      <c r="S345" s="59"/>
    </row>
    <row r="346" ht="15.75" customHeight="1">
      <c r="A346" s="58"/>
      <c r="B346" s="58"/>
      <c r="C346" s="58"/>
      <c r="D346" s="55"/>
      <c r="E346" s="60"/>
      <c r="F346" s="58"/>
      <c r="G346" s="61"/>
      <c r="H346" s="62"/>
      <c r="I346" s="53"/>
      <c r="J346" s="55"/>
      <c r="K346" s="56"/>
      <c r="L346" s="58"/>
      <c r="N346" s="58"/>
      <c r="S346" s="59"/>
    </row>
    <row r="347" ht="15.75" customHeight="1">
      <c r="A347" s="58"/>
      <c r="B347" s="58"/>
      <c r="C347" s="58"/>
      <c r="D347" s="55"/>
      <c r="E347" s="60"/>
      <c r="F347" s="58"/>
      <c r="G347" s="61"/>
      <c r="H347" s="62"/>
      <c r="I347" s="53"/>
      <c r="J347" s="55"/>
      <c r="K347" s="56"/>
      <c r="L347" s="58"/>
      <c r="N347" s="58"/>
      <c r="S347" s="59"/>
    </row>
    <row r="348" ht="15.75" customHeight="1">
      <c r="A348" s="58"/>
      <c r="B348" s="58"/>
      <c r="C348" s="58"/>
      <c r="D348" s="55"/>
      <c r="E348" s="60"/>
      <c r="F348" s="58"/>
      <c r="G348" s="61"/>
      <c r="H348" s="62"/>
      <c r="I348" s="53"/>
      <c r="J348" s="55"/>
      <c r="K348" s="56"/>
      <c r="L348" s="58"/>
      <c r="N348" s="58"/>
      <c r="S348" s="59"/>
    </row>
    <row r="349" ht="15.75" customHeight="1">
      <c r="A349" s="58"/>
      <c r="B349" s="58"/>
      <c r="C349" s="58"/>
      <c r="D349" s="55"/>
      <c r="E349" s="60"/>
      <c r="F349" s="58"/>
      <c r="G349" s="61"/>
      <c r="H349" s="62"/>
      <c r="I349" s="53"/>
      <c r="J349" s="55"/>
      <c r="K349" s="56"/>
      <c r="L349" s="58"/>
      <c r="N349" s="58"/>
      <c r="S349" s="59"/>
    </row>
    <row r="350" ht="15.75" customHeight="1">
      <c r="A350" s="58"/>
      <c r="B350" s="58"/>
      <c r="C350" s="58"/>
      <c r="D350" s="55"/>
      <c r="E350" s="60"/>
      <c r="F350" s="58"/>
      <c r="G350" s="61"/>
      <c r="H350" s="62"/>
      <c r="I350" s="53"/>
      <c r="J350" s="55"/>
      <c r="K350" s="56"/>
      <c r="L350" s="58"/>
      <c r="N350" s="58"/>
      <c r="S350" s="59"/>
    </row>
    <row r="351" ht="15.75" customHeight="1">
      <c r="A351" s="58"/>
      <c r="B351" s="58"/>
      <c r="C351" s="58"/>
      <c r="D351" s="55"/>
      <c r="E351" s="60"/>
      <c r="F351" s="58"/>
      <c r="G351" s="61"/>
      <c r="H351" s="62"/>
      <c r="I351" s="53"/>
      <c r="J351" s="55"/>
      <c r="K351" s="56"/>
      <c r="L351" s="58"/>
      <c r="N351" s="58"/>
      <c r="S351" s="59"/>
    </row>
    <row r="352" ht="15.75" customHeight="1">
      <c r="A352" s="58"/>
      <c r="B352" s="58"/>
      <c r="C352" s="58"/>
      <c r="D352" s="55"/>
      <c r="E352" s="60"/>
      <c r="F352" s="58"/>
      <c r="G352" s="61"/>
      <c r="H352" s="62"/>
      <c r="I352" s="53"/>
      <c r="J352" s="55"/>
      <c r="K352" s="56"/>
      <c r="L352" s="58"/>
      <c r="N352" s="58"/>
      <c r="S352" s="59"/>
    </row>
    <row r="353" ht="15.75" customHeight="1">
      <c r="A353" s="58"/>
      <c r="B353" s="58"/>
      <c r="C353" s="58"/>
      <c r="D353" s="55"/>
      <c r="E353" s="60"/>
      <c r="F353" s="58"/>
      <c r="G353" s="61"/>
      <c r="H353" s="62"/>
      <c r="I353" s="53"/>
      <c r="J353" s="55"/>
      <c r="K353" s="56"/>
      <c r="L353" s="58"/>
      <c r="N353" s="58"/>
      <c r="S353" s="59"/>
    </row>
    <row r="354" ht="15.75" customHeight="1">
      <c r="A354" s="58"/>
      <c r="B354" s="58"/>
      <c r="C354" s="58"/>
      <c r="D354" s="55"/>
      <c r="E354" s="60"/>
      <c r="F354" s="58"/>
      <c r="G354" s="61"/>
      <c r="H354" s="62"/>
      <c r="I354" s="53"/>
      <c r="J354" s="55"/>
      <c r="K354" s="56"/>
      <c r="L354" s="58"/>
      <c r="N354" s="58"/>
      <c r="S354" s="59"/>
    </row>
    <row r="355" ht="15.75" customHeight="1">
      <c r="A355" s="58"/>
      <c r="B355" s="58"/>
      <c r="C355" s="58"/>
      <c r="D355" s="55"/>
      <c r="E355" s="60"/>
      <c r="F355" s="58"/>
      <c r="G355" s="61"/>
      <c r="H355" s="62"/>
      <c r="I355" s="53"/>
      <c r="J355" s="55"/>
      <c r="K355" s="56"/>
      <c r="L355" s="58"/>
      <c r="N355" s="58"/>
      <c r="S355" s="59"/>
    </row>
    <row r="356" ht="15.75" customHeight="1">
      <c r="A356" s="58"/>
      <c r="B356" s="58"/>
      <c r="C356" s="58"/>
      <c r="D356" s="55"/>
      <c r="E356" s="60"/>
      <c r="F356" s="58"/>
      <c r="G356" s="61"/>
      <c r="H356" s="62"/>
      <c r="I356" s="53"/>
      <c r="J356" s="55"/>
      <c r="K356" s="56"/>
      <c r="L356" s="58"/>
      <c r="N356" s="58"/>
      <c r="S356" s="59"/>
    </row>
    <row r="357" ht="15.75" customHeight="1">
      <c r="A357" s="58"/>
      <c r="B357" s="58"/>
      <c r="C357" s="58"/>
      <c r="D357" s="55"/>
      <c r="E357" s="60"/>
      <c r="F357" s="58"/>
      <c r="G357" s="61"/>
      <c r="H357" s="62"/>
      <c r="I357" s="53"/>
      <c r="J357" s="55"/>
      <c r="K357" s="56"/>
      <c r="L357" s="58"/>
      <c r="N357" s="58"/>
      <c r="S357" s="59"/>
    </row>
    <row r="358" ht="15.75" customHeight="1">
      <c r="A358" s="58"/>
      <c r="B358" s="58"/>
      <c r="C358" s="58"/>
      <c r="D358" s="55"/>
      <c r="E358" s="60"/>
      <c r="F358" s="58"/>
      <c r="G358" s="61"/>
      <c r="H358" s="62"/>
      <c r="I358" s="53"/>
      <c r="J358" s="55"/>
      <c r="K358" s="56"/>
      <c r="L358" s="58"/>
      <c r="N358" s="58"/>
      <c r="S358" s="59"/>
    </row>
    <row r="359" ht="15.75" customHeight="1">
      <c r="A359" s="58"/>
      <c r="B359" s="58"/>
      <c r="C359" s="58"/>
      <c r="D359" s="55"/>
      <c r="E359" s="60"/>
      <c r="F359" s="58"/>
      <c r="G359" s="61"/>
      <c r="H359" s="62"/>
      <c r="I359" s="53"/>
      <c r="J359" s="55"/>
      <c r="K359" s="56"/>
      <c r="L359" s="58"/>
      <c r="N359" s="58"/>
      <c r="S359" s="59"/>
    </row>
    <row r="360" ht="15.75" customHeight="1">
      <c r="A360" s="58"/>
      <c r="B360" s="58"/>
      <c r="C360" s="58"/>
      <c r="D360" s="55"/>
      <c r="E360" s="60"/>
      <c r="F360" s="58"/>
      <c r="G360" s="61"/>
      <c r="H360" s="62"/>
      <c r="I360" s="53"/>
      <c r="J360" s="55"/>
      <c r="K360" s="56"/>
      <c r="L360" s="58"/>
      <c r="N360" s="58"/>
      <c r="S360" s="59"/>
    </row>
    <row r="361" ht="15.75" customHeight="1">
      <c r="A361" s="58"/>
      <c r="B361" s="58"/>
      <c r="C361" s="58"/>
      <c r="D361" s="55"/>
      <c r="E361" s="60"/>
      <c r="F361" s="58"/>
      <c r="G361" s="61"/>
      <c r="H361" s="62"/>
      <c r="I361" s="53"/>
      <c r="J361" s="55"/>
      <c r="K361" s="56"/>
      <c r="L361" s="58"/>
      <c r="N361" s="58"/>
      <c r="S361" s="59"/>
    </row>
    <row r="362" ht="15.75" customHeight="1">
      <c r="A362" s="58"/>
      <c r="B362" s="58"/>
      <c r="C362" s="58"/>
      <c r="D362" s="55"/>
      <c r="E362" s="60"/>
      <c r="F362" s="58"/>
      <c r="G362" s="61"/>
      <c r="H362" s="62"/>
      <c r="I362" s="53"/>
      <c r="J362" s="55"/>
      <c r="K362" s="56"/>
      <c r="L362" s="58"/>
      <c r="N362" s="58"/>
      <c r="S362" s="59"/>
    </row>
    <row r="363" ht="15.75" customHeight="1">
      <c r="A363" s="58"/>
      <c r="B363" s="58"/>
      <c r="C363" s="58"/>
      <c r="D363" s="55"/>
      <c r="E363" s="60"/>
      <c r="F363" s="58"/>
      <c r="G363" s="61"/>
      <c r="H363" s="62"/>
      <c r="I363" s="53"/>
      <c r="J363" s="55"/>
      <c r="K363" s="56"/>
      <c r="L363" s="58"/>
      <c r="N363" s="58"/>
      <c r="S363" s="59"/>
    </row>
    <row r="364" ht="15.75" customHeight="1">
      <c r="A364" s="58"/>
      <c r="B364" s="58"/>
      <c r="C364" s="58"/>
      <c r="D364" s="55"/>
      <c r="E364" s="60"/>
      <c r="F364" s="58"/>
      <c r="G364" s="61"/>
      <c r="H364" s="62"/>
      <c r="I364" s="53"/>
      <c r="J364" s="55"/>
      <c r="K364" s="56"/>
      <c r="L364" s="58"/>
      <c r="N364" s="58"/>
      <c r="S364" s="59"/>
    </row>
    <row r="365" ht="15.75" customHeight="1">
      <c r="A365" s="58"/>
      <c r="B365" s="58"/>
      <c r="C365" s="58"/>
      <c r="D365" s="55"/>
      <c r="E365" s="60"/>
      <c r="F365" s="58"/>
      <c r="G365" s="61"/>
      <c r="H365" s="62"/>
      <c r="I365" s="53"/>
      <c r="J365" s="55"/>
      <c r="K365" s="56"/>
      <c r="L365" s="58"/>
      <c r="N365" s="58"/>
      <c r="S365" s="59"/>
    </row>
    <row r="366" ht="15.75" customHeight="1">
      <c r="A366" s="58"/>
      <c r="B366" s="58"/>
      <c r="C366" s="58"/>
      <c r="D366" s="55"/>
      <c r="E366" s="60"/>
      <c r="F366" s="58"/>
      <c r="G366" s="61"/>
      <c r="H366" s="62"/>
      <c r="I366" s="53"/>
      <c r="J366" s="55"/>
      <c r="K366" s="56"/>
      <c r="L366" s="58"/>
      <c r="N366" s="58"/>
      <c r="S366" s="59"/>
    </row>
    <row r="367" ht="15.75" customHeight="1">
      <c r="A367" s="58"/>
      <c r="B367" s="58"/>
      <c r="C367" s="58"/>
      <c r="D367" s="55"/>
      <c r="E367" s="60"/>
      <c r="F367" s="58"/>
      <c r="G367" s="61"/>
      <c r="H367" s="62"/>
      <c r="I367" s="53"/>
      <c r="J367" s="55"/>
      <c r="K367" s="56"/>
      <c r="L367" s="58"/>
      <c r="N367" s="58"/>
      <c r="S367" s="59"/>
    </row>
    <row r="368" ht="15.75" customHeight="1">
      <c r="A368" s="58"/>
      <c r="B368" s="58"/>
      <c r="C368" s="58"/>
      <c r="D368" s="55"/>
      <c r="E368" s="60"/>
      <c r="F368" s="58"/>
      <c r="G368" s="61"/>
      <c r="H368" s="62"/>
      <c r="I368" s="53"/>
      <c r="J368" s="55"/>
      <c r="K368" s="56"/>
      <c r="L368" s="58"/>
      <c r="N368" s="58"/>
      <c r="S368" s="59"/>
    </row>
    <row r="369" ht="15.75" customHeight="1">
      <c r="A369" s="58"/>
      <c r="B369" s="58"/>
      <c r="C369" s="58"/>
      <c r="D369" s="55"/>
      <c r="E369" s="60"/>
      <c r="F369" s="58"/>
      <c r="G369" s="61"/>
      <c r="H369" s="62"/>
      <c r="I369" s="53"/>
      <c r="J369" s="55"/>
      <c r="K369" s="56"/>
      <c r="L369" s="58"/>
      <c r="N369" s="58"/>
      <c r="S369" s="59"/>
    </row>
    <row r="370" ht="15.75" customHeight="1">
      <c r="A370" s="58"/>
      <c r="B370" s="58"/>
      <c r="C370" s="58"/>
      <c r="D370" s="55"/>
      <c r="E370" s="60"/>
      <c r="F370" s="58"/>
      <c r="G370" s="61"/>
      <c r="H370" s="62"/>
      <c r="I370" s="53"/>
      <c r="J370" s="55"/>
      <c r="K370" s="56"/>
      <c r="L370" s="58"/>
      <c r="N370" s="58"/>
      <c r="S370" s="59"/>
    </row>
    <row r="371" ht="15.75" customHeight="1">
      <c r="A371" s="58"/>
      <c r="B371" s="58"/>
      <c r="C371" s="58"/>
      <c r="D371" s="55"/>
      <c r="E371" s="60"/>
      <c r="F371" s="58"/>
      <c r="G371" s="61"/>
      <c r="H371" s="62"/>
      <c r="I371" s="53"/>
      <c r="J371" s="55"/>
      <c r="K371" s="56"/>
      <c r="L371" s="58"/>
      <c r="N371" s="58"/>
      <c r="S371" s="59"/>
    </row>
    <row r="372" ht="15.75" customHeight="1">
      <c r="A372" s="58"/>
      <c r="B372" s="58"/>
      <c r="C372" s="58"/>
      <c r="D372" s="55"/>
      <c r="E372" s="60"/>
      <c r="F372" s="58"/>
      <c r="G372" s="61"/>
      <c r="H372" s="62"/>
      <c r="I372" s="53"/>
      <c r="J372" s="55"/>
      <c r="K372" s="56"/>
      <c r="L372" s="58"/>
      <c r="N372" s="58"/>
      <c r="S372" s="59"/>
    </row>
    <row r="373" ht="15.75" customHeight="1">
      <c r="A373" s="58"/>
      <c r="B373" s="58"/>
      <c r="C373" s="58"/>
      <c r="D373" s="55"/>
      <c r="E373" s="60"/>
      <c r="F373" s="58"/>
      <c r="G373" s="61"/>
      <c r="H373" s="62"/>
      <c r="I373" s="53"/>
      <c r="J373" s="55"/>
      <c r="K373" s="56"/>
      <c r="L373" s="58"/>
      <c r="N373" s="58"/>
      <c r="S373" s="59"/>
    </row>
    <row r="374" ht="15.75" customHeight="1">
      <c r="A374" s="58"/>
      <c r="B374" s="58"/>
      <c r="C374" s="58"/>
      <c r="D374" s="55"/>
      <c r="E374" s="60"/>
      <c r="F374" s="58"/>
      <c r="G374" s="61"/>
      <c r="H374" s="62"/>
      <c r="I374" s="53"/>
      <c r="J374" s="55"/>
      <c r="K374" s="56"/>
      <c r="L374" s="58"/>
      <c r="N374" s="58"/>
      <c r="S374" s="59"/>
    </row>
    <row r="375" ht="15.75" customHeight="1">
      <c r="A375" s="58"/>
      <c r="B375" s="58"/>
      <c r="C375" s="58"/>
      <c r="D375" s="55"/>
      <c r="E375" s="60"/>
      <c r="F375" s="58"/>
      <c r="G375" s="61"/>
      <c r="H375" s="62"/>
      <c r="I375" s="53"/>
      <c r="J375" s="55"/>
      <c r="K375" s="56"/>
      <c r="L375" s="58"/>
      <c r="N375" s="58"/>
      <c r="S375" s="59"/>
    </row>
    <row r="376" ht="15.75" customHeight="1">
      <c r="A376" s="58"/>
      <c r="B376" s="58"/>
      <c r="C376" s="58"/>
      <c r="D376" s="55"/>
      <c r="E376" s="60"/>
      <c r="F376" s="58"/>
      <c r="G376" s="61"/>
      <c r="H376" s="62"/>
      <c r="I376" s="53"/>
      <c r="J376" s="55"/>
      <c r="K376" s="56"/>
      <c r="L376" s="58"/>
      <c r="N376" s="58"/>
      <c r="S376" s="59"/>
    </row>
    <row r="377" ht="15.75" customHeight="1">
      <c r="A377" s="58"/>
      <c r="B377" s="58"/>
      <c r="C377" s="58"/>
      <c r="D377" s="55"/>
      <c r="E377" s="60"/>
      <c r="F377" s="58"/>
      <c r="G377" s="61"/>
      <c r="H377" s="62"/>
      <c r="I377" s="53"/>
      <c r="J377" s="55"/>
      <c r="K377" s="56"/>
      <c r="L377" s="58"/>
      <c r="N377" s="58"/>
      <c r="S377" s="59"/>
    </row>
    <row r="378" ht="15.75" customHeight="1">
      <c r="A378" s="58"/>
      <c r="B378" s="58"/>
      <c r="C378" s="58"/>
      <c r="D378" s="55"/>
      <c r="E378" s="60"/>
      <c r="F378" s="58"/>
      <c r="G378" s="61"/>
      <c r="H378" s="62"/>
      <c r="I378" s="53"/>
      <c r="J378" s="55"/>
      <c r="K378" s="56"/>
      <c r="L378" s="58"/>
      <c r="N378" s="58"/>
      <c r="S378" s="59"/>
    </row>
    <row r="379" ht="15.75" customHeight="1">
      <c r="A379" s="58"/>
      <c r="B379" s="58"/>
      <c r="C379" s="58"/>
      <c r="D379" s="55"/>
      <c r="E379" s="60"/>
      <c r="F379" s="58"/>
      <c r="G379" s="61"/>
      <c r="H379" s="62"/>
      <c r="I379" s="53"/>
      <c r="J379" s="55"/>
      <c r="K379" s="56"/>
      <c r="L379" s="58"/>
      <c r="N379" s="58"/>
      <c r="S379" s="59"/>
    </row>
    <row r="380" ht="15.75" customHeight="1">
      <c r="A380" s="58"/>
      <c r="B380" s="58"/>
      <c r="C380" s="58"/>
      <c r="D380" s="55"/>
      <c r="E380" s="60"/>
      <c r="F380" s="58"/>
      <c r="G380" s="61"/>
      <c r="H380" s="62"/>
      <c r="I380" s="53"/>
      <c r="J380" s="55"/>
      <c r="K380" s="56"/>
      <c r="L380" s="58"/>
      <c r="N380" s="58"/>
      <c r="S380" s="59"/>
    </row>
    <row r="381" ht="15.75" customHeight="1">
      <c r="A381" s="58"/>
      <c r="B381" s="58"/>
      <c r="C381" s="58"/>
      <c r="D381" s="55"/>
      <c r="E381" s="60"/>
      <c r="F381" s="58"/>
      <c r="G381" s="61"/>
      <c r="H381" s="62"/>
      <c r="I381" s="53"/>
      <c r="J381" s="55"/>
      <c r="K381" s="56"/>
      <c r="L381" s="58"/>
      <c r="N381" s="58"/>
      <c r="S381" s="59"/>
    </row>
    <row r="382" ht="15.75" customHeight="1">
      <c r="A382" s="58"/>
      <c r="B382" s="58"/>
      <c r="C382" s="58"/>
      <c r="D382" s="55"/>
      <c r="E382" s="60"/>
      <c r="F382" s="58"/>
      <c r="G382" s="61"/>
      <c r="H382" s="62"/>
      <c r="I382" s="53"/>
      <c r="J382" s="55"/>
      <c r="K382" s="56"/>
      <c r="L382" s="58"/>
      <c r="N382" s="58"/>
      <c r="S382" s="59"/>
    </row>
    <row r="383" ht="15.75" customHeight="1">
      <c r="A383" s="58"/>
      <c r="B383" s="58"/>
      <c r="C383" s="58"/>
      <c r="D383" s="55"/>
      <c r="E383" s="60"/>
      <c r="F383" s="58"/>
      <c r="G383" s="61"/>
      <c r="H383" s="62"/>
      <c r="I383" s="53"/>
      <c r="J383" s="55"/>
      <c r="K383" s="56"/>
      <c r="L383" s="58"/>
      <c r="N383" s="58"/>
      <c r="S383" s="59"/>
    </row>
    <row r="384" ht="15.75" customHeight="1">
      <c r="A384" s="58"/>
      <c r="B384" s="58"/>
      <c r="C384" s="58"/>
      <c r="D384" s="55"/>
      <c r="E384" s="60"/>
      <c r="F384" s="58"/>
      <c r="G384" s="61"/>
      <c r="H384" s="62"/>
      <c r="I384" s="53"/>
      <c r="J384" s="55"/>
      <c r="K384" s="56"/>
      <c r="L384" s="58"/>
      <c r="N384" s="58"/>
      <c r="S384" s="59"/>
    </row>
    <row r="385" ht="15.75" customHeight="1">
      <c r="A385" s="58"/>
      <c r="B385" s="58"/>
      <c r="C385" s="58"/>
      <c r="D385" s="55"/>
      <c r="E385" s="60"/>
      <c r="F385" s="58"/>
      <c r="G385" s="61"/>
      <c r="H385" s="62"/>
      <c r="I385" s="53"/>
      <c r="J385" s="55"/>
      <c r="K385" s="56"/>
      <c r="L385" s="58"/>
      <c r="N385" s="58"/>
      <c r="S385" s="59"/>
    </row>
    <row r="386" ht="15.75" customHeight="1">
      <c r="A386" s="58"/>
      <c r="B386" s="58"/>
      <c r="C386" s="58"/>
      <c r="D386" s="55"/>
      <c r="E386" s="60"/>
      <c r="F386" s="58"/>
      <c r="G386" s="61"/>
      <c r="H386" s="62"/>
      <c r="I386" s="53"/>
      <c r="J386" s="55"/>
      <c r="K386" s="56"/>
      <c r="L386" s="58"/>
      <c r="N386" s="58"/>
      <c r="S386" s="59"/>
    </row>
    <row r="387" ht="15.75" customHeight="1">
      <c r="A387" s="58"/>
      <c r="B387" s="58"/>
      <c r="C387" s="58"/>
      <c r="D387" s="55"/>
      <c r="E387" s="60"/>
      <c r="F387" s="58"/>
      <c r="G387" s="61"/>
      <c r="H387" s="62"/>
      <c r="I387" s="53"/>
      <c r="J387" s="55"/>
      <c r="K387" s="56"/>
      <c r="L387" s="58"/>
      <c r="N387" s="58"/>
      <c r="S387" s="59"/>
    </row>
    <row r="388" ht="15.75" customHeight="1">
      <c r="A388" s="58"/>
      <c r="B388" s="58"/>
      <c r="C388" s="58"/>
      <c r="D388" s="55"/>
      <c r="E388" s="60"/>
      <c r="F388" s="58"/>
      <c r="G388" s="61"/>
      <c r="H388" s="62"/>
      <c r="I388" s="53"/>
      <c r="J388" s="55"/>
      <c r="K388" s="56"/>
      <c r="L388" s="58"/>
      <c r="N388" s="58"/>
      <c r="S388" s="59"/>
    </row>
    <row r="389" ht="15.75" customHeight="1">
      <c r="A389" s="58"/>
      <c r="B389" s="58"/>
      <c r="C389" s="58"/>
      <c r="D389" s="55"/>
      <c r="E389" s="60"/>
      <c r="F389" s="58"/>
      <c r="G389" s="61"/>
      <c r="H389" s="62"/>
      <c r="I389" s="53"/>
      <c r="J389" s="55"/>
      <c r="K389" s="56"/>
      <c r="L389" s="58"/>
      <c r="N389" s="58"/>
      <c r="S389" s="59"/>
    </row>
    <row r="390" ht="15.75" customHeight="1">
      <c r="A390" s="58"/>
      <c r="B390" s="58"/>
      <c r="C390" s="58"/>
      <c r="D390" s="55"/>
      <c r="E390" s="60"/>
      <c r="F390" s="58"/>
      <c r="G390" s="61"/>
      <c r="H390" s="62"/>
      <c r="I390" s="53"/>
      <c r="J390" s="55"/>
      <c r="K390" s="56"/>
      <c r="L390" s="58"/>
      <c r="N390" s="58"/>
      <c r="S390" s="59"/>
    </row>
    <row r="391" ht="15.75" customHeight="1">
      <c r="A391" s="58"/>
      <c r="B391" s="58"/>
      <c r="C391" s="58"/>
      <c r="D391" s="55"/>
      <c r="E391" s="60"/>
      <c r="F391" s="58"/>
      <c r="G391" s="61"/>
      <c r="H391" s="62"/>
      <c r="I391" s="53"/>
      <c r="J391" s="55"/>
      <c r="K391" s="56"/>
      <c r="L391" s="58"/>
      <c r="N391" s="58"/>
      <c r="S391" s="59"/>
    </row>
    <row r="392" ht="15.75" customHeight="1">
      <c r="A392" s="58"/>
      <c r="B392" s="58"/>
      <c r="C392" s="58"/>
      <c r="D392" s="55"/>
      <c r="E392" s="60"/>
      <c r="F392" s="58"/>
      <c r="G392" s="61"/>
      <c r="H392" s="62"/>
      <c r="I392" s="53"/>
      <c r="J392" s="55"/>
      <c r="K392" s="56"/>
      <c r="L392" s="58"/>
      <c r="N392" s="58"/>
      <c r="S392" s="59"/>
    </row>
    <row r="393" ht="15.75" customHeight="1">
      <c r="A393" s="58"/>
      <c r="B393" s="58"/>
      <c r="C393" s="58"/>
      <c r="D393" s="55"/>
      <c r="E393" s="60"/>
      <c r="F393" s="58"/>
      <c r="G393" s="61"/>
      <c r="H393" s="62"/>
      <c r="I393" s="53"/>
      <c r="J393" s="55"/>
      <c r="K393" s="56"/>
      <c r="L393" s="58"/>
      <c r="N393" s="58"/>
      <c r="S393" s="59"/>
    </row>
    <row r="394" ht="15.75" customHeight="1">
      <c r="A394" s="58"/>
      <c r="B394" s="58"/>
      <c r="C394" s="58"/>
      <c r="D394" s="55"/>
      <c r="E394" s="60"/>
      <c r="F394" s="58"/>
      <c r="G394" s="61"/>
      <c r="H394" s="62"/>
      <c r="I394" s="53"/>
      <c r="J394" s="55"/>
      <c r="K394" s="56"/>
      <c r="L394" s="58"/>
      <c r="N394" s="58"/>
      <c r="S394" s="59"/>
    </row>
    <row r="395" ht="15.75" customHeight="1">
      <c r="A395" s="58"/>
      <c r="B395" s="58"/>
      <c r="C395" s="58"/>
      <c r="D395" s="55"/>
      <c r="E395" s="60"/>
      <c r="F395" s="58"/>
      <c r="G395" s="61"/>
      <c r="H395" s="62"/>
      <c r="I395" s="53"/>
      <c r="J395" s="55"/>
      <c r="K395" s="56"/>
      <c r="L395" s="58"/>
      <c r="N395" s="58"/>
      <c r="S395" s="59"/>
    </row>
    <row r="396" ht="15.75" customHeight="1">
      <c r="A396" s="58"/>
      <c r="B396" s="58"/>
      <c r="C396" s="58"/>
      <c r="D396" s="55"/>
      <c r="E396" s="60"/>
      <c r="F396" s="58"/>
      <c r="G396" s="61"/>
      <c r="H396" s="62"/>
      <c r="I396" s="53"/>
      <c r="J396" s="55"/>
      <c r="K396" s="56"/>
      <c r="L396" s="58"/>
      <c r="N396" s="58"/>
      <c r="S396" s="59"/>
    </row>
    <row r="397" ht="15.75" customHeight="1">
      <c r="A397" s="58"/>
      <c r="B397" s="58"/>
      <c r="C397" s="58"/>
      <c r="D397" s="55"/>
      <c r="E397" s="60"/>
      <c r="F397" s="58"/>
      <c r="G397" s="61"/>
      <c r="H397" s="62"/>
      <c r="I397" s="53"/>
      <c r="J397" s="55"/>
      <c r="K397" s="56"/>
      <c r="L397" s="58"/>
      <c r="N397" s="58"/>
      <c r="S397" s="59"/>
    </row>
    <row r="398" ht="15.75" customHeight="1">
      <c r="A398" s="58"/>
      <c r="B398" s="58"/>
      <c r="C398" s="58"/>
      <c r="D398" s="55"/>
      <c r="E398" s="60"/>
      <c r="F398" s="58"/>
      <c r="G398" s="61"/>
      <c r="H398" s="62"/>
      <c r="I398" s="53"/>
      <c r="J398" s="55"/>
      <c r="K398" s="56"/>
      <c r="L398" s="58"/>
      <c r="N398" s="58"/>
      <c r="S398" s="59"/>
    </row>
    <row r="399" ht="15.75" customHeight="1">
      <c r="A399" s="58"/>
      <c r="B399" s="58"/>
      <c r="C399" s="58"/>
      <c r="D399" s="55"/>
      <c r="E399" s="60"/>
      <c r="F399" s="58"/>
      <c r="G399" s="61"/>
      <c r="H399" s="62"/>
      <c r="I399" s="53"/>
      <c r="J399" s="55"/>
      <c r="K399" s="56"/>
      <c r="L399" s="58"/>
      <c r="N399" s="58"/>
      <c r="S399" s="59"/>
    </row>
    <row r="400" ht="15.75" customHeight="1">
      <c r="A400" s="58"/>
      <c r="B400" s="58"/>
      <c r="C400" s="58"/>
      <c r="D400" s="55"/>
      <c r="E400" s="60"/>
      <c r="F400" s="58"/>
      <c r="G400" s="61"/>
      <c r="H400" s="62"/>
      <c r="I400" s="53"/>
      <c r="J400" s="55"/>
      <c r="K400" s="56"/>
      <c r="L400" s="58"/>
      <c r="N400" s="58"/>
      <c r="S400" s="59"/>
    </row>
    <row r="401" ht="15.75" customHeight="1">
      <c r="A401" s="58"/>
      <c r="B401" s="58"/>
      <c r="C401" s="58"/>
      <c r="D401" s="55"/>
      <c r="E401" s="60"/>
      <c r="F401" s="58"/>
      <c r="G401" s="61"/>
      <c r="H401" s="62"/>
      <c r="I401" s="53"/>
      <c r="J401" s="55"/>
      <c r="K401" s="56"/>
      <c r="L401" s="58"/>
      <c r="N401" s="58"/>
      <c r="S401" s="59"/>
    </row>
    <row r="402" ht="15.75" customHeight="1">
      <c r="A402" s="58"/>
      <c r="B402" s="58"/>
      <c r="C402" s="58"/>
      <c r="D402" s="55"/>
      <c r="E402" s="60"/>
      <c r="F402" s="58"/>
      <c r="G402" s="61"/>
      <c r="H402" s="62"/>
      <c r="I402" s="53"/>
      <c r="J402" s="55"/>
      <c r="K402" s="56"/>
      <c r="L402" s="58"/>
      <c r="N402" s="58"/>
      <c r="S402" s="59"/>
    </row>
    <row r="403" ht="15.75" customHeight="1">
      <c r="A403" s="58"/>
      <c r="B403" s="58"/>
      <c r="C403" s="58"/>
      <c r="D403" s="55"/>
      <c r="E403" s="60"/>
      <c r="F403" s="58"/>
      <c r="G403" s="61"/>
      <c r="H403" s="62"/>
      <c r="I403" s="53"/>
      <c r="J403" s="55"/>
      <c r="K403" s="56"/>
      <c r="L403" s="58"/>
      <c r="N403" s="58"/>
      <c r="S403" s="59"/>
    </row>
    <row r="404" ht="15.75" customHeight="1">
      <c r="A404" s="58"/>
      <c r="B404" s="58"/>
      <c r="C404" s="58"/>
      <c r="D404" s="55"/>
      <c r="E404" s="60"/>
      <c r="F404" s="58"/>
      <c r="G404" s="61"/>
      <c r="H404" s="62"/>
      <c r="I404" s="53"/>
      <c r="J404" s="55"/>
      <c r="K404" s="56"/>
      <c r="L404" s="58"/>
      <c r="N404" s="58"/>
      <c r="S404" s="59"/>
    </row>
    <row r="405" ht="15.75" customHeight="1">
      <c r="A405" s="58"/>
      <c r="B405" s="58"/>
      <c r="C405" s="58"/>
      <c r="D405" s="55"/>
      <c r="E405" s="60"/>
      <c r="F405" s="58"/>
      <c r="G405" s="61"/>
      <c r="H405" s="62"/>
      <c r="I405" s="53"/>
      <c r="J405" s="55"/>
      <c r="K405" s="56"/>
      <c r="L405" s="58"/>
      <c r="N405" s="58"/>
      <c r="S405" s="59"/>
    </row>
    <row r="406" ht="15.75" customHeight="1">
      <c r="A406" s="58"/>
      <c r="B406" s="58"/>
      <c r="C406" s="58"/>
      <c r="D406" s="55"/>
      <c r="E406" s="60"/>
      <c r="F406" s="58"/>
      <c r="G406" s="61"/>
      <c r="H406" s="62"/>
      <c r="I406" s="53"/>
      <c r="J406" s="55"/>
      <c r="K406" s="56"/>
      <c r="L406" s="58"/>
      <c r="N406" s="58"/>
      <c r="S406" s="59"/>
    </row>
    <row r="407" ht="15.75" customHeight="1">
      <c r="A407" s="58"/>
      <c r="B407" s="58"/>
      <c r="C407" s="58"/>
      <c r="D407" s="55"/>
      <c r="E407" s="60"/>
      <c r="F407" s="58"/>
      <c r="G407" s="61"/>
      <c r="H407" s="62"/>
      <c r="I407" s="53"/>
      <c r="J407" s="55"/>
      <c r="K407" s="56"/>
      <c r="L407" s="58"/>
      <c r="N407" s="58"/>
      <c r="S407" s="59"/>
    </row>
    <row r="408" ht="15.75" customHeight="1">
      <c r="A408" s="58"/>
      <c r="B408" s="58"/>
      <c r="C408" s="58"/>
      <c r="D408" s="55"/>
      <c r="E408" s="60"/>
      <c r="F408" s="58"/>
      <c r="G408" s="61"/>
      <c r="H408" s="62"/>
      <c r="I408" s="53"/>
      <c r="J408" s="55"/>
      <c r="K408" s="56"/>
      <c r="L408" s="58"/>
      <c r="N408" s="58"/>
      <c r="S408" s="59"/>
    </row>
    <row r="409" ht="15.75" customHeight="1">
      <c r="A409" s="58"/>
      <c r="B409" s="58"/>
      <c r="C409" s="58"/>
      <c r="D409" s="55"/>
      <c r="E409" s="60"/>
      <c r="F409" s="58"/>
      <c r="G409" s="61"/>
      <c r="H409" s="62"/>
      <c r="I409" s="53"/>
      <c r="J409" s="55"/>
      <c r="K409" s="56"/>
      <c r="L409" s="58"/>
      <c r="N409" s="58"/>
      <c r="S409" s="59"/>
    </row>
    <row r="410" ht="15.75" customHeight="1">
      <c r="A410" s="58"/>
      <c r="B410" s="58"/>
      <c r="C410" s="58"/>
      <c r="D410" s="55"/>
      <c r="E410" s="60"/>
      <c r="F410" s="58"/>
      <c r="G410" s="61"/>
      <c r="H410" s="62"/>
      <c r="I410" s="53"/>
      <c r="J410" s="55"/>
      <c r="K410" s="56"/>
      <c r="L410" s="58"/>
      <c r="N410" s="58"/>
      <c r="S410" s="59"/>
    </row>
    <row r="411" ht="15.75" customHeight="1">
      <c r="A411" s="58"/>
      <c r="B411" s="58"/>
      <c r="C411" s="58"/>
      <c r="D411" s="55"/>
      <c r="E411" s="60"/>
      <c r="F411" s="58"/>
      <c r="G411" s="61"/>
      <c r="H411" s="62"/>
      <c r="I411" s="53"/>
      <c r="J411" s="55"/>
      <c r="K411" s="56"/>
      <c r="L411" s="58"/>
      <c r="N411" s="58"/>
      <c r="S411" s="59"/>
    </row>
    <row r="412" ht="15.75" customHeight="1">
      <c r="A412" s="58"/>
      <c r="B412" s="58"/>
      <c r="C412" s="58"/>
      <c r="D412" s="55"/>
      <c r="E412" s="60"/>
      <c r="F412" s="58"/>
      <c r="G412" s="61"/>
      <c r="H412" s="62"/>
      <c r="I412" s="53"/>
      <c r="J412" s="55"/>
      <c r="K412" s="56"/>
      <c r="L412" s="58"/>
      <c r="N412" s="58"/>
      <c r="S412" s="59"/>
    </row>
    <row r="413" ht="15.75" customHeight="1">
      <c r="A413" s="58"/>
      <c r="B413" s="58"/>
      <c r="C413" s="58"/>
      <c r="D413" s="55"/>
      <c r="E413" s="60"/>
      <c r="F413" s="58"/>
      <c r="G413" s="61"/>
      <c r="H413" s="62"/>
      <c r="I413" s="53"/>
      <c r="J413" s="55"/>
      <c r="K413" s="56"/>
      <c r="L413" s="58"/>
      <c r="N413" s="58"/>
      <c r="S413" s="59"/>
    </row>
    <row r="414" ht="15.75" customHeight="1">
      <c r="A414" s="58"/>
      <c r="B414" s="58"/>
      <c r="C414" s="58"/>
      <c r="D414" s="55"/>
      <c r="E414" s="60"/>
      <c r="F414" s="58"/>
      <c r="G414" s="61"/>
      <c r="H414" s="62"/>
      <c r="I414" s="53"/>
      <c r="J414" s="55"/>
      <c r="K414" s="56"/>
      <c r="L414" s="58"/>
      <c r="N414" s="58"/>
      <c r="S414" s="59"/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.5"/>
    <col customWidth="1" min="3" max="3" width="5.0"/>
    <col customWidth="1" min="4" max="6" width="12.63"/>
  </cols>
  <sheetData>
    <row r="1" ht="15.75" customHeight="1">
      <c r="A1" s="64" t="s">
        <v>55</v>
      </c>
    </row>
    <row r="2" ht="15.75" customHeight="1">
      <c r="A2" s="65"/>
      <c r="B2" s="65"/>
      <c r="C2" s="65"/>
    </row>
    <row r="3" ht="15.75" customHeight="1">
      <c r="A3" s="66" t="s">
        <v>637</v>
      </c>
      <c r="B3" s="67" t="s">
        <v>638</v>
      </c>
      <c r="C3" s="68">
        <f>IFERROR(__xludf.DUMMYFUNCTION("COUNTUNIQUE(Sheet1!C5:C1004)"),79.0)</f>
        <v>79</v>
      </c>
    </row>
    <row r="4" ht="15.75" customHeight="1">
      <c r="A4" s="66" t="s">
        <v>639</v>
      </c>
      <c r="B4" s="67" t="s">
        <v>638</v>
      </c>
      <c r="C4" s="69">
        <f>sum(Sheet1!D5:D1004)/15</f>
        <v>20.72866667</v>
      </c>
    </row>
    <row r="5" ht="15.75" customHeight="1">
      <c r="A5" s="66" t="s">
        <v>640</v>
      </c>
      <c r="B5" s="67" t="s">
        <v>638</v>
      </c>
      <c r="C5" s="69">
        <f>sum(Sheet1!E5:E1004)/0.15</f>
        <v>7.02894</v>
      </c>
    </row>
    <row r="6" ht="15.75" customHeight="1">
      <c r="A6" s="66" t="s">
        <v>641</v>
      </c>
      <c r="B6" s="67" t="s">
        <v>638</v>
      </c>
      <c r="C6" s="69">
        <f>sum(C3)/4</f>
        <v>19.75</v>
      </c>
    </row>
    <row r="7" ht="15.75" customHeight="1">
      <c r="A7" s="70" t="s">
        <v>642</v>
      </c>
      <c r="B7" s="71" t="s">
        <v>638</v>
      </c>
      <c r="C7" s="72">
        <f>AVERAGE(C4:C6)</f>
        <v>15.83586889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drawing r:id="rId1"/>
</worksheet>
</file>